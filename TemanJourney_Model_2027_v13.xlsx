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puts" sheetId="2" state="visible" r:id="rId4"/>
    <sheet name="Volume" sheetId="3" state="visible" r:id="rId5"/>
    <sheet name="Unit_Economics" sheetId="4" state="visible" r:id="rId6"/>
    <sheet name="Rate_Card" sheetId="5" state="visible" r:id="rId7"/>
    <sheet name="Capacity_OPEX" sheetId="6" state="visible" r:id="rId8"/>
    <sheet name="PnL" sheetId="7" state="visible" r:id="rId9"/>
    <sheet name="CashFlow" sheetId="8" state="visible" r:id="rId10"/>
    <sheet name="To_Fill"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<sst xmlns="http://schemas.openxmlformats.org/spreadsheetml/2006/main" count="1222" uniqueCount="659">
  <si>
    <t xml:space="preserve">Teman Journey - 2027 plan: profitable with both founders paid</t>
  </si>
  <si>
    <t xml:space="preserve">Goal for 2027: a business that is profitable on its own and pays both founders. Investors come later, after scale. All money in Rp million.</t>
  </si>
  <si>
    <t xml:space="preserve">Active scenario:</t>
  </si>
  <si>
    <t xml:space="preserve">Active price plan:</t>
  </si>
  <si>
    <t xml:space="preserve">Question</t>
  </si>
  <si>
    <t xml:space="preserve">Answer</t>
  </si>
  <si>
    <t xml:space="preserve">Unit</t>
  </si>
  <si>
    <t xml:space="preserve">What it means</t>
  </si>
  <si>
    <t xml:space="preserve">A. Is 2027 profitable?</t>
  </si>
  <si>
    <t xml:space="preserve">Revenue FY 2027</t>
  </si>
  <si>
    <t xml:space="preserve">Rp m</t>
  </si>
  <si>
    <t xml:space="preserve">Total sales booked in 2027.</t>
  </si>
  <si>
    <t xml:space="preserve">Gross profit FY 2027</t>
  </si>
  <si>
    <t xml:space="preserve">Revenue minus delivery cost.</t>
  </si>
  <si>
    <t xml:space="preserve">Total fixed cost FY 2027</t>
  </si>
  <si>
    <t xml:space="preserve">Base + founders + sales + delivery steps.</t>
  </si>
  <si>
    <t xml:space="preserve">  of which founder salaries</t>
  </si>
  <si>
    <t xml:space="preserve">Both founders, from the start month in Inputs.</t>
  </si>
  <si>
    <t xml:space="preserve">Net profit FY 2027</t>
  </si>
  <si>
    <t xml:space="preserve">After founder salaries and tax.</t>
  </si>
  <si>
    <t xml:space="preserve">Net margin FY 2027</t>
  </si>
  <si>
    <t xml:space="preserve">%</t>
  </si>
  <si>
    <t xml:space="preserve">Net profit / revenue.</t>
  </si>
  <si>
    <t xml:space="preserve">Meets your target margin?</t>
  </si>
  <si>
    <t xml:space="preserve">Target is set in Inputs.</t>
  </si>
  <si>
    <t xml:space="preserve">Break-even: BI work needed per month (in KPW-event equivalents)</t>
  </si>
  <si>
    <t xml:space="preserve">events</t>
  </si>
  <si>
    <t xml:space="preserve">With banks, EAP and B2C at plan, this many KPW-size BI events a month (or the same profit from Flagships) covers all 2027 fixed costs.</t>
  </si>
  <si>
    <t xml:space="preserve">B. Is cash safe? (Pillar 3)</t>
  </si>
  <si>
    <t xml:space="preserve">Lowest month-end cash (Oct 26 - Dec 27)</t>
  </si>
  <si>
    <t xml:space="preserve">Must stay above zero.</t>
  </si>
  <si>
    <t xml:space="preserve">Month of lowest cash</t>
  </si>
  <si>
    <t xml:space="preserve">Where the squeeze is.</t>
  </si>
  <si>
    <t xml:space="preserve">Months below the cash floor</t>
  </si>
  <si>
    <t xml:space="preserve">months</t>
  </si>
  <si>
    <t xml:space="preserve">Floor = 1 month fixed cost + delivery cost.</t>
  </si>
  <si>
    <t xml:space="preserve">Cash at end of 2027</t>
  </si>
  <si>
    <t xml:space="preserve">Peak money owed by clients</t>
  </si>
  <si>
    <t xml:space="preserve">Cash tied up in unpaid invoices.</t>
  </si>
  <si>
    <t xml:space="preserve">Runway at end of Dec 2026 if B2B stops</t>
  </si>
  <si>
    <t xml:space="preserve">Months you survive on B2C alone with 2027 cost base.</t>
  </si>
  <si>
    <t xml:space="preserve">C. Can we deliver it? (Pillar 2)</t>
  </si>
  <si>
    <t xml:space="preserve">Peak facilitators needed in one month</t>
  </si>
  <si>
    <t xml:space="preserve">people</t>
  </si>
  <si>
    <t xml:space="preserve">Compare with your plan of 11.</t>
  </si>
  <si>
    <t xml:space="preserve">Facilitators to certify by end 2027</t>
  </si>
  <si>
    <t xml:space="preserve">Month the Project Manager is hired</t>
  </si>
  <si>
    <t xml:space="preserve">Triggered by the 3-month average of B2B events.</t>
  </si>
  <si>
    <t xml:space="preserve">D. What will investors ask? (risk)</t>
  </si>
  <si>
    <t xml:space="preserve">BI share of 2027 revenue</t>
  </si>
  <si>
    <t xml:space="preserve">Concentration risk. Lower is safer.</t>
  </si>
  <si>
    <t xml:space="preserve">B2B share of 2027 revenue</t>
  </si>
  <si>
    <t xml:space="preserve">Q4 share of 2027 revenue</t>
  </si>
  <si>
    <t xml:space="preserve">Seasonality risk.</t>
  </si>
  <si>
    <t xml:space="preserve">Cost to win one new B2B client (CAC)</t>
  </si>
  <si>
    <t xml:space="preserve">Sales spend / new clients.</t>
  </si>
  <si>
    <t xml:space="preserve">Memo: Coreitera revenue from TJ in 2027</t>
  </si>
  <si>
    <t xml:space="preserve">The 'tech' revenue line for the investor story.</t>
  </si>
  <si>
    <t xml:space="preserve">Memo: Theta revenue from TJ in 2027</t>
  </si>
  <si>
    <t xml:space="preserve">Scenario comparison (snapshot values - rebuilt each time the model is updated)</t>
  </si>
  <si>
    <t xml:space="preserve">Measure</t>
  </si>
  <si>
    <t xml:space="preserve">Old prices: Base</t>
  </si>
  <si>
    <t xml:space="preserve">New prices: Base</t>
  </si>
  <si>
    <t xml:space="preserve">New: No B2B Jan-Jun 27</t>
  </si>
  <si>
    <t xml:space="preserve">New: BI -30%</t>
  </si>
  <si>
    <t xml:space="preserve">New: Worst case</t>
  </si>
  <si>
    <t xml:space="preserve">Oct-26</t>
  </si>
  <si>
    <t xml:space="preserve">Jul-27</t>
  </si>
  <si>
    <t xml:space="preserve">Inputs and assumptions (all money in Rp million)</t>
  </si>
  <si>
    <t xml:space="preserve">Blue numbers are inputs you can change. Status: Known = you told us or it is in your v10 file; Your plan = your own budget; Estimate = industry estimate used until you give the real number (yellow-shaded, listed in the To_Fill sheet).</t>
  </si>
  <si>
    <t xml:space="preserve">Key</t>
  </si>
  <si>
    <t xml:space="preserve">Item</t>
  </si>
  <si>
    <t xml:space="preserve">Value</t>
  </si>
  <si>
    <t xml:space="preserve">Status</t>
  </si>
  <si>
    <t xml:space="preserve">Source / logic</t>
  </si>
  <si>
    <t xml:space="preserve">0. Scenario selector</t>
  </si>
  <si>
    <t xml:space="preserve">scen</t>
  </si>
  <si>
    <t xml:space="preserve">Active scenario (1-4)</t>
  </si>
  <si>
    <t xml:space="preserve">number</t>
  </si>
  <si>
    <t xml:space="preserve">Known</t>
  </si>
  <si>
    <t xml:space="preserve">1 = Base plan (v10 volumes). 2 = No new B2B event closes Jan-Jun 2027. 3 = BI cuts its volume by the % below. 4 = Both 2 and 3 (worst case).</t>
  </si>
  <si>
    <t xml:space="preserve">bi_cut</t>
  </si>
  <si>
    <t xml:space="preserve">BI volume cut used in scenarios 3 and 4</t>
  </si>
  <si>
    <t xml:space="preserve">Stress test size. Change freely.</t>
  </si>
  <si>
    <t xml:space="preserve">1. Prices (per event, or per month for EAP)</t>
  </si>
  <si>
    <t xml:space="preserve">p_flag</t>
  </si>
  <si>
    <t xml:space="preserve">Flagship regulator ToT (CBP Rupiah)</t>
  </si>
  <si>
    <t xml:space="preserve">Rp m / event</t>
  </si>
  <si>
    <t xml:space="preserve">Your v10 file.</t>
  </si>
  <si>
    <t xml:space="preserve">p_kpw</t>
  </si>
  <si>
    <t xml:space="preserve">Regulator regional ToT (BI KPW and LPS)</t>
  </si>
  <si>
    <t xml:space="preserve">p_kcp</t>
  </si>
  <si>
    <t xml:space="preserve">Bank branch event (KCP)</t>
  </si>
  <si>
    <t xml:space="preserve">p_eap</t>
  </si>
  <si>
    <t xml:space="preserve">Bank EAP subscription</t>
  </si>
  <si>
    <t xml:space="preserve">Rp m / month</t>
  </si>
  <si>
    <t xml:space="preserve">p_b2ce</t>
  </si>
  <si>
    <t xml:space="preserve">B2C mass event</t>
  </si>
  <si>
    <t xml:space="preserve">p_b2cc</t>
  </si>
  <si>
    <t xml:space="preserve">B2C counseling client</t>
  </si>
  <si>
    <t xml:space="preserve">Rp m / client</t>
  </si>
  <si>
    <t xml:space="preserve">Your v10 file (Rp 1,000,000 per session).</t>
  </si>
  <si>
    <t xml:space="preserve">2. Delivery cost (cost of goods sold)</t>
  </si>
  <si>
    <t xml:space="preserve">c_flag</t>
  </si>
  <si>
    <t xml:space="preserve">Flagship delivery cost</t>
  </si>
  <si>
    <t xml:space="preserve">Your v10 file: travel, hotel, materials, premium facilitator fees.</t>
  </si>
  <si>
    <t xml:space="preserve">c_kpw</t>
  </si>
  <si>
    <t xml:space="preserve">KPW / LPS delivery cost</t>
  </si>
  <si>
    <t xml:space="preserve">Your v10 file. Covers about 2 handler fees only, so travel is assumed paid by the client (see below).</t>
  </si>
  <si>
    <t xml:space="preserve">c_kcp</t>
  </si>
  <si>
    <t xml:space="preserve">Bank KCP event delivery cost</t>
  </si>
  <si>
    <t xml:space="preserve">c_eap</t>
  </si>
  <si>
    <t xml:space="preserve">EAP delivery cost</t>
  </si>
  <si>
    <t xml:space="preserve">Your v10 file: on-call tele-counseling retainer.</t>
  </si>
  <si>
    <t xml:space="preserve">c_b2ce</t>
  </si>
  <si>
    <t xml:space="preserve">B2C event delivery cost</t>
  </si>
  <si>
    <t xml:space="preserve">Your v10 file: venue, ads, materials, fees.</t>
  </si>
  <si>
    <t xml:space="preserve">c_b2cc</t>
  </si>
  <si>
    <t xml:space="preserve">B2C counseling cost (psychologist fee)</t>
  </si>
  <si>
    <t xml:space="preserve">% of price</t>
  </si>
  <si>
    <t xml:space="preserve">Your v10 file: Rp 400k of Rp 1m.</t>
  </si>
  <si>
    <t xml:space="preserve">travel_client</t>
  </si>
  <si>
    <t xml:space="preserve">Client pays travel for regional events? (1 = yes, 0 = no)</t>
  </si>
  <si>
    <t xml:space="preserve">switch</t>
  </si>
  <si>
    <t xml:space="preserve">Estimate</t>
  </si>
  <si>
    <t xml:space="preserve">The Rp 8m KPW cost only covers 2 handler fees, so we assume BI pays travel.</t>
  </si>
  <si>
    <t xml:space="preserve">travel_pp</t>
  </si>
  <si>
    <t xml:space="preserve">Travel cost per handler per regional trip</t>
  </si>
  <si>
    <t xml:space="preserve">Rp m / person</t>
  </si>
  <si>
    <t xml:space="preserve">Industry estimate: return flight ~Rp 2m + 2 hotel nights ~Rp 1m + per diem ~Rp 0.5m.</t>
  </si>
  <si>
    <t xml:space="preserve">regional_share</t>
  </si>
  <si>
    <t xml:space="preserve">Share of KPW / LPS events outside Jakarta</t>
  </si>
  <si>
    <t xml:space="preserve">Estimate: most KPW offices are outside Jakarta.</t>
  </si>
  <si>
    <t xml:space="preserve">3. Delivery staffing (from your v10 file)</t>
  </si>
  <si>
    <t xml:space="preserve">h_flag</t>
  </si>
  <si>
    <t xml:space="preserve">Handlers per Flagship event</t>
  </si>
  <si>
    <t xml:space="preserve">1 PM, 1 Lead Psychologist, 2 Facilitators.</t>
  </si>
  <si>
    <t xml:space="preserve">h_kpw</t>
  </si>
  <si>
    <t xml:space="preserve">Handlers per KPW / LPS event</t>
  </si>
  <si>
    <t xml:space="preserve">1 Lead, 1 Facilitator.</t>
  </si>
  <si>
    <t xml:space="preserve">h_kcp</t>
  </si>
  <si>
    <t xml:space="preserve">Handlers per KCP event</t>
  </si>
  <si>
    <t xml:space="preserve">h_b2ce</t>
  </si>
  <si>
    <t xml:space="preserve">Handlers per B2C event</t>
  </si>
  <si>
    <t xml:space="preserve">1 Lead, 1 Facilitator / Assistant.</t>
  </si>
  <si>
    <t xml:space="preserve">d_flag</t>
  </si>
  <si>
    <t xml:space="preserve">Days per Flagship event</t>
  </si>
  <si>
    <t xml:space="preserve">days</t>
  </si>
  <si>
    <t xml:space="preserve">You said 2-3 day program; we use 3.</t>
  </si>
  <si>
    <t xml:space="preserve">d_kpw</t>
  </si>
  <si>
    <t xml:space="preserve">Days per KPW / LPS event</t>
  </si>
  <si>
    <t xml:space="preserve">Estimate.</t>
  </si>
  <si>
    <t xml:space="preserve">d_kcp</t>
  </si>
  <si>
    <t xml:space="preserve">Days per KCP event</t>
  </si>
  <si>
    <t xml:space="preserve">d_b2ce</t>
  </si>
  <si>
    <t xml:space="preserve">Days per B2C event</t>
  </si>
  <si>
    <t xml:space="preserve">Estimate (weekend event).</t>
  </si>
  <si>
    <t xml:space="preserve">fac_cap</t>
  </si>
  <si>
    <t xml:space="preserve">Max events per facilitator per month</t>
  </si>
  <si>
    <t xml:space="preserve">Your v10 quality rule.</t>
  </si>
  <si>
    <t xml:space="preserve">fac_now</t>
  </si>
  <si>
    <t xml:space="preserve">Certified facilitators today</t>
  </si>
  <si>
    <t xml:space="preserve">You told us: 2 active core facilitators.</t>
  </si>
  <si>
    <t xml:space="preserve">fac_plan</t>
  </si>
  <si>
    <t xml:space="preserve">Your plan: facilitators certified by Nov 2026</t>
  </si>
  <si>
    <t xml:space="preserve">Your earlier plan.</t>
  </si>
  <si>
    <t xml:space="preserve">cert_cost</t>
  </si>
  <si>
    <t xml:space="preserve">Cost to certify one new facilitator</t>
  </si>
  <si>
    <t xml:space="preserve">Industry estimate: 2-day internal ToT, materials, observed practice event.</t>
  </si>
  <si>
    <t xml:space="preserve">4. Fixed cost: base (your 2027 'bensin' budget, monthly)</t>
  </si>
  <si>
    <t xml:space="preserve">o_lead_mkt</t>
  </si>
  <si>
    <t xml:space="preserve">Lead Marketing</t>
  </si>
  <si>
    <t xml:space="preserve">Your 2027 budget.</t>
  </si>
  <si>
    <t xml:space="preserve">o_socmed</t>
  </si>
  <si>
    <t xml:space="preserve">Social Media Specialist</t>
  </si>
  <si>
    <t xml:space="preserve">o_intern_mkt</t>
  </si>
  <si>
    <t xml:space="preserve">Marketing intern</t>
  </si>
  <si>
    <t xml:space="preserve">o_pic</t>
  </si>
  <si>
    <t xml:space="preserve">PIC Psychologist</t>
  </si>
  <si>
    <t xml:space="preserve">o_admin</t>
  </si>
  <si>
    <t xml:space="preserve">Admin</t>
  </si>
  <si>
    <t xml:space="preserve">You raised it from Rp 1.8m to Rp 3m (Oct 2026).</t>
  </si>
  <si>
    <t xml:space="preserve">o_intern_ops</t>
  </si>
  <si>
    <t xml:space="preserve">Operations intern</t>
  </si>
  <si>
    <t xml:space="preserve">o_saas</t>
  </si>
  <si>
    <t xml:space="preserve">Software and IG ads (Workspace, Canva, Claude, CapCut, IG ads, Zoom)</t>
  </si>
  <si>
    <t xml:space="preserve">Your 2027 budget: Rp 24.959m per year / 12.</t>
  </si>
  <si>
    <t xml:space="preserve">o_office</t>
  </si>
  <si>
    <t xml:space="preserve">Office (rent 5.0 + electricity 0.5 + meals 0.3)</t>
  </si>
  <si>
    <t xml:space="preserve">Your 2027 budget: Rp 69.6m per year / 12.</t>
  </si>
  <si>
    <t xml:space="preserve">o_acct</t>
  </si>
  <si>
    <t xml:space="preserve">Accountant / tax consultant</t>
  </si>
  <si>
    <t xml:space="preserve">Industry estimate for a small PT in Jakarta. Not in your list; set to 0 if you do it yourself.</t>
  </si>
  <si>
    <t xml:space="preserve">5. Fixed cost: steps (only switched on when triggered)</t>
  </si>
  <si>
    <t xml:space="preserve">f_sal1</t>
  </si>
  <si>
    <t xml:space="preserve">Founder salary: co-founder</t>
  </si>
  <si>
    <t xml:space="preserve">You set this (Oct 2026).</t>
  </si>
  <si>
    <t xml:space="preserve">f_sal2</t>
  </si>
  <si>
    <t xml:space="preserve">Founder salary: Galih</t>
  </si>
  <si>
    <t xml:space="preserve">f_start</t>
  </si>
  <si>
    <t xml:space="preserve">Founder salaries start month</t>
  </si>
  <si>
    <t xml:space="preserve">Jan-27</t>
  </si>
  <si>
    <t xml:space="preserve">month</t>
  </si>
  <si>
    <t xml:space="preserve">Your plan - confirm</t>
  </si>
  <si>
    <t xml:space="preserve">Your 2027 goal. Must match a month label exactly (e.g. Jan-27).</t>
  </si>
  <si>
    <t xml:space="preserve">am_on</t>
  </si>
  <si>
    <t xml:space="preserve">Hire a B2B Account Manager? (1 = yes)</t>
  </si>
  <si>
    <t xml:space="preserve">You decided: founders handle accounts for now. Set 1 to test hiring one later.</t>
  </si>
  <si>
    <t xml:space="preserve">am_cost</t>
  </si>
  <si>
    <t xml:space="preserve">Account Manager salary</t>
  </si>
  <si>
    <t xml:space="preserve">Your Rp 35m plan.</t>
  </si>
  <si>
    <t xml:space="preserve">am_start</t>
  </si>
  <si>
    <t xml:space="preserve">B2B sales push start month (and AM start, if hired)</t>
  </si>
  <si>
    <t xml:space="preserve">Founders start selling to LPS, OJK and banks. Must match a month label.</t>
  </si>
  <si>
    <t xml:space="preserve">sales_travel</t>
  </si>
  <si>
    <t xml:space="preserve">Sales travel and meetings (from sales start month)</t>
  </si>
  <si>
    <t xml:space="preserve">Industry estimate: 2 regional or bank HQ trips a month + meeting costs.</t>
  </si>
  <si>
    <t xml:space="preserve">pm_cost</t>
  </si>
  <si>
    <t xml:space="preserve">Project Manager salary</t>
  </si>
  <si>
    <t xml:space="preserve">pm_thr</t>
  </si>
  <si>
    <t xml:space="preserve">PM trigger: average B2B events per month (last 3 months) at or above</t>
  </si>
  <si>
    <t xml:space="preserve">Step rule: when the 3-month average reaches this, hire the PM next month. Once hired, the PM stays.</t>
  </si>
  <si>
    <t xml:space="preserve">adm2_thr</t>
  </si>
  <si>
    <t xml:space="preserve">Second admin trigger: invoices per month above</t>
  </si>
  <si>
    <t xml:space="preserve">invoices</t>
  </si>
  <si>
    <t xml:space="preserve">Step rule: invoicing on time protects the KPW payday cutoff.</t>
  </si>
  <si>
    <t xml:space="preserve">corp_inv</t>
  </si>
  <si>
    <t xml:space="preserve">Invoices per month from small corporate clients</t>
  </si>
  <si>
    <t xml:space="preserve">You have about 4 small clients, mostly quarterly: 4 / 3 per month.</t>
  </si>
  <si>
    <t xml:space="preserve">6. Coreitera and Theta (charges between your own companies)</t>
  </si>
  <si>
    <t xml:space="preserve">core_in_cogs</t>
  </si>
  <si>
    <t xml:space="preserve">Coreitera fee already inside the delivery costs above? (1 = yes)</t>
  </si>
  <si>
    <t xml:space="preserve">Assumed yes. If 0, the fee is added on top of event cost.</t>
  </si>
  <si>
    <t xml:space="preserve">core_fee</t>
  </si>
  <si>
    <t xml:space="preserve">Coreitera fee per assessment</t>
  </si>
  <si>
    <t xml:space="preserve">Rp m / participant</t>
  </si>
  <si>
    <t xml:space="preserve">Industry estimate for online B2B psychometric assessment in Indonesia: Rp 50k-150k. We use Rp 75k.</t>
  </si>
  <si>
    <t xml:space="preserve">pax_flag</t>
  </si>
  <si>
    <t xml:space="preserve">Participants per Flagship event</t>
  </si>
  <si>
    <t xml:space="preserve">pax_kpw</t>
  </si>
  <si>
    <t xml:space="preserve">Participants per KPW / LPS event</t>
  </si>
  <si>
    <t xml:space="preserve">pax_kcp</t>
  </si>
  <si>
    <t xml:space="preserve">Participants per KCP event</t>
  </si>
  <si>
    <t xml:space="preserve">pax_b2ce</t>
  </si>
  <si>
    <t xml:space="preserve">Participants per B2C event</t>
  </si>
  <si>
    <t xml:space="preserve">theta_fee</t>
  </si>
  <si>
    <t xml:space="preserve">Theta fee per counseling allocation</t>
  </si>
  <si>
    <t xml:space="preserve">Rp m / session</t>
  </si>
  <si>
    <t xml:space="preserve">Industry estimate for a platform fee per session. Shown as a memo only.</t>
  </si>
  <si>
    <t xml:space="preserve">eap_sessions</t>
  </si>
  <si>
    <t xml:space="preserve">Counseling sessions per EAP contract per month</t>
  </si>
  <si>
    <t xml:space="preserve">sessions</t>
  </si>
  <si>
    <t xml:space="preserve">7. Customer acquisition (B2B)</t>
  </si>
  <si>
    <t xml:space="preserve">new_logos</t>
  </si>
  <si>
    <t xml:space="preserve">New B2B clients won in 2027 (LPS, OJK, banks)</t>
  </si>
  <si>
    <t xml:space="preserve">clients</t>
  </si>
  <si>
    <t xml:space="preserve">Your strategy: LPS and OJK, then banks such as BRI and Mandiri. Estimate: 2 regulators + 2 banks.</t>
  </si>
  <si>
    <t xml:space="preserve">8. Cash timing</t>
  </si>
  <si>
    <t xml:space="preserve">cash0</t>
  </si>
  <si>
    <t xml:space="preserve">Cash in bank at 1 Oct 2026</t>
  </si>
  <si>
    <t xml:space="preserve">You told us. Assumed free cash: no unpaid bills and no money owed to you.</t>
  </si>
  <si>
    <t xml:space="preserve">flag_s0</t>
  </si>
  <si>
    <t xml:space="preserve">BI central (Flagship): paid same month</t>
  </si>
  <si>
    <t xml:space="preserve">You said most clients pay the same month, never later than 60 days.</t>
  </si>
  <si>
    <t xml:space="preserve">flag_s30</t>
  </si>
  <si>
    <t xml:space="preserve">BI central (Flagship): paid after ~30 days</t>
  </si>
  <si>
    <t xml:space="preserve">As above.</t>
  </si>
  <si>
    <t xml:space="preserve">flag_s60</t>
  </si>
  <si>
    <t xml:space="preserve">BI central (Flagship): paid after ~60 days</t>
  </si>
  <si>
    <t xml:space="preserve">kpw_cut</t>
  </si>
  <si>
    <t xml:space="preserve">KPW / LPS: share of invoices sent before the payday cutoff</t>
  </si>
  <si>
    <t xml:space="preserve">Known rule: BI pays on the 1st; invoice before cutoff = paid that cycle, after = next month. Share is an estimate.</t>
  </si>
  <si>
    <t xml:space="preserve">bank_s0</t>
  </si>
  <si>
    <t xml:space="preserve">Banks (KCP events): paid same month</t>
  </si>
  <si>
    <t xml:space="preserve">No bank client yet, so we assume slower than BI.</t>
  </si>
  <si>
    <t xml:space="preserve">bank_s30</t>
  </si>
  <si>
    <t xml:space="preserve">Banks (KCP events): paid after ~30 days</t>
  </si>
  <si>
    <t xml:space="preserve">bank_s60</t>
  </si>
  <si>
    <t xml:space="preserve">Banks (KCP events): paid after ~60 days</t>
  </si>
  <si>
    <t xml:space="preserve">tax_rate</t>
  </si>
  <si>
    <t xml:space="preserve">Income tax on revenue (final tax, PP 55/2022)</t>
  </si>
  <si>
    <t xml:space="preserve">% of revenue</t>
  </si>
  <si>
    <t xml:space="preserve">Assumes the 0.5% small-business final tax and that prices exclude VAT. Paid the next month.</t>
  </si>
  <si>
    <t xml:space="preserve">9. Targets and concentration</t>
  </si>
  <si>
    <t xml:space="preserve">target_margin</t>
  </si>
  <si>
    <t xml:space="preserve">Target net profit margin for 2027</t>
  </si>
  <si>
    <t xml:space="preserve">Your goal is to 'look profitable'. 15% used until you set a number.</t>
  </si>
  <si>
    <t xml:space="preserve">bi_share_kpw</t>
  </si>
  <si>
    <t xml:space="preserve">Share of 'KPW and LPS' events that are BI (rest is LPS / OJK)</t>
  </si>
  <si>
    <t xml:space="preserve">BI is 70% of revenue today; LPS / OJK are new in 2027.</t>
  </si>
  <si>
    <t xml:space="preserve">10. Rate card - elite boutique pricing (used when price plan = 2)</t>
  </si>
  <si>
    <t xml:space="preserve">plan</t>
  </si>
  <si>
    <t xml:space="preserve">Active price plan (1 = current prices, 2 = new rate card)</t>
  </si>
  <si>
    <t xml:space="preserve">Switch to compare old and new prices.</t>
  </si>
  <si>
    <t xml:space="preserve">np_start</t>
  </si>
  <si>
    <t xml:space="preserve">New prices start month</t>
  </si>
  <si>
    <t xml:space="preserve">Q4 2026 work is already agreed at old prices. Must match a month label.</t>
  </si>
  <si>
    <t xml:space="preserve">np_flag</t>
  </si>
  <si>
    <t xml:space="preserve">New price: Flagship regulator ToT (3 days, training part)</t>
  </si>
  <si>
    <t xml:space="preserve">Rp m / program</t>
  </si>
  <si>
    <t xml:space="preserve">About 2x the SBM fee budget for 3 days (~Rp50m); regulators assumed to allow a bit more than SBM.</t>
  </si>
  <si>
    <t xml:space="preserve">np_kpw</t>
  </si>
  <si>
    <t xml:space="preserve">New price: KPW / LPS regional ToT (1 day, training part)</t>
  </si>
  <si>
    <t xml:space="preserve">Brings KPW to your 3x rule. About 1.9x the SBM fee budget for 1 day (~Rp12.6m).</t>
  </si>
  <si>
    <t xml:space="preserve">np_bumn</t>
  </si>
  <si>
    <t xml:space="preserve">New price: state-owned bank, per group per day</t>
  </si>
  <si>
    <t xml:space="preserve">Rp m / day</t>
  </si>
  <si>
    <t xml:space="preserve">About half of what big trainers charge banks (2-3x your old rate). Tender pressure keeps it below private banks.</t>
  </si>
  <si>
    <t xml:space="preserve">np_priv</t>
  </si>
  <si>
    <t xml:space="preserve">New price: private big bank, per group per day</t>
  </si>
  <si>
    <t xml:space="preserve">About 60% of the big-trainer rate: elite boutique = clearly cheaper than big firms, never the cheapest.</t>
  </si>
  <si>
    <t xml:space="preserve">priv_share</t>
  </si>
  <si>
    <t xml:space="preserve">Share of 2027 bank events with private banks</t>
  </si>
  <si>
    <t xml:space="preserve">Your plan starts with state banks; 1 in 4 bank events assumed private.</t>
  </si>
  <si>
    <t xml:space="preserve">assess_price</t>
  </si>
  <si>
    <t xml:space="preserve">Assessment and impact report, price per participant</t>
  </si>
  <si>
    <t xml:space="preserve">Sold as its own line (BI confirmed this is allowed). Pre- and post-assessment by Coreitera + impact report.</t>
  </si>
  <si>
    <t xml:space="preserve">as_flag</t>
  </si>
  <si>
    <t xml:space="preserve">Sell assessment with Flagship? (1 = yes)</t>
  </si>
  <si>
    <t xml:space="preserve">BI accepts it as a separate line.</t>
  </si>
  <si>
    <t xml:space="preserve">as_kpw</t>
  </si>
  <si>
    <t xml:space="preserve">Sell assessment with KPW / LPS? (1 = yes)</t>
  </si>
  <si>
    <t xml:space="preserve">as_kcp</t>
  </si>
  <si>
    <t xml:space="preserve">Sell assessment with bank events? (1 = yes)</t>
  </si>
  <si>
    <t xml:space="preserve">Banks have not been asked yet.</t>
  </si>
  <si>
    <t xml:space="preserve">bt_mult</t>
  </si>
  <si>
    <t xml:space="preserve">Big trainers charge banks this multiple of your old bank rate</t>
  </si>
  <si>
    <t xml:space="preserve">x</t>
  </si>
  <si>
    <t xml:space="preserve">You said 2-3x; midpoint used.</t>
  </si>
  <si>
    <t xml:space="preserve">elite_up</t>
  </si>
  <si>
    <t xml:space="preserve">Elite package uplift over Signature package</t>
  </si>
  <si>
    <t xml:space="preserve">Elite adds a cascade licence and 3 months of trainer follow-up.</t>
  </si>
  <si>
    <t xml:space="preserve">vol_keep</t>
  </si>
  <si>
    <t xml:space="preserve">B2B volume kept after the price change</t>
  </si>
  <si>
    <t xml:space="preserve">100% = no client lost. Lower it to test the risk; see the volume-loss table on Rate_Card.</t>
  </si>
  <si>
    <t xml:space="preserve">Event volume plan (from your v10 file, moved to Oct 2026 - Dec 2027)</t>
  </si>
  <si>
    <t xml:space="preserve">Rp million unless stated. Q4 2026 and FY 2027 columns are totals (or averages / peaks where stated).</t>
  </si>
  <si>
    <t xml:space="preserve">Line</t>
  </si>
  <si>
    <t xml:space="preserve">Q4 2026</t>
  </si>
  <si>
    <t xml:space="preserve">FY 2027</t>
  </si>
  <si>
    <t xml:space="preserve">Nov-26</t>
  </si>
  <si>
    <t xml:space="preserve">Dec-26</t>
  </si>
  <si>
    <t xml:space="preserve">Feb-27</t>
  </si>
  <si>
    <t xml:space="preserve">Mar-27</t>
  </si>
  <si>
    <t xml:space="preserve">Apr-27</t>
  </si>
  <si>
    <t xml:space="preserve">May-27</t>
  </si>
  <si>
    <t xml:space="preserve">Jun-27</t>
  </si>
  <si>
    <t xml:space="preserve">Aug-27</t>
  </si>
  <si>
    <t xml:space="preserve">Sep-27</t>
  </si>
  <si>
    <t xml:space="preserve">Oct-27</t>
  </si>
  <si>
    <t xml:space="preserve">Nov-27</t>
  </si>
  <si>
    <t xml:space="preserve">Dec-27</t>
  </si>
  <si>
    <t xml:space="preserve">Timeline helpers</t>
  </si>
  <si>
    <t xml:space="preserve">Month number</t>
  </si>
  <si>
    <t xml:space="preserve">#</t>
  </si>
  <si>
    <t xml:space="preserve">Is 2027? (1 = yes)</t>
  </si>
  <si>
    <t xml:space="preserve">flag</t>
  </si>
  <si>
    <t xml:space="preserve">Is Jan-Jun 2027? (1 = yes)</t>
  </si>
  <si>
    <t xml:space="preserve">Scenario switch: new B2B events allowed (1 = yes)</t>
  </si>
  <si>
    <t xml:space="preserve">Scenario factor: BI volume</t>
  </si>
  <si>
    <t xml:space="preserve">New prices active this month? (1 = yes)</t>
  </si>
  <si>
    <t xml:space="preserve">Price plan factor: B2B volume kept</t>
  </si>
  <si>
    <t xml:space="preserve">Base plan volumes (blue = your v10 plan; edit here)</t>
  </si>
  <si>
    <t xml:space="preserve">Flagship regulator ToT</t>
  </si>
  <si>
    <t xml:space="preserve">KPW / LPS regional ToT</t>
  </si>
  <si>
    <t xml:space="preserve">Bank KCP events</t>
  </si>
  <si>
    <t xml:space="preserve">Bank EAP contracts active</t>
  </si>
  <si>
    <t xml:space="preserve">contracts</t>
  </si>
  <si>
    <t xml:space="preserve">B2C mass events</t>
  </si>
  <si>
    <t xml:space="preserve">B2C counseling clients</t>
  </si>
  <si>
    <t xml:space="preserve">Volumes used in the model (after scenario)</t>
  </si>
  <si>
    <t xml:space="preserve">Bank EAP contracts active (existing contract, not affected)</t>
  </si>
  <si>
    <t xml:space="preserve">Total B2B events (Flagship + KPW/LPS + KCP)</t>
  </si>
  <si>
    <t xml:space="preserve">Notes: Oct-Dec 2026 uses your v10 Oct-Dec plan; 2027 uses your v10 Jan-Dec plan. EAP is set to 1 active contract in every month (v10 started it in May; please confirm it is live now).</t>
  </si>
  <si>
    <t xml:space="preserve">Pillar 1 - Unit economics and B2B customer acquisition cost (Rp million)</t>
  </si>
  <si>
    <t xml:space="preserve">Product</t>
  </si>
  <si>
    <t xml:space="preserve">Price</t>
  </si>
  <si>
    <t xml:space="preserve">Delivery cost</t>
  </si>
  <si>
    <t xml:space="preserve">Extra travel (if you pay)</t>
  </si>
  <si>
    <t xml:space="preserve">Coreitera fee (assessment cost)</t>
  </si>
  <si>
    <t xml:space="preserve">Total delivery cost</t>
  </si>
  <si>
    <t xml:space="preserve">Contribution (profit per event)</t>
  </si>
  <si>
    <t xml:space="preserve">Contribution %</t>
  </si>
  <si>
    <t xml:space="preserve">Price / external cost</t>
  </si>
  <si>
    <t xml:space="preserve">Meets your 3x rule?</t>
  </si>
  <si>
    <t xml:space="preserve">Handler-days</t>
  </si>
  <si>
    <t xml:space="preserve">Contribution per handler-day</t>
  </si>
  <si>
    <t xml:space="preserve">Coreitera revenue per event (memo)</t>
  </si>
  <si>
    <t xml:space="preserve">Old price (before new prices start)</t>
  </si>
  <si>
    <t xml:space="preserve">Old delivery cost</t>
  </si>
  <si>
    <t xml:space="preserve">Bank KCP event</t>
  </si>
  <si>
    <t xml:space="preserve">Bank EAP (per month)</t>
  </si>
  <si>
    <t xml:space="preserve">B2B customer acquisition cost (CAC)</t>
  </si>
  <si>
    <t xml:space="preserve">Sales cost per year (sales travel + Account Manager if hired; founder time not costed)</t>
  </si>
  <si>
    <t xml:space="preserve">New B2B clients won per year</t>
  </si>
  <si>
    <t xml:space="preserve">CAC: cost to win one new B2B client</t>
  </si>
  <si>
    <t xml:space="preserve">Events needed to pay back CAC: Flagship</t>
  </si>
  <si>
    <t xml:space="preserve">Events needed to pay back CAC: KPW / LPS</t>
  </si>
  <si>
    <t xml:space="preserve">Events needed to pay back CAC: Bank KCP</t>
  </si>
  <si>
    <t xml:space="preserve">Months of EAP needed to pay back CAC</t>
  </si>
  <si>
    <t xml:space="preserve">How to read: Contribution = price minus everything you pay to deliver that one event. It is what is left to pay fixed costs.</t>
  </si>
  <si>
    <t xml:space="preserve">Your pricing rule is price at least 3x the delivery cost paid outside the group (Coreitera fees stay inside). Rows marked 'No' break that rule.</t>
  </si>
  <si>
    <t xml:space="preserve">CAC counts only direct sales spend. Founder time is not costed here because founders are paid a fixed salary.</t>
  </si>
  <si>
    <t xml:space="preserve">Coreitera revenue per event is a memo: it is money paid between your own companies, so it cancels out in the combined profit.</t>
  </si>
  <si>
    <t xml:space="preserve">Rate card - elite boutique pricing by client tier (Rp million)</t>
  </si>
  <si>
    <t xml:space="preserve">Rule: price close to the buyer's ceiling for regulators, and against the big-trainer alternative for banks. Never below 3x delivery cost. Prices here always show the new rate card, whatever the active price plan.</t>
  </si>
  <si>
    <t xml:space="preserve">Tier and product</t>
  </si>
  <si>
    <t xml:space="preserve">What caps the price</t>
  </si>
  <si>
    <t xml:space="preserve">Training price</t>
  </si>
  <si>
    <t xml:space="preserve">Days</t>
  </si>
  <si>
    <t xml:space="preserve">Price per day</t>
  </si>
  <si>
    <t xml:space="preserve">Assessment per participant</t>
  </si>
  <si>
    <t xml:space="preserve">Participants</t>
  </si>
  <si>
    <t xml:space="preserve">Package price (training + assessment)</t>
  </si>
  <si>
    <t xml:space="preserve">External delivery cost (excl. Coreitera)</t>
  </si>
  <si>
    <t xml:space="preserve">Meets 3x?</t>
  </si>
  <si>
    <t xml:space="preserve">Per day vs big-trainer rate</t>
  </si>
  <si>
    <t xml:space="preserve">Best contract shape</t>
  </si>
  <si>
    <t xml:space="preserve">Tier 1 regulator - Flagship ToT (BI, OJK, LPS)</t>
  </si>
  <si>
    <t xml:space="preserve">Budget ceiling per activity; past contracts set the anchor</t>
  </si>
  <si>
    <t xml:space="preserve">Yearly framework contract with central procurement</t>
  </si>
  <si>
    <t xml:space="preserve">Tier 1 regulator - Regional ToT (BI KPW, LPS)</t>
  </si>
  <si>
    <t xml:space="preserve">Budget ceiling per activity</t>
  </si>
  <si>
    <t xml:space="preserve">Framework + work order (SPK) per office</t>
  </si>
  <si>
    <t xml:space="preserve">State-owned bank (BRI, Mandiri, BNI, BTN)</t>
  </si>
  <si>
    <t xml:space="preserve">Vendor tender and price competition</t>
  </si>
  <si>
    <t xml:space="preserve">Multi-branch yearly framework (10+ groups), 30% down payment</t>
  </si>
  <si>
    <t xml:space="preserve">Private big bank (BCA and others)</t>
  </si>
  <si>
    <t xml:space="preserve">Value vs big trainers (2-3x your old rate)</t>
  </si>
  <si>
    <t xml:space="preserve">Annual learning partnership + EAP priced per employee</t>
  </si>
  <si>
    <t xml:space="preserve">Reference: big-trainer day rate charged to banks</t>
  </si>
  <si>
    <t xml:space="preserve">Your old bank rate x the multiple you gave (2-3x, midpoint).</t>
  </si>
  <si>
    <t xml:space="preserve">Bank packages (good / better / best) - per group per day</t>
  </si>
  <si>
    <t xml:space="preserve">Package</t>
  </si>
  <si>
    <t xml:space="preserve">What is included</t>
  </si>
  <si>
    <t xml:space="preserve">State-owned bank</t>
  </si>
  <si>
    <t xml:space="preserve">Private bank</t>
  </si>
  <si>
    <t xml:space="preserve">Essential</t>
  </si>
  <si>
    <t xml:space="preserve">Training day only</t>
  </si>
  <si>
    <t xml:space="preserve">Signature (lead offer)</t>
  </si>
  <si>
    <t xml:space="preserve">Training + pre/post assessment + impact report</t>
  </si>
  <si>
    <t xml:space="preserve">Elite</t>
  </si>
  <si>
    <t xml:space="preserve">Signature + cascade licence for trainers + 3 months follow-up</t>
  </si>
  <si>
    <t xml:space="preserve">Volume-loss test: how many events can you lose and still earn more?</t>
  </si>
  <si>
    <t xml:space="preserve">Profit per event, old price</t>
  </si>
  <si>
    <t xml:space="preserve">Profit per event, new package</t>
  </si>
  <si>
    <t xml:space="preserve">Max share of events you can lose</t>
  </si>
  <si>
    <t xml:space="preserve">Meaning</t>
  </si>
  <si>
    <t xml:space="preserve">Flagship ToT</t>
  </si>
  <si>
    <t xml:space="preserve">KPW / LPS ToT</t>
  </si>
  <si>
    <t xml:space="preserve">Bank event (state-owned)</t>
  </si>
  <si>
    <t xml:space="preserve">Bank event (private)</t>
  </si>
  <si>
    <t xml:space="preserve">Pricing rules (all tiers)</t>
  </si>
  <si>
    <t xml:space="preserve">1. Price units: per group per day (training), per participant (assessment), per employee per month (EAP), per year (cascade licence). Never one lump sum.</t>
  </si>
  <si>
    <t xml:space="preserve">2. Floor: never below 3x the delivery cost paid outside the group. The Coreitera fee is excluded because it stays inside your own companies.</t>
  </si>
  <si>
    <t xml:space="preserve">3. Pilot discount: at most 20%, once per client, recorded as a sales cost, and tied to a follow-on contract.</t>
  </si>
  <si>
    <t xml:space="preserve">4. Volume discount: 5% for 5+ groups a year, 10% for 10+ groups. Never more than 10%.</t>
  </si>
  <si>
    <t xml:space="preserve">5. Travel and venue: paid by the client, or billed at cost plus 10%.</t>
  </si>
  <si>
    <t xml:space="preserve">6. Payment: 30% down payment for bank contracts above Rp100m. Regulators keep current terms.</t>
  </si>
  <si>
    <t xml:space="preserve">7. Regulators: never raise the price of an old item. Add new items (assessment, licence, follow-up), which get a fresh budget ceiling.</t>
  </si>
  <si>
    <t xml:space="preserve">8. Elite boutique position: always clearly below big trainers, never the cheapest. Compete on more services and a measured result.</t>
  </si>
  <si>
    <t xml:space="preserve">Pillar 2 - Capacity and step-function fixed costs</t>
  </si>
  <si>
    <t xml:space="preserve">Delivery capacity</t>
  </si>
  <si>
    <t xml:space="preserve">Handler placements (people x events)</t>
  </si>
  <si>
    <t xml:space="preserve">placements</t>
  </si>
  <si>
    <t xml:space="preserve">Handler-days (placements x days per event)</t>
  </si>
  <si>
    <t xml:space="preserve">Facilitators needed this month (placements / max events each)</t>
  </si>
  <si>
    <t xml:space="preserve">Certified facilitator pool (grows when needed, never shrinks)</t>
  </si>
  <si>
    <t xml:space="preserve">New facilitators to certify this month</t>
  </si>
  <si>
    <t xml:space="preserve">Your plan (11 by Nov 2026) minus need: spare facilitators</t>
  </si>
  <si>
    <t xml:space="preserve">Step triggers</t>
  </si>
  <si>
    <t xml:space="preserve">B2B events, average of last 3 months</t>
  </si>
  <si>
    <t xml:space="preserve">Project Manager hired? (1 = yes; starts the month after the trigger)</t>
  </si>
  <si>
    <t xml:space="preserve">Account Manager active? (1 = yes)</t>
  </si>
  <si>
    <t xml:space="preserve">Founder salaries active? (1 = yes)</t>
  </si>
  <si>
    <t xml:space="preserve">Invoices to send this month</t>
  </si>
  <si>
    <t xml:space="preserve">Second admin hired? (1 = yes; stays once hired)</t>
  </si>
  <si>
    <t xml:space="preserve">Fixed costs per month (Rp million)</t>
  </si>
  <si>
    <t xml:space="preserve">L0 Base team (your 2027 list: 6 people)</t>
  </si>
  <si>
    <t xml:space="preserve">L0 Software and IG ads</t>
  </si>
  <si>
    <t xml:space="preserve">L0 Office</t>
  </si>
  <si>
    <t xml:space="preserve">L0 Accountant / tax (estimate)</t>
  </si>
  <si>
    <t xml:space="preserve">Founder salaries</t>
  </si>
  <si>
    <t xml:space="preserve">L1 Account Manager</t>
  </si>
  <si>
    <t xml:space="preserve">L1 Sales travel (founders or AM)</t>
  </si>
  <si>
    <t xml:space="preserve">L2 Project Manager</t>
  </si>
  <si>
    <t xml:space="preserve">L2 Second admin</t>
  </si>
  <si>
    <t xml:space="preserve">L3 Facilitator certification (one-off)</t>
  </si>
  <si>
    <t xml:space="preserve">Total fixed cost</t>
  </si>
  <si>
    <t xml:space="preserve">Profit and loss by month (Rp million) - money counted when the event is delivered</t>
  </si>
  <si>
    <t xml:space="preserve">Revenue</t>
  </si>
  <si>
    <t xml:space="preserve">Bank EAP</t>
  </si>
  <si>
    <t xml:space="preserve">B2C counseling</t>
  </si>
  <si>
    <t xml:space="preserve">Total revenue</t>
  </si>
  <si>
    <t xml:space="preserve">Flagship</t>
  </si>
  <si>
    <t xml:space="preserve">KPW / LPS</t>
  </si>
  <si>
    <t xml:space="preserve">Bank KCP</t>
  </si>
  <si>
    <t xml:space="preserve">B2C events</t>
  </si>
  <si>
    <t xml:space="preserve">Gross profit</t>
  </si>
  <si>
    <t xml:space="preserve">Gross margin</t>
  </si>
  <si>
    <t xml:space="preserve">Fixed costs (from Capacity_OPEX)</t>
  </si>
  <si>
    <t xml:space="preserve">Base: team, software, office, accountant</t>
  </si>
  <si>
    <t xml:space="preserve">B2B sales (Account Manager + travel)</t>
  </si>
  <si>
    <t xml:space="preserve">Delivery capacity (PM, 2nd admin, certification)</t>
  </si>
  <si>
    <t xml:space="preserve">Profit before tax</t>
  </si>
  <si>
    <t xml:space="preserve">Income tax (final tax on revenue)</t>
  </si>
  <si>
    <t xml:space="preserve">Net profit</t>
  </si>
  <si>
    <t xml:space="preserve">Net margin</t>
  </si>
  <si>
    <t xml:space="preserve">Net profit if founders were not paid (for comparison)</t>
  </si>
  <si>
    <t xml:space="preserve">Concentration and memo lines</t>
  </si>
  <si>
    <t xml:space="preserve">Revenue from BI (Flagship + BI share of KPW/LPS)</t>
  </si>
  <si>
    <t xml:space="preserve">BI share of revenue</t>
  </si>
  <si>
    <t xml:space="preserve">B2B revenue</t>
  </si>
  <si>
    <t xml:space="preserve">Memo: Coreitera assessment revenue (paid by TJ)</t>
  </si>
  <si>
    <t xml:space="preserve">Memo: Theta counseling revenue (paid by TJ)</t>
  </si>
  <si>
    <t xml:space="preserve">Pillar 3 - Cash flow by month (Rp million) - money counted when it moves</t>
  </si>
  <si>
    <t xml:space="preserve">Cash in</t>
  </si>
  <si>
    <t xml:space="preserve">B2C (paid on the day)</t>
  </si>
  <si>
    <t xml:space="preserve">BI central - Flagship</t>
  </si>
  <si>
    <t xml:space="preserve">BI KPW / LPS (payday cutoff rule)</t>
  </si>
  <si>
    <t xml:space="preserve">Banks - KCP events</t>
  </si>
  <si>
    <t xml:space="preserve">Banks - EAP (paid the next month)</t>
  </si>
  <si>
    <t xml:space="preserve">Total cash in</t>
  </si>
  <si>
    <t xml:space="preserve">Cash out</t>
  </si>
  <si>
    <t xml:space="preserve">Delivery costs (paid in the event month)</t>
  </si>
  <si>
    <t xml:space="preserve">Fixed costs (salaries paid on the 25th)</t>
  </si>
  <si>
    <t xml:space="preserve">Income tax (paid the next month)</t>
  </si>
  <si>
    <t xml:space="preserve">Total cash out</t>
  </si>
  <si>
    <t xml:space="preserve">Net cash flow</t>
  </si>
  <si>
    <t xml:space="preserve">Cash at start of month</t>
  </si>
  <si>
    <t xml:space="preserve">Cash at end of month</t>
  </si>
  <si>
    <t xml:space="preserve">Safety checks</t>
  </si>
  <si>
    <t xml:space="preserve">Cash floor: one month of fixed cost + this month's delivery cost</t>
  </si>
  <si>
    <t xml:space="preserve">Above the floor? (1 = yes, 0 = warning)</t>
  </si>
  <si>
    <t xml:space="preserve">Money clients still owe you (end of month)</t>
  </si>
  <si>
    <t xml:space="preserve">Months of runway if all B2B stopped from here (2027 avg B2C profit)</t>
  </si>
  <si>
    <t xml:space="preserve">Note: this is a monthly model. Because BI pays on the 1st and salaries go out on the 25th, keep cash above the floor line at all times. Prices are assumed to exclude VAT (VAT passes through).</t>
  </si>
  <si>
    <t xml:space="preserve">To fill: numbers we estimated - please replace with your real numbers</t>
  </si>
  <si>
    <t xml:space="preserve">How to use: write your real number in the yellow 'Your real number' column, then copy it into the blue cell named in 'Where to change it' on the Inputs sheet. The model updates everywhere.</t>
  </si>
  <si>
    <t xml:space="preserve">Pillar</t>
  </si>
  <si>
    <t xml:space="preserve">Value used now</t>
  </si>
  <si>
    <t xml:space="preserve">Why it matters</t>
  </si>
  <si>
    <t xml:space="preserve">Where to change it</t>
  </si>
  <si>
    <t xml:space="preserve">Your real number</t>
  </si>
  <si>
    <t xml:space="preserve">e.g.</t>
  </si>
  <si>
    <t xml:space="preserve">2. Fixed cost</t>
  </si>
  <si>
    <t xml:space="preserve">Office rent (example row - do not edit)</t>
  </si>
  <si>
    <t xml:space="preserve">Shows the format to use.</t>
  </si>
  <si>
    <t xml:space="preserve">Inputs!C?</t>
  </si>
  <si>
    <t xml:space="preserve">Done</t>
  </si>
  <si>
    <t xml:space="preserve">1. Unit economics</t>
  </si>
  <si>
    <t xml:space="preserve">If you pay travel yourself, each KPW event loses about Rp 6m of its Rp 12m profit.</t>
  </si>
  <si>
    <t xml:space="preserve">Inputs!C22</t>
  </si>
  <si>
    <t xml:space="preserve">Open</t>
  </si>
  <si>
    <t xml:space="preserve">Only used if the switch above is 0.</t>
  </si>
  <si>
    <t xml:space="preserve">Inputs!C23</t>
  </si>
  <si>
    <t xml:space="preserve">Only used if you pay travel yourself.</t>
  </si>
  <si>
    <t xml:space="preserve">Inputs!C24</t>
  </si>
  <si>
    <t xml:space="preserve">2. Capacity</t>
  </si>
  <si>
    <t xml:space="preserve">Drives handler-days and how many facilitators you must certify.</t>
  </si>
  <si>
    <t xml:space="preserve">Inputs!C30</t>
  </si>
  <si>
    <t xml:space="preserve">Drives handler-days.</t>
  </si>
  <si>
    <t xml:space="preserve">Inputs!C31</t>
  </si>
  <si>
    <t xml:space="preserve">Inputs!C32</t>
  </si>
  <si>
    <t xml:space="preserve">Inputs!C33</t>
  </si>
  <si>
    <t xml:space="preserve">One-off cost each time the pool must grow.</t>
  </si>
  <si>
    <t xml:space="preserve">Inputs!C37</t>
  </si>
  <si>
    <t xml:space="preserve">Bank and regulator vendors need clean books and tax filings.</t>
  </si>
  <si>
    <t xml:space="preserve">Inputs!C47</t>
  </si>
  <si>
    <t xml:space="preserve">Earlier start = less cash buffer in Q1-Q2.</t>
  </si>
  <si>
    <t xml:space="preserve">Inputs!C51</t>
  </si>
  <si>
    <t xml:space="preserve">Starts sales travel spending.</t>
  </si>
  <si>
    <t xml:space="preserve">Inputs!C54</t>
  </si>
  <si>
    <t xml:space="preserve">Main part of B2B customer acquisition cost.</t>
  </si>
  <si>
    <t xml:space="preserve">Inputs!C55</t>
  </si>
  <si>
    <t xml:space="preserve">Decides when Rp 5m is added to fixed cost.</t>
  </si>
  <si>
    <t xml:space="preserve">Inputs!C57</t>
  </si>
  <si>
    <t xml:space="preserve">Decides when a second admin (same salary as admin) is added.</t>
  </si>
  <si>
    <t xml:space="preserve">Inputs!C58</t>
  </si>
  <si>
    <t xml:space="preserve">Only affects the admin trigger.</t>
  </si>
  <si>
    <t xml:space="preserve">Inputs!C59</t>
  </si>
  <si>
    <t xml:space="preserve">If it is not already inside, every event costs more.</t>
  </si>
  <si>
    <t xml:space="preserve">Inputs!C61</t>
  </si>
  <si>
    <t xml:space="preserve">This is Coreitera's revenue line for the investor story.</t>
  </si>
  <si>
    <t xml:space="preserve">Inputs!C62</t>
  </si>
  <si>
    <t xml:space="preserve">Number of Coreitera assessments sold per event.</t>
  </si>
  <si>
    <t xml:space="preserve">Inputs!C63</t>
  </si>
  <si>
    <t xml:space="preserve">Inputs!C64</t>
  </si>
  <si>
    <t xml:space="preserve">Inputs!C65</t>
  </si>
  <si>
    <t xml:space="preserve">Inputs!C66</t>
  </si>
  <si>
    <t xml:space="preserve">This is Theta's revenue line for the investor story.</t>
  </si>
  <si>
    <t xml:space="preserve">Inputs!C67</t>
  </si>
  <si>
    <t xml:space="preserve">Theta volume from EAP.</t>
  </si>
  <si>
    <t xml:space="preserve">Inputs!C68</t>
  </si>
  <si>
    <t xml:space="preserve">Sales cost / new clients = cost to win one client.</t>
  </si>
  <si>
    <t xml:space="preserve">Inputs!C70</t>
  </si>
  <si>
    <t xml:space="preserve">3. Cash</t>
  </si>
  <si>
    <t xml:space="preserve">Cash timing.</t>
  </si>
  <si>
    <t xml:space="preserve">Inputs!C73</t>
  </si>
  <si>
    <t xml:space="preserve">Inputs!C74</t>
  </si>
  <si>
    <t xml:space="preserve">Inputs!C75</t>
  </si>
  <si>
    <t xml:space="preserve">Sending invoices on time moves cash forward by one month.</t>
  </si>
  <si>
    <t xml:space="preserve">Inputs!C76</t>
  </si>
  <si>
    <t xml:space="preserve">Cash timing for new bank clients.</t>
  </si>
  <si>
    <t xml:space="preserve">Inputs!C77</t>
  </si>
  <si>
    <t xml:space="preserve">Inputs!C78</t>
  </si>
  <si>
    <t xml:space="preserve">Inputs!C79</t>
  </si>
  <si>
    <t xml:space="preserve">If you pay normal corporate tax instead, tax is on profit, not revenue.</t>
  </si>
  <si>
    <t xml:space="preserve">Inputs!C80</t>
  </si>
  <si>
    <t xml:space="preserve">Goal</t>
  </si>
  <si>
    <t xml:space="preserve">Used for the pass / fail check on the Summary.</t>
  </si>
  <si>
    <t xml:space="preserve">Inputs!C82</t>
  </si>
  <si>
    <t xml:space="preserve">Measures how much revenue depends on BI.</t>
  </si>
  <si>
    <t xml:space="preserve">Inputs!C83</t>
  </si>
  <si>
    <t xml:space="preserve">Pricing</t>
  </si>
  <si>
    <t xml:space="preserve">New prices should start with the new budget year.</t>
  </si>
  <si>
    <t xml:space="preserve">Inputs!C86</t>
  </si>
  <si>
    <t xml:space="preserve">Biggest single regulator product.</t>
  </si>
  <si>
    <t xml:space="preserve">Inputs!C87</t>
  </si>
  <si>
    <t xml:space="preserve">17 events a year, so each Rp1m matters.</t>
  </si>
  <si>
    <t xml:space="preserve">Inputs!C88</t>
  </si>
  <si>
    <t xml:space="preserve">Price for BRI, Mandiri, BNI, BTN.</t>
  </si>
  <si>
    <t xml:space="preserve">Inputs!C89</t>
  </si>
  <si>
    <t xml:space="preserve">Price for BCA and other private banks.</t>
  </si>
  <si>
    <t xml:space="preserve">Inputs!C90</t>
  </si>
  <si>
    <t xml:space="preserve">Mix between the two bank prices.</t>
  </si>
  <si>
    <t xml:space="preserve">Inputs!C91</t>
  </si>
  <si>
    <t xml:space="preserve">New line item = new budget ceiling, and Coreitera revenue.</t>
  </si>
  <si>
    <t xml:space="preserve">Inputs!C92</t>
  </si>
  <si>
    <t xml:space="preserve">Adds about Rp6m per bank event.</t>
  </si>
  <si>
    <t xml:space="preserve">Inputs!C95</t>
  </si>
  <si>
    <t xml:space="preserve">Sets the top package price for banks.</t>
  </si>
  <si>
    <t xml:space="preserve">Inputs!C97</t>
  </si>
  <si>
    <t xml:space="preserve">The main risk of any price rise.</t>
  </si>
  <si>
    <t xml:space="preserve">Inputs!C98</t>
  </si>
  <si>
    <t xml:space="preserve">Is the Rp 210m free cash? Any unpaid bills, or money clients still owe you?</t>
  </si>
  <si>
    <t xml:space="preserve">Assumed free</t>
  </si>
  <si>
    <t xml:space="preserve">Changes the starting cash.</t>
  </si>
  <si>
    <t xml:space="preserve">Inputs: Cash in bank</t>
  </si>
  <si>
    <t xml:space="preserve">Volume</t>
  </si>
  <si>
    <t xml:space="preserve">Which Oct-Dec 2026 events are signed, and which are still hopes?</t>
  </si>
  <si>
    <t xml:space="preserve">v10 plan</t>
  </si>
  <si>
    <t xml:space="preserve">Q4 2026 is 3 of your 15 months.</t>
  </si>
  <si>
    <t xml:space="preserve">Volume sheet, blue rows</t>
  </si>
  <si>
    <t xml:space="preserve">Is the bank EAP contract live today?</t>
  </si>
  <si>
    <t xml:space="preserve">1 contract all months</t>
  </si>
  <si>
    <t xml:space="preserve">Rp 10m profit per month.</t>
  </si>
  <si>
    <t xml:space="preserve">Volume sheet, EAP row</t>
  </si>
  <si>
    <t xml:space="preserve">What would a bank pay per employee per month for EAP?</t>
  </si>
  <si>
    <t xml:space="preserve">Rp 15m per contract per month</t>
  </si>
  <si>
    <t xml:space="preserve">Needed to price EAP per employee, as the rate card suggests.</t>
  </si>
  <si>
    <t xml:space="preserve">Inputs: Prices</t>
  </si>
  <si>
    <t xml:space="preserve">One real quote from a big trainer to a bank (day rate)</t>
  </si>
  <si>
    <t xml:space="preserve">2.5x your old rate</t>
  </si>
  <si>
    <t xml:space="preserve">Checks the private-bank price.</t>
  </si>
  <si>
    <t xml:space="preserve">Inputs: Rate card</t>
  </si>
  <si>
    <t xml:space="preserve">Live talks with LPS, OJK or a bank: stage and likely close month?</t>
  </si>
  <si>
    <t xml:space="preserve">In v10 KPW/LPS row</t>
  </si>
  <si>
    <t xml:space="preserve">Tests if the 2027 volume is realistic.</t>
  </si>
</sst>
</file>

<file path=xl/styles.xml><?xml version="1.0" encoding="utf-8"?>
<styleSheet xmlns="http://schemas.openxmlformats.org/spreadsheetml/2006/main">
  <numFmts count="9">
    <numFmt numFmtId="164" formatCode="General"/>
    <numFmt numFmtId="165" formatCode="#,##0.0;\(#,##0.0\);\-"/>
    <numFmt numFmtId="166" formatCode="0.0%;\(0.0%\);\-"/>
    <numFmt numFmtId="167" formatCode="#,##0;\(#,##0\);\-"/>
    <numFmt numFmtId="168" formatCode="#,##0.0;\(#,##0.0\);\-"/>
    <numFmt numFmtId="169" formatCode="0.0%"/>
    <numFmt numFmtId="170" formatCode="0"/>
    <numFmt numFmtId="171" formatCode="@"/>
    <numFmt numFmtId="172" formatCode="0.0\x"/>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11"/>
      <color rgb="FF808080"/>
      <name val="Arial"/>
      <family val="0"/>
      <charset val="1"/>
    </font>
    <font>
      <b val="true"/>
      <sz val="11"/>
      <color rgb="FFC00000"/>
      <name val="Arial"/>
      <family val="0"/>
      <charset val="1"/>
    </font>
    <font>
      <b val="true"/>
      <sz val="11"/>
      <color rgb="FFFFFFFF"/>
      <name val="Arial"/>
      <family val="0"/>
      <charset val="1"/>
    </font>
    <font>
      <b val="true"/>
      <sz val="11"/>
      <name val="Arial"/>
      <family val="0"/>
      <charset val="1"/>
    </font>
    <font>
      <sz val="11"/>
      <name val="Arial"/>
      <family val="0"/>
      <charset val="1"/>
    </font>
    <font>
      <sz val="11"/>
      <color rgb="FF0000FF"/>
      <name val="Arial"/>
      <family val="0"/>
      <charset val="1"/>
    </font>
    <font>
      <sz val="11"/>
      <color rgb="FF000000"/>
      <name val="Arial"/>
      <family val="0"/>
      <charset val="1"/>
    </font>
    <font>
      <b val="true"/>
      <sz val="11"/>
      <color theme="1"/>
      <name val="Arial"/>
      <family val="0"/>
      <charset val="1"/>
    </font>
    <font>
      <sz val="11"/>
      <color rgb="FF008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F00"/>
        <bgColor rgb="FFFFFF00"/>
      </patternFill>
    </fill>
    <fill>
      <patternFill patternType="solid">
        <fgColor rgb="FFFFF2CC"/>
        <bgColor rgb="FFE2EFDA"/>
      </patternFill>
    </fill>
    <fill>
      <patternFill patternType="solid">
        <fgColor rgb="FFE2EFDA"/>
        <bgColor rgb="FFD9E1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7" fontId="11" fillId="4"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general" vertical="bottom" textRotation="0" wrapText="false" indent="0" shrinkToFit="false"/>
      <protection locked="true" hidden="false"/>
    </xf>
    <xf numFmtId="166" fontId="11" fillId="4" borderId="0" xfId="0" applyFont="true" applyBorder="false" applyAlignment="true" applyProtection="false">
      <alignment horizontal="general" vertical="bottom" textRotation="0" wrapText="false" indent="0" shrinkToFit="false"/>
      <protection locked="true" hidden="false"/>
    </xf>
    <xf numFmtId="171" fontId="11" fillId="4" borderId="0" xfId="0" applyFont="true" applyBorder="false" applyAlignment="true" applyProtection="false">
      <alignment horizontal="general" vertical="bottom"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72" fontId="11"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72" fontId="5"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8"/>
    <col collapsed="false" customWidth="true" hidden="false" outlineLevel="0" max="4" min="4" style="1" width="80"/>
    <col collapsed="false" customWidth="true" hidden="false" outlineLevel="0" max="6" min="5" style="1" width="16"/>
  </cols>
  <sheetData>
    <row r="1" customFormat="false" ht="17.25" hidden="false" customHeight="true" outlineLevel="0" collapsed="false">
      <c r="A1" s="2" t="s">
        <v>0</v>
      </c>
      <c r="B1" s="3"/>
      <c r="C1" s="3"/>
      <c r="D1" s="3"/>
      <c r="E1" s="3"/>
      <c r="F1" s="3"/>
    </row>
    <row r="2" customFormat="false" ht="15" hidden="false" customHeight="true" outlineLevel="0" collapsed="false">
      <c r="A2" s="4" t="s">
        <v>1</v>
      </c>
      <c r="B2" s="3"/>
      <c r="C2" s="3"/>
      <c r="D2" s="3"/>
      <c r="E2" s="3"/>
      <c r="F2" s="3"/>
    </row>
    <row r="3" customFormat="false" ht="15" hidden="false" customHeight="true" outlineLevel="0" collapsed="false">
      <c r="A3" s="3" t="s">
        <v>2</v>
      </c>
      <c r="B3" s="5" t="str">
        <f aca="false">CHOOSE(Inputs!$C$6,"1. Base plan","2. No new B2B deal Jan-Jun 2027","3. BI cuts volume","4. Worst case (2 + 3)")</f>
        <v>1. Base plan</v>
      </c>
      <c r="C3" s="3"/>
      <c r="D3" s="3"/>
      <c r="E3" s="3"/>
      <c r="F3" s="3"/>
    </row>
    <row r="4" customFormat="false" ht="15" hidden="false" customHeight="true" outlineLevel="0" collapsed="false">
      <c r="A4" s="3" t="s">
        <v>3</v>
      </c>
      <c r="B4" s="5" t="str">
        <f aca="false">CHOOSE(Inputs!$C$85,"1. Current prices","2. New rate card")</f>
        <v>2. New rate card</v>
      </c>
      <c r="C4" s="3"/>
      <c r="D4" s="3"/>
      <c r="E4" s="3"/>
      <c r="F4" s="3"/>
    </row>
    <row r="5" customFormat="false" ht="15" hidden="false" customHeight="true" outlineLevel="0" collapsed="false">
      <c r="A5" s="6" t="s">
        <v>4</v>
      </c>
      <c r="B5" s="6" t="s">
        <v>5</v>
      </c>
      <c r="C5" s="6" t="s">
        <v>6</v>
      </c>
      <c r="D5" s="6" t="s">
        <v>7</v>
      </c>
      <c r="E5" s="3"/>
      <c r="F5" s="3"/>
    </row>
    <row r="6" customFormat="false" ht="15" hidden="false" customHeight="true" outlineLevel="0" collapsed="false">
      <c r="A6" s="7" t="s">
        <v>8</v>
      </c>
      <c r="B6" s="8"/>
      <c r="C6" s="8"/>
      <c r="D6" s="8"/>
      <c r="E6" s="3"/>
      <c r="F6" s="3"/>
    </row>
    <row r="7" customFormat="false" ht="15" hidden="false" customHeight="true" outlineLevel="0" collapsed="false">
      <c r="A7" s="3" t="s">
        <v>9</v>
      </c>
      <c r="B7" s="9" t="n">
        <f aca="false">PnL!$D$12</f>
        <v>1501.5</v>
      </c>
      <c r="C7" s="3" t="s">
        <v>10</v>
      </c>
      <c r="D7" s="3" t="s">
        <v>11</v>
      </c>
      <c r="E7" s="3"/>
      <c r="F7" s="3"/>
    </row>
    <row r="8" customFormat="false" ht="15" hidden="false" customHeight="true" outlineLevel="0" collapsed="false">
      <c r="A8" s="3" t="s">
        <v>12</v>
      </c>
      <c r="B8" s="9" t="n">
        <f aca="false">PnL!$D$23</f>
        <v>1018.05</v>
      </c>
      <c r="C8" s="3" t="s">
        <v>10</v>
      </c>
      <c r="D8" s="3" t="s">
        <v>13</v>
      </c>
      <c r="E8" s="3"/>
      <c r="F8" s="3"/>
    </row>
    <row r="9" customFormat="false" ht="15" hidden="false" customHeight="true" outlineLevel="0" collapsed="false">
      <c r="A9" s="3" t="s">
        <v>14</v>
      </c>
      <c r="B9" s="9" t="n">
        <f aca="false">PnL!$D$31</f>
        <v>632.159</v>
      </c>
      <c r="C9" s="3" t="s">
        <v>10</v>
      </c>
      <c r="D9" s="3" t="s">
        <v>15</v>
      </c>
      <c r="E9" s="3"/>
      <c r="F9" s="3"/>
    </row>
    <row r="10" customFormat="false" ht="15" hidden="false" customHeight="true" outlineLevel="0" collapsed="false">
      <c r="A10" s="3" t="s">
        <v>16</v>
      </c>
      <c r="B10" s="9" t="n">
        <f aca="false">PnL!$D$28</f>
        <v>300</v>
      </c>
      <c r="C10" s="3" t="s">
        <v>10</v>
      </c>
      <c r="D10" s="3" t="s">
        <v>17</v>
      </c>
      <c r="E10" s="3"/>
      <c r="F10" s="3"/>
    </row>
    <row r="11" customFormat="false" ht="15" hidden="false" customHeight="true" outlineLevel="0" collapsed="false">
      <c r="A11" s="3" t="s">
        <v>18</v>
      </c>
      <c r="B11" s="9" t="n">
        <f aca="false">PnL!$D$35</f>
        <v>378.3835</v>
      </c>
      <c r="C11" s="3" t="s">
        <v>10</v>
      </c>
      <c r="D11" s="3" t="s">
        <v>19</v>
      </c>
      <c r="E11" s="3"/>
      <c r="F11" s="3"/>
    </row>
    <row r="12" customFormat="false" ht="15" hidden="false" customHeight="true" outlineLevel="0" collapsed="false">
      <c r="A12" s="3" t="s">
        <v>20</v>
      </c>
      <c r="B12" s="10" t="n">
        <f aca="false">PnL!$D$36</f>
        <v>0.252003663003663</v>
      </c>
      <c r="C12" s="3" t="s">
        <v>21</v>
      </c>
      <c r="D12" s="3" t="s">
        <v>22</v>
      </c>
      <c r="E12" s="3"/>
      <c r="F12" s="3"/>
    </row>
    <row r="13" customFormat="false" ht="15" hidden="false" customHeight="true" outlineLevel="0" collapsed="false">
      <c r="A13" s="3" t="s">
        <v>23</v>
      </c>
      <c r="B13" s="3" t="str">
        <f aca="false">IF(PnL!$D$36&gt;=Inputs!$C$82,"Yes","No")</f>
        <v>Yes</v>
      </c>
      <c r="C13" s="3"/>
      <c r="D13" s="3" t="s">
        <v>24</v>
      </c>
      <c r="E13" s="3"/>
      <c r="F13" s="3"/>
    </row>
    <row r="14" customFormat="false" ht="15" hidden="false" customHeight="true" outlineLevel="0" collapsed="false">
      <c r="A14" s="3" t="s">
        <v>25</v>
      </c>
      <c r="B14" s="9" t="n">
        <f aca="false">IF(Unit_Economics!$G$5&lt;=0,0,(PnL!$D$31/12-(PnL!$D$23-PnL!$D$6-PnL!$D$7+PnL!$D$15+PnL!$D$16)/12)/Unit_Economics!$G$5)</f>
        <v>1.29844292237443</v>
      </c>
      <c r="C14" s="3" t="s">
        <v>26</v>
      </c>
      <c r="D14" s="3" t="s">
        <v>27</v>
      </c>
      <c r="E14" s="3"/>
      <c r="F14" s="3"/>
    </row>
    <row r="15" customFormat="false" ht="15" hidden="false" customHeight="true" outlineLevel="0" collapsed="false">
      <c r="A15" s="7" t="s">
        <v>28</v>
      </c>
      <c r="B15" s="8"/>
      <c r="C15" s="8"/>
      <c r="D15" s="8"/>
      <c r="E15" s="3"/>
      <c r="F15" s="3"/>
    </row>
    <row r="16" customFormat="false" ht="15" hidden="false" customHeight="true" outlineLevel="0" collapsed="false">
      <c r="A16" s="3" t="s">
        <v>29</v>
      </c>
      <c r="B16" s="9" t="n">
        <f aca="false">MIN(CashFlow!$E$21:$S$21)</f>
        <v>203.520083333333</v>
      </c>
      <c r="C16" s="3" t="s">
        <v>10</v>
      </c>
      <c r="D16" s="3" t="s">
        <v>30</v>
      </c>
      <c r="E16" s="3"/>
      <c r="F16" s="3"/>
    </row>
    <row r="17" customFormat="false" ht="15" hidden="false" customHeight="true" outlineLevel="0" collapsed="false">
      <c r="A17" s="3" t="s">
        <v>31</v>
      </c>
      <c r="B17" s="3" t="str">
        <f aca="false">INDEX(Volume!$E$4:$S$4,MATCH(MIN(CashFlow!$E$21:$S$21),CashFlow!$E$21:$S$21,0))</f>
        <v>Oct-26</v>
      </c>
      <c r="C17" s="3"/>
      <c r="D17" s="3" t="s">
        <v>32</v>
      </c>
      <c r="E17" s="3"/>
      <c r="F17" s="3"/>
    </row>
    <row r="18" customFormat="false" ht="15" hidden="false" customHeight="true" outlineLevel="0" collapsed="false">
      <c r="A18" s="3" t="s">
        <v>33</v>
      </c>
      <c r="B18" s="11" t="n">
        <f aca="false">COUNTIF(CashFlow!$E$25:$S$25,0)</f>
        <v>0</v>
      </c>
      <c r="C18" s="3" t="s">
        <v>34</v>
      </c>
      <c r="D18" s="3" t="s">
        <v>35</v>
      </c>
      <c r="E18" s="3"/>
      <c r="F18" s="3"/>
    </row>
    <row r="19" customFormat="false" ht="15" hidden="false" customHeight="true" outlineLevel="0" collapsed="false">
      <c r="A19" s="3" t="s">
        <v>36</v>
      </c>
      <c r="B19" s="9" t="n">
        <f aca="false">CashFlow!$D$21</f>
        <v>733.46125</v>
      </c>
      <c r="C19" s="3" t="s">
        <v>10</v>
      </c>
      <c r="D19" s="3"/>
      <c r="E19" s="3"/>
      <c r="F19" s="3"/>
    </row>
    <row r="20" customFormat="false" ht="15" hidden="false" customHeight="true" outlineLevel="0" collapsed="false">
      <c r="A20" s="3" t="s">
        <v>37</v>
      </c>
      <c r="B20" s="9" t="n">
        <f aca="false">CashFlow!$D$26</f>
        <v>130.95</v>
      </c>
      <c r="C20" s="3" t="s">
        <v>10</v>
      </c>
      <c r="D20" s="3" t="s">
        <v>38</v>
      </c>
      <c r="E20" s="3"/>
      <c r="F20" s="3"/>
    </row>
    <row r="21" customFormat="false" ht="15" hidden="false" customHeight="true" outlineLevel="0" collapsed="false">
      <c r="A21" s="3" t="s">
        <v>39</v>
      </c>
      <c r="B21" s="9" t="n">
        <f aca="false">CashFlow!$G$21/(Capacity_OPEX!$H$32-((PnL!$D$10+PnL!$D$11-PnL!$D$19-PnL!$D$20)/12))</f>
        <v>7.96079762303464</v>
      </c>
      <c r="C21" s="3" t="s">
        <v>34</v>
      </c>
      <c r="D21" s="3" t="s">
        <v>40</v>
      </c>
      <c r="E21" s="3"/>
      <c r="F21" s="3"/>
    </row>
    <row r="22" customFormat="false" ht="15" hidden="false" customHeight="true" outlineLevel="0" collapsed="false">
      <c r="A22" s="7" t="s">
        <v>41</v>
      </c>
      <c r="B22" s="8"/>
      <c r="C22" s="8"/>
      <c r="D22" s="8"/>
      <c r="E22" s="3"/>
      <c r="F22" s="3"/>
    </row>
    <row r="23" customFormat="false" ht="15" hidden="false" customHeight="true" outlineLevel="0" collapsed="false">
      <c r="A23" s="3" t="s">
        <v>42</v>
      </c>
      <c r="B23" s="11" t="n">
        <f aca="false">Capacity_OPEX!$D$8</f>
        <v>7</v>
      </c>
      <c r="C23" s="3" t="s">
        <v>43</v>
      </c>
      <c r="D23" s="3" t="s">
        <v>44</v>
      </c>
      <c r="E23" s="3"/>
      <c r="F23" s="3"/>
    </row>
    <row r="24" customFormat="false" ht="15" hidden="false" customHeight="true" outlineLevel="0" collapsed="false">
      <c r="A24" s="3" t="s">
        <v>45</v>
      </c>
      <c r="B24" s="11" t="n">
        <f aca="false">Capacity_OPEX!$D$9-Inputs!$C$35</f>
        <v>5</v>
      </c>
      <c r="C24" s="3" t="s">
        <v>43</v>
      </c>
      <c r="D24" s="3"/>
      <c r="E24" s="3"/>
      <c r="F24" s="3"/>
    </row>
    <row r="25" customFormat="false" ht="15" hidden="false" customHeight="true" outlineLevel="0" collapsed="false">
      <c r="A25" s="3" t="s">
        <v>46</v>
      </c>
      <c r="B25" s="3" t="str">
        <f aca="false">IFERROR(INDEX(Volume!$E$4:$S$4,MATCH(1,Capacity_OPEX!$E$15:$S$15,0)),"Not needed")</f>
        <v>Dec-26</v>
      </c>
      <c r="C25" s="3"/>
      <c r="D25" s="3" t="s">
        <v>47</v>
      </c>
      <c r="E25" s="3"/>
      <c r="F25" s="3"/>
    </row>
    <row r="26" customFormat="false" ht="15" hidden="false" customHeight="true" outlineLevel="0" collapsed="false">
      <c r="A26" s="7" t="s">
        <v>48</v>
      </c>
      <c r="B26" s="8"/>
      <c r="C26" s="8"/>
      <c r="D26" s="8"/>
      <c r="E26" s="3"/>
      <c r="F26" s="3"/>
    </row>
    <row r="27" customFormat="false" ht="15" hidden="false" customHeight="true" outlineLevel="0" collapsed="false">
      <c r="A27" s="3" t="s">
        <v>49</v>
      </c>
      <c r="B27" s="10" t="n">
        <f aca="false">PnL!$D$41</f>
        <v>0.607276057276057</v>
      </c>
      <c r="C27" s="3" t="s">
        <v>21</v>
      </c>
      <c r="D27" s="3" t="s">
        <v>50</v>
      </c>
      <c r="E27" s="3"/>
      <c r="F27" s="3"/>
    </row>
    <row r="28" customFormat="false" ht="15" hidden="false" customHeight="true" outlineLevel="0" collapsed="false">
      <c r="A28" s="3" t="s">
        <v>51</v>
      </c>
      <c r="B28" s="10" t="n">
        <f aca="false">IF(PnL!$D$12=0,0,PnL!$D$42/PnL!$D$12)</f>
        <v>0.918081918081918</v>
      </c>
      <c r="C28" s="3" t="s">
        <v>21</v>
      </c>
      <c r="D28" s="3"/>
      <c r="E28" s="3"/>
      <c r="F28" s="3"/>
    </row>
    <row r="29" customFormat="false" ht="15" hidden="false" customHeight="true" outlineLevel="0" collapsed="false">
      <c r="A29" s="3" t="s">
        <v>52</v>
      </c>
      <c r="B29" s="10" t="n">
        <f aca="false">IF(PnL!$D$12=0,0,SUM(PnL!Q12:S12)/PnL!$D$12)</f>
        <v>0.401598401598402</v>
      </c>
      <c r="C29" s="3" t="s">
        <v>21</v>
      </c>
      <c r="D29" s="3" t="s">
        <v>53</v>
      </c>
      <c r="E29" s="3"/>
      <c r="F29" s="3"/>
    </row>
    <row r="30" customFormat="false" ht="15" hidden="false" customHeight="true" outlineLevel="0" collapsed="false">
      <c r="A30" s="3" t="s">
        <v>54</v>
      </c>
      <c r="B30" s="9" t="n">
        <f aca="false">Unit_Economics!$B$13</f>
        <v>6</v>
      </c>
      <c r="C30" s="3" t="s">
        <v>10</v>
      </c>
      <c r="D30" s="3" t="s">
        <v>55</v>
      </c>
      <c r="E30" s="3"/>
      <c r="F30" s="3"/>
    </row>
    <row r="31" customFormat="false" ht="15" hidden="false" customHeight="true" outlineLevel="0" collapsed="false">
      <c r="A31" s="3" t="s">
        <v>56</v>
      </c>
      <c r="B31" s="9" t="n">
        <f aca="false">PnL!$D$43</f>
        <v>84</v>
      </c>
      <c r="C31" s="3" t="s">
        <v>10</v>
      </c>
      <c r="D31" s="3" t="s">
        <v>57</v>
      </c>
      <c r="E31" s="3"/>
      <c r="F31" s="3"/>
    </row>
    <row r="32" customFormat="false" ht="15" hidden="false" customHeight="true" outlineLevel="0" collapsed="false">
      <c r="A32" s="3" t="s">
        <v>58</v>
      </c>
      <c r="B32" s="9" t="n">
        <f aca="false">PnL!$D$44</f>
        <v>7.15</v>
      </c>
      <c r="C32" s="3" t="s">
        <v>10</v>
      </c>
      <c r="D32" s="3"/>
      <c r="E32" s="3"/>
      <c r="F32" s="3"/>
    </row>
    <row r="33" customFormat="false" ht="15" hidden="false" customHeight="true" outlineLevel="0" collapsed="false">
      <c r="A33" s="3"/>
      <c r="B33" s="3"/>
      <c r="C33" s="3"/>
      <c r="D33" s="3"/>
      <c r="E33" s="3"/>
      <c r="F33" s="3"/>
    </row>
    <row r="34" customFormat="false" ht="15" hidden="false" customHeight="true" outlineLevel="0" collapsed="false">
      <c r="A34" s="12" t="s">
        <v>59</v>
      </c>
      <c r="B34" s="3"/>
      <c r="C34" s="3"/>
      <c r="D34" s="3"/>
      <c r="E34" s="3"/>
      <c r="F34" s="3"/>
    </row>
    <row r="35" customFormat="false" ht="15" hidden="false" customHeight="true" outlineLevel="0" collapsed="false">
      <c r="A35" s="6" t="s">
        <v>60</v>
      </c>
      <c r="B35" s="6" t="s">
        <v>61</v>
      </c>
      <c r="C35" s="6" t="s">
        <v>62</v>
      </c>
      <c r="D35" s="6" t="s">
        <v>63</v>
      </c>
      <c r="E35" s="6" t="s">
        <v>64</v>
      </c>
      <c r="F35" s="6" t="s">
        <v>65</v>
      </c>
    </row>
    <row r="36" customFormat="false" ht="15" hidden="false" customHeight="true" outlineLevel="0" collapsed="false">
      <c r="A36" s="3" t="s">
        <v>9</v>
      </c>
      <c r="B36" s="13" t="n">
        <v>1208</v>
      </c>
      <c r="C36" s="13" t="n">
        <v>1501.5</v>
      </c>
      <c r="D36" s="13" t="n">
        <v>1162.5</v>
      </c>
      <c r="E36" s="13" t="n">
        <v>1227.9525</v>
      </c>
      <c r="F36" s="13" t="n">
        <v>970.755</v>
      </c>
    </row>
    <row r="37" customFormat="false" ht="15" hidden="false" customHeight="true" outlineLevel="0" collapsed="false">
      <c r="A37" s="3" t="s">
        <v>18</v>
      </c>
      <c r="B37" s="13" t="n">
        <v>151.601</v>
      </c>
      <c r="C37" s="13" t="n">
        <v>378.3835</v>
      </c>
      <c r="D37" s="13" t="n">
        <v>142.8285</v>
      </c>
      <c r="E37" s="13" t="n">
        <v>252.6374875</v>
      </c>
      <c r="F37" s="13" t="n">
        <v>73.834725</v>
      </c>
    </row>
    <row r="38" customFormat="false" ht="15" hidden="false" customHeight="true" outlineLevel="0" collapsed="false">
      <c r="A38" s="3" t="s">
        <v>20</v>
      </c>
      <c r="B38" s="14" t="n">
        <v>0.125497516556291</v>
      </c>
      <c r="C38" s="14" t="n">
        <v>0.252003663003663</v>
      </c>
      <c r="D38" s="14" t="n">
        <v>0.122863225806452</v>
      </c>
      <c r="E38" s="14" t="n">
        <v>0.205738811151083</v>
      </c>
      <c r="F38" s="14" t="n">
        <v>0.0760590725775299</v>
      </c>
    </row>
    <row r="39" customFormat="false" ht="15" hidden="false" customHeight="true" outlineLevel="0" collapsed="false">
      <c r="A39" s="3" t="s">
        <v>29</v>
      </c>
      <c r="B39" s="13" t="n">
        <v>203.520083333333</v>
      </c>
      <c r="C39" s="13" t="n">
        <v>203.520083333333</v>
      </c>
      <c r="D39" s="13" t="n">
        <v>179.525833333333</v>
      </c>
      <c r="E39" s="13" t="n">
        <v>199.440083333333</v>
      </c>
      <c r="F39" s="13" t="n">
        <v>161.008083333333</v>
      </c>
    </row>
    <row r="40" customFormat="false" ht="15" hidden="false" customHeight="true" outlineLevel="0" collapsed="false">
      <c r="A40" s="3" t="s">
        <v>31</v>
      </c>
      <c r="B40" s="15" t="s">
        <v>66</v>
      </c>
      <c r="C40" s="15" t="s">
        <v>66</v>
      </c>
      <c r="D40" s="15" t="s">
        <v>67</v>
      </c>
      <c r="E40" s="15" t="s">
        <v>66</v>
      </c>
      <c r="F40" s="15" t="s">
        <v>67</v>
      </c>
    </row>
    <row r="41" customFormat="false" ht="15" hidden="false" customHeight="true" outlineLevel="0" collapsed="false">
      <c r="A41" s="3" t="s">
        <v>33</v>
      </c>
      <c r="B41" s="16" t="n">
        <v>0</v>
      </c>
      <c r="C41" s="16" t="n">
        <v>0</v>
      </c>
      <c r="D41" s="16" t="n">
        <v>0</v>
      </c>
      <c r="E41" s="16" t="n">
        <v>0</v>
      </c>
      <c r="F41" s="16" t="n">
        <v>0</v>
      </c>
    </row>
    <row r="42" customFormat="false" ht="15" hidden="false" customHeight="true" outlineLevel="0" collapsed="false">
      <c r="A42" s="3" t="s">
        <v>36</v>
      </c>
      <c r="B42" s="13" t="n">
        <v>522.01625</v>
      </c>
      <c r="C42" s="13" t="n">
        <v>733.46125</v>
      </c>
      <c r="D42" s="13" t="n">
        <v>497.90625</v>
      </c>
      <c r="E42" s="13" t="n">
        <v>577.08355</v>
      </c>
      <c r="F42" s="13" t="n">
        <v>398.2807875</v>
      </c>
    </row>
    <row r="43" customFormat="false" ht="15" hidden="false" customHeight="true" outlineLevel="0" collapsed="false">
      <c r="A43" s="3" t="s">
        <v>49</v>
      </c>
      <c r="B43" s="14" t="n">
        <v>0.591059602649007</v>
      </c>
      <c r="C43" s="14" t="n">
        <v>0.607276057276057</v>
      </c>
      <c r="D43" s="14" t="n">
        <v>0.549806451612903</v>
      </c>
      <c r="E43" s="14" t="n">
        <v>0.534881947795212</v>
      </c>
      <c r="F43" s="14" t="n">
        <v>0.476605065129719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58"/>
    <col collapsed="false" customWidth="true" hidden="false" outlineLevel="0" max="3" min="3" style="1" width="12"/>
    <col collapsed="false" customWidth="true" hidden="false" outlineLevel="0" max="4" min="4" style="1" width="18"/>
    <col collapsed="false" customWidth="true" hidden="false" outlineLevel="0" max="5" min="5" style="1" width="20"/>
    <col collapsed="false" customWidth="true" hidden="false" outlineLevel="0" max="6" min="6" style="1" width="80"/>
  </cols>
  <sheetData>
    <row r="1" customFormat="false" ht="17.25" hidden="false" customHeight="true" outlineLevel="0" collapsed="false">
      <c r="A1" s="2" t="s">
        <v>68</v>
      </c>
      <c r="B1" s="3"/>
      <c r="C1" s="3"/>
      <c r="D1" s="3"/>
      <c r="E1" s="3"/>
      <c r="F1" s="3"/>
    </row>
    <row r="2" customFormat="false" ht="45" hidden="false" customHeight="true" outlineLevel="0" collapsed="false">
      <c r="A2" s="17" t="s">
        <v>69</v>
      </c>
      <c r="B2" s="17"/>
      <c r="C2" s="17"/>
      <c r="D2" s="17"/>
      <c r="E2" s="17"/>
      <c r="F2" s="17"/>
    </row>
    <row r="3" customFormat="false" ht="15" hidden="false" customHeight="true" outlineLevel="0" collapsed="false">
      <c r="A3" s="3"/>
      <c r="B3" s="3"/>
      <c r="C3" s="3"/>
      <c r="D3" s="3"/>
      <c r="E3" s="3"/>
      <c r="F3" s="3"/>
    </row>
    <row r="4" customFormat="false" ht="15" hidden="false" customHeight="true" outlineLevel="0" collapsed="false">
      <c r="A4" s="6" t="s">
        <v>70</v>
      </c>
      <c r="B4" s="6" t="s">
        <v>71</v>
      </c>
      <c r="C4" s="6" t="s">
        <v>72</v>
      </c>
      <c r="D4" s="6" t="s">
        <v>6</v>
      </c>
      <c r="E4" s="6" t="s">
        <v>73</v>
      </c>
      <c r="F4" s="6" t="s">
        <v>74</v>
      </c>
    </row>
    <row r="5" customFormat="false" ht="15" hidden="false" customHeight="true" outlineLevel="0" collapsed="false">
      <c r="A5" s="7" t="s">
        <v>75</v>
      </c>
      <c r="B5" s="8"/>
      <c r="C5" s="8"/>
      <c r="D5" s="8"/>
      <c r="E5" s="8"/>
      <c r="F5" s="8"/>
    </row>
    <row r="6" customFormat="false" ht="26.25" hidden="false" customHeight="true" outlineLevel="0" collapsed="false">
      <c r="A6" s="4" t="s">
        <v>76</v>
      </c>
      <c r="B6" s="3" t="s">
        <v>77</v>
      </c>
      <c r="C6" s="18" t="n">
        <v>1</v>
      </c>
      <c r="D6" s="3" t="s">
        <v>78</v>
      </c>
      <c r="E6" s="3" t="s">
        <v>79</v>
      </c>
      <c r="F6" s="19" t="s">
        <v>80</v>
      </c>
    </row>
    <row r="7" customFormat="false" ht="15" hidden="false" customHeight="true" outlineLevel="0" collapsed="false">
      <c r="A7" s="4" t="s">
        <v>81</v>
      </c>
      <c r="B7" s="3" t="s">
        <v>82</v>
      </c>
      <c r="C7" s="20" t="n">
        <v>0.3</v>
      </c>
      <c r="D7" s="3" t="s">
        <v>21</v>
      </c>
      <c r="E7" s="3" t="s">
        <v>79</v>
      </c>
      <c r="F7" s="19" t="s">
        <v>83</v>
      </c>
    </row>
    <row r="8" customFormat="false" ht="15" hidden="false" customHeight="true" outlineLevel="0" collapsed="false">
      <c r="A8" s="7" t="s">
        <v>84</v>
      </c>
      <c r="B8" s="8"/>
      <c r="C8" s="8"/>
      <c r="D8" s="8"/>
      <c r="E8" s="8"/>
      <c r="F8" s="8"/>
    </row>
    <row r="9" customFormat="false" ht="15" hidden="false" customHeight="true" outlineLevel="0" collapsed="false">
      <c r="A9" s="4" t="s">
        <v>85</v>
      </c>
      <c r="B9" s="3" t="s">
        <v>86</v>
      </c>
      <c r="C9" s="21" t="n">
        <v>85</v>
      </c>
      <c r="D9" s="3" t="s">
        <v>87</v>
      </c>
      <c r="E9" s="3" t="s">
        <v>79</v>
      </c>
      <c r="F9" s="19" t="s">
        <v>88</v>
      </c>
    </row>
    <row r="10" customFormat="false" ht="15" hidden="false" customHeight="true" outlineLevel="0" collapsed="false">
      <c r="A10" s="4" t="s">
        <v>89</v>
      </c>
      <c r="B10" s="3" t="s">
        <v>90</v>
      </c>
      <c r="C10" s="21" t="n">
        <v>20</v>
      </c>
      <c r="D10" s="3" t="s">
        <v>87</v>
      </c>
      <c r="E10" s="3" t="s">
        <v>79</v>
      </c>
      <c r="F10" s="19" t="s">
        <v>88</v>
      </c>
    </row>
    <row r="11" customFormat="false" ht="15" hidden="false" customHeight="true" outlineLevel="0" collapsed="false">
      <c r="A11" s="4" t="s">
        <v>91</v>
      </c>
      <c r="B11" s="3" t="s">
        <v>92</v>
      </c>
      <c r="C11" s="21" t="n">
        <v>35</v>
      </c>
      <c r="D11" s="3" t="s">
        <v>87</v>
      </c>
      <c r="E11" s="3" t="s">
        <v>79</v>
      </c>
      <c r="F11" s="19" t="s">
        <v>88</v>
      </c>
    </row>
    <row r="12" customFormat="false" ht="15" hidden="false" customHeight="true" outlineLevel="0" collapsed="false">
      <c r="A12" s="4" t="s">
        <v>93</v>
      </c>
      <c r="B12" s="3" t="s">
        <v>94</v>
      </c>
      <c r="C12" s="21" t="n">
        <v>15</v>
      </c>
      <c r="D12" s="3" t="s">
        <v>95</v>
      </c>
      <c r="E12" s="3" t="s">
        <v>79</v>
      </c>
      <c r="F12" s="19" t="s">
        <v>88</v>
      </c>
    </row>
    <row r="13" customFormat="false" ht="15" hidden="false" customHeight="true" outlineLevel="0" collapsed="false">
      <c r="A13" s="4" t="s">
        <v>96</v>
      </c>
      <c r="B13" s="3" t="s">
        <v>97</v>
      </c>
      <c r="C13" s="21" t="n">
        <v>20</v>
      </c>
      <c r="D13" s="3" t="s">
        <v>87</v>
      </c>
      <c r="E13" s="3" t="s">
        <v>79</v>
      </c>
      <c r="F13" s="19" t="s">
        <v>88</v>
      </c>
    </row>
    <row r="14" customFormat="false" ht="15" hidden="false" customHeight="true" outlineLevel="0" collapsed="false">
      <c r="A14" s="4" t="s">
        <v>98</v>
      </c>
      <c r="B14" s="3" t="s">
        <v>99</v>
      </c>
      <c r="C14" s="21" t="n">
        <v>1</v>
      </c>
      <c r="D14" s="3" t="s">
        <v>100</v>
      </c>
      <c r="E14" s="3" t="s">
        <v>79</v>
      </c>
      <c r="F14" s="19" t="s">
        <v>101</v>
      </c>
    </row>
    <row r="15" customFormat="false" ht="15" hidden="false" customHeight="true" outlineLevel="0" collapsed="false">
      <c r="A15" s="7" t="s">
        <v>102</v>
      </c>
      <c r="B15" s="8"/>
      <c r="C15" s="8"/>
      <c r="D15" s="8"/>
      <c r="E15" s="8"/>
      <c r="F15" s="8"/>
    </row>
    <row r="16" customFormat="false" ht="15" hidden="false" customHeight="true" outlineLevel="0" collapsed="false">
      <c r="A16" s="4" t="s">
        <v>103</v>
      </c>
      <c r="B16" s="3" t="s">
        <v>104</v>
      </c>
      <c r="C16" s="21" t="n">
        <v>25</v>
      </c>
      <c r="D16" s="3" t="s">
        <v>87</v>
      </c>
      <c r="E16" s="3" t="s">
        <v>79</v>
      </c>
      <c r="F16" s="19" t="s">
        <v>105</v>
      </c>
    </row>
    <row r="17" customFormat="false" ht="26.25" hidden="false" customHeight="true" outlineLevel="0" collapsed="false">
      <c r="A17" s="4" t="s">
        <v>106</v>
      </c>
      <c r="B17" s="3" t="s">
        <v>107</v>
      </c>
      <c r="C17" s="21" t="n">
        <v>8</v>
      </c>
      <c r="D17" s="3" t="s">
        <v>87</v>
      </c>
      <c r="E17" s="3" t="s">
        <v>79</v>
      </c>
      <c r="F17" s="19" t="s">
        <v>108</v>
      </c>
    </row>
    <row r="18" customFormat="false" ht="15" hidden="false" customHeight="true" outlineLevel="0" collapsed="false">
      <c r="A18" s="4" t="s">
        <v>109</v>
      </c>
      <c r="B18" s="3" t="s">
        <v>110</v>
      </c>
      <c r="C18" s="21" t="n">
        <v>12</v>
      </c>
      <c r="D18" s="3" t="s">
        <v>87</v>
      </c>
      <c r="E18" s="3" t="s">
        <v>79</v>
      </c>
      <c r="F18" s="19" t="s">
        <v>88</v>
      </c>
    </row>
    <row r="19" customFormat="false" ht="15" hidden="false" customHeight="true" outlineLevel="0" collapsed="false">
      <c r="A19" s="4" t="s">
        <v>111</v>
      </c>
      <c r="B19" s="3" t="s">
        <v>112</v>
      </c>
      <c r="C19" s="21" t="n">
        <v>5</v>
      </c>
      <c r="D19" s="3" t="s">
        <v>95</v>
      </c>
      <c r="E19" s="3" t="s">
        <v>79</v>
      </c>
      <c r="F19" s="19" t="s">
        <v>113</v>
      </c>
    </row>
    <row r="20" customFormat="false" ht="15" hidden="false" customHeight="true" outlineLevel="0" collapsed="false">
      <c r="A20" s="4" t="s">
        <v>114</v>
      </c>
      <c r="B20" s="3" t="s">
        <v>115</v>
      </c>
      <c r="C20" s="21" t="n">
        <v>8</v>
      </c>
      <c r="D20" s="3" t="s">
        <v>87</v>
      </c>
      <c r="E20" s="3" t="s">
        <v>79</v>
      </c>
      <c r="F20" s="19" t="s">
        <v>116</v>
      </c>
    </row>
    <row r="21" customFormat="false" ht="15" hidden="false" customHeight="true" outlineLevel="0" collapsed="false">
      <c r="A21" s="4" t="s">
        <v>117</v>
      </c>
      <c r="B21" s="3" t="s">
        <v>118</v>
      </c>
      <c r="C21" s="20" t="n">
        <v>0.4</v>
      </c>
      <c r="D21" s="3" t="s">
        <v>119</v>
      </c>
      <c r="E21" s="3" t="s">
        <v>79</v>
      </c>
      <c r="F21" s="19" t="s">
        <v>120</v>
      </c>
    </row>
    <row r="22" customFormat="false" ht="15" hidden="false" customHeight="true" outlineLevel="0" collapsed="false">
      <c r="A22" s="4" t="s">
        <v>121</v>
      </c>
      <c r="B22" s="3" t="s">
        <v>122</v>
      </c>
      <c r="C22" s="22" t="n">
        <v>1</v>
      </c>
      <c r="D22" s="3" t="s">
        <v>123</v>
      </c>
      <c r="E22" s="23" t="s">
        <v>124</v>
      </c>
      <c r="F22" s="19" t="s">
        <v>125</v>
      </c>
    </row>
    <row r="23" customFormat="false" ht="15" hidden="false" customHeight="true" outlineLevel="0" collapsed="false">
      <c r="A23" s="4" t="s">
        <v>126</v>
      </c>
      <c r="B23" s="3" t="s">
        <v>127</v>
      </c>
      <c r="C23" s="24" t="n">
        <v>3.5</v>
      </c>
      <c r="D23" s="3" t="s">
        <v>128</v>
      </c>
      <c r="E23" s="23" t="s">
        <v>124</v>
      </c>
      <c r="F23" s="19" t="s">
        <v>129</v>
      </c>
    </row>
    <row r="24" customFormat="false" ht="15" hidden="false" customHeight="true" outlineLevel="0" collapsed="false">
      <c r="A24" s="4" t="s">
        <v>130</v>
      </c>
      <c r="B24" s="3" t="s">
        <v>131</v>
      </c>
      <c r="C24" s="25" t="n">
        <v>0.8</v>
      </c>
      <c r="D24" s="3" t="s">
        <v>21</v>
      </c>
      <c r="E24" s="23" t="s">
        <v>124</v>
      </c>
      <c r="F24" s="19" t="s">
        <v>132</v>
      </c>
    </row>
    <row r="25" customFormat="false" ht="15" hidden="false" customHeight="true" outlineLevel="0" collapsed="false">
      <c r="A25" s="7" t="s">
        <v>133</v>
      </c>
      <c r="B25" s="8"/>
      <c r="C25" s="8"/>
      <c r="D25" s="8"/>
      <c r="E25" s="8"/>
      <c r="F25" s="8"/>
    </row>
    <row r="26" customFormat="false" ht="15" hidden="false" customHeight="true" outlineLevel="0" collapsed="false">
      <c r="A26" s="4" t="s">
        <v>134</v>
      </c>
      <c r="B26" s="3" t="s">
        <v>135</v>
      </c>
      <c r="C26" s="18" t="n">
        <v>4</v>
      </c>
      <c r="D26" s="3" t="s">
        <v>43</v>
      </c>
      <c r="E26" s="3" t="s">
        <v>79</v>
      </c>
      <c r="F26" s="19" t="s">
        <v>136</v>
      </c>
    </row>
    <row r="27" customFormat="false" ht="15" hidden="false" customHeight="true" outlineLevel="0" collapsed="false">
      <c r="A27" s="4" t="s">
        <v>137</v>
      </c>
      <c r="B27" s="3" t="s">
        <v>138</v>
      </c>
      <c r="C27" s="18" t="n">
        <v>2</v>
      </c>
      <c r="D27" s="3" t="s">
        <v>43</v>
      </c>
      <c r="E27" s="3" t="s">
        <v>79</v>
      </c>
      <c r="F27" s="19" t="s">
        <v>139</v>
      </c>
    </row>
    <row r="28" customFormat="false" ht="15" hidden="false" customHeight="true" outlineLevel="0" collapsed="false">
      <c r="A28" s="4" t="s">
        <v>140</v>
      </c>
      <c r="B28" s="3" t="s">
        <v>141</v>
      </c>
      <c r="C28" s="18" t="n">
        <v>2</v>
      </c>
      <c r="D28" s="3" t="s">
        <v>43</v>
      </c>
      <c r="E28" s="3" t="s">
        <v>79</v>
      </c>
      <c r="F28" s="19" t="s">
        <v>139</v>
      </c>
    </row>
    <row r="29" customFormat="false" ht="15" hidden="false" customHeight="true" outlineLevel="0" collapsed="false">
      <c r="A29" s="4" t="s">
        <v>142</v>
      </c>
      <c r="B29" s="3" t="s">
        <v>143</v>
      </c>
      <c r="C29" s="18" t="n">
        <v>2</v>
      </c>
      <c r="D29" s="3" t="s">
        <v>43</v>
      </c>
      <c r="E29" s="3" t="s">
        <v>79</v>
      </c>
      <c r="F29" s="19" t="s">
        <v>144</v>
      </c>
    </row>
    <row r="30" customFormat="false" ht="15" hidden="false" customHeight="true" outlineLevel="0" collapsed="false">
      <c r="A30" s="4" t="s">
        <v>145</v>
      </c>
      <c r="B30" s="3" t="s">
        <v>146</v>
      </c>
      <c r="C30" s="22" t="n">
        <v>3</v>
      </c>
      <c r="D30" s="3" t="s">
        <v>147</v>
      </c>
      <c r="E30" s="23" t="s">
        <v>124</v>
      </c>
      <c r="F30" s="19" t="s">
        <v>148</v>
      </c>
    </row>
    <row r="31" customFormat="false" ht="15" hidden="false" customHeight="true" outlineLevel="0" collapsed="false">
      <c r="A31" s="4" t="s">
        <v>149</v>
      </c>
      <c r="B31" s="3" t="s">
        <v>150</v>
      </c>
      <c r="C31" s="22" t="n">
        <v>1</v>
      </c>
      <c r="D31" s="3" t="s">
        <v>147</v>
      </c>
      <c r="E31" s="23" t="s">
        <v>124</v>
      </c>
      <c r="F31" s="19" t="s">
        <v>151</v>
      </c>
    </row>
    <row r="32" customFormat="false" ht="15" hidden="false" customHeight="true" outlineLevel="0" collapsed="false">
      <c r="A32" s="4" t="s">
        <v>152</v>
      </c>
      <c r="B32" s="3" t="s">
        <v>153</v>
      </c>
      <c r="C32" s="22" t="n">
        <v>1</v>
      </c>
      <c r="D32" s="3" t="s">
        <v>147</v>
      </c>
      <c r="E32" s="23" t="s">
        <v>124</v>
      </c>
      <c r="F32" s="19" t="s">
        <v>151</v>
      </c>
    </row>
    <row r="33" customFormat="false" ht="15" hidden="false" customHeight="true" outlineLevel="0" collapsed="false">
      <c r="A33" s="4" t="s">
        <v>154</v>
      </c>
      <c r="B33" s="3" t="s">
        <v>155</v>
      </c>
      <c r="C33" s="22" t="n">
        <v>1</v>
      </c>
      <c r="D33" s="3" t="s">
        <v>147</v>
      </c>
      <c r="E33" s="23" t="s">
        <v>124</v>
      </c>
      <c r="F33" s="19" t="s">
        <v>156</v>
      </c>
    </row>
    <row r="34" customFormat="false" ht="15" hidden="false" customHeight="true" outlineLevel="0" collapsed="false">
      <c r="A34" s="4" t="s">
        <v>157</v>
      </c>
      <c r="B34" s="3" t="s">
        <v>158</v>
      </c>
      <c r="C34" s="18" t="n">
        <v>2</v>
      </c>
      <c r="D34" s="3" t="s">
        <v>26</v>
      </c>
      <c r="E34" s="3" t="s">
        <v>79</v>
      </c>
      <c r="F34" s="19" t="s">
        <v>159</v>
      </c>
    </row>
    <row r="35" customFormat="false" ht="15" hidden="false" customHeight="true" outlineLevel="0" collapsed="false">
      <c r="A35" s="4" t="s">
        <v>160</v>
      </c>
      <c r="B35" s="3" t="s">
        <v>161</v>
      </c>
      <c r="C35" s="18" t="n">
        <v>2</v>
      </c>
      <c r="D35" s="3" t="s">
        <v>43</v>
      </c>
      <c r="E35" s="3" t="s">
        <v>79</v>
      </c>
      <c r="F35" s="19" t="s">
        <v>162</v>
      </c>
    </row>
    <row r="36" customFormat="false" ht="15" hidden="false" customHeight="true" outlineLevel="0" collapsed="false">
      <c r="A36" s="4" t="s">
        <v>163</v>
      </c>
      <c r="B36" s="3" t="s">
        <v>164</v>
      </c>
      <c r="C36" s="18" t="n">
        <v>11</v>
      </c>
      <c r="D36" s="3" t="s">
        <v>43</v>
      </c>
      <c r="E36" s="3" t="s">
        <v>79</v>
      </c>
      <c r="F36" s="19" t="s">
        <v>165</v>
      </c>
    </row>
    <row r="37" customFormat="false" ht="15" hidden="false" customHeight="true" outlineLevel="0" collapsed="false">
      <c r="A37" s="4" t="s">
        <v>166</v>
      </c>
      <c r="B37" s="3" t="s">
        <v>167</v>
      </c>
      <c r="C37" s="24" t="n">
        <v>2.5</v>
      </c>
      <c r="D37" s="3" t="s">
        <v>128</v>
      </c>
      <c r="E37" s="23" t="s">
        <v>124</v>
      </c>
      <c r="F37" s="19" t="s">
        <v>168</v>
      </c>
    </row>
    <row r="38" customFormat="false" ht="15" hidden="false" customHeight="true" outlineLevel="0" collapsed="false">
      <c r="A38" s="7" t="s">
        <v>169</v>
      </c>
      <c r="B38" s="8"/>
      <c r="C38" s="8"/>
      <c r="D38" s="8"/>
      <c r="E38" s="8"/>
      <c r="F38" s="8"/>
    </row>
    <row r="39" customFormat="false" ht="15" hidden="false" customHeight="true" outlineLevel="0" collapsed="false">
      <c r="A39" s="4" t="s">
        <v>170</v>
      </c>
      <c r="B39" s="3" t="s">
        <v>171</v>
      </c>
      <c r="C39" s="21" t="n">
        <v>2.5</v>
      </c>
      <c r="D39" s="3" t="s">
        <v>95</v>
      </c>
      <c r="E39" s="3" t="s">
        <v>79</v>
      </c>
      <c r="F39" s="19" t="s">
        <v>172</v>
      </c>
    </row>
    <row r="40" customFormat="false" ht="15" hidden="false" customHeight="true" outlineLevel="0" collapsed="false">
      <c r="A40" s="4" t="s">
        <v>173</v>
      </c>
      <c r="B40" s="3" t="s">
        <v>174</v>
      </c>
      <c r="C40" s="21" t="n">
        <v>1.5</v>
      </c>
      <c r="D40" s="3" t="s">
        <v>95</v>
      </c>
      <c r="E40" s="3" t="s">
        <v>79</v>
      </c>
      <c r="F40" s="19" t="s">
        <v>172</v>
      </c>
    </row>
    <row r="41" customFormat="false" ht="15" hidden="false" customHeight="true" outlineLevel="0" collapsed="false">
      <c r="A41" s="4" t="s">
        <v>175</v>
      </c>
      <c r="B41" s="3" t="s">
        <v>176</v>
      </c>
      <c r="C41" s="21" t="n">
        <v>1</v>
      </c>
      <c r="D41" s="3" t="s">
        <v>95</v>
      </c>
      <c r="E41" s="3" t="s">
        <v>79</v>
      </c>
      <c r="F41" s="19" t="s">
        <v>172</v>
      </c>
    </row>
    <row r="42" customFormat="false" ht="15" hidden="false" customHeight="true" outlineLevel="0" collapsed="false">
      <c r="A42" s="4" t="s">
        <v>177</v>
      </c>
      <c r="B42" s="3" t="s">
        <v>178</v>
      </c>
      <c r="C42" s="21" t="n">
        <v>2.3</v>
      </c>
      <c r="D42" s="3" t="s">
        <v>95</v>
      </c>
      <c r="E42" s="3" t="s">
        <v>79</v>
      </c>
      <c r="F42" s="19" t="s">
        <v>172</v>
      </c>
    </row>
    <row r="43" customFormat="false" ht="15" hidden="false" customHeight="true" outlineLevel="0" collapsed="false">
      <c r="A43" s="4" t="s">
        <v>179</v>
      </c>
      <c r="B43" s="3" t="s">
        <v>180</v>
      </c>
      <c r="C43" s="21" t="n">
        <v>3</v>
      </c>
      <c r="D43" s="3" t="s">
        <v>95</v>
      </c>
      <c r="E43" s="3" t="s">
        <v>79</v>
      </c>
      <c r="F43" s="19" t="s">
        <v>181</v>
      </c>
    </row>
    <row r="44" customFormat="false" ht="15" hidden="false" customHeight="true" outlineLevel="0" collapsed="false">
      <c r="A44" s="4" t="s">
        <v>182</v>
      </c>
      <c r="B44" s="3" t="s">
        <v>183</v>
      </c>
      <c r="C44" s="21" t="n">
        <v>1</v>
      </c>
      <c r="D44" s="3" t="s">
        <v>95</v>
      </c>
      <c r="E44" s="3" t="s">
        <v>79</v>
      </c>
      <c r="F44" s="19" t="s">
        <v>172</v>
      </c>
    </row>
    <row r="45" customFormat="false" ht="15" hidden="false" customHeight="true" outlineLevel="0" collapsed="false">
      <c r="A45" s="4" t="s">
        <v>184</v>
      </c>
      <c r="B45" s="3" t="s">
        <v>185</v>
      </c>
      <c r="C45" s="21" t="n">
        <v>2.07991666666667</v>
      </c>
      <c r="D45" s="3" t="s">
        <v>95</v>
      </c>
      <c r="E45" s="3" t="s">
        <v>79</v>
      </c>
      <c r="F45" s="19" t="s">
        <v>186</v>
      </c>
    </row>
    <row r="46" customFormat="false" ht="15" hidden="false" customHeight="true" outlineLevel="0" collapsed="false">
      <c r="A46" s="4" t="s">
        <v>187</v>
      </c>
      <c r="B46" s="3" t="s">
        <v>188</v>
      </c>
      <c r="C46" s="21" t="n">
        <v>5.8</v>
      </c>
      <c r="D46" s="3" t="s">
        <v>95</v>
      </c>
      <c r="E46" s="3" t="s">
        <v>79</v>
      </c>
      <c r="F46" s="19" t="s">
        <v>189</v>
      </c>
    </row>
    <row r="47" customFormat="false" ht="26.25" hidden="false" customHeight="true" outlineLevel="0" collapsed="false">
      <c r="A47" s="4" t="s">
        <v>190</v>
      </c>
      <c r="B47" s="3" t="s">
        <v>191</v>
      </c>
      <c r="C47" s="24" t="n">
        <v>1.5</v>
      </c>
      <c r="D47" s="3" t="s">
        <v>95</v>
      </c>
      <c r="E47" s="23" t="s">
        <v>124</v>
      </c>
      <c r="F47" s="19" t="s">
        <v>192</v>
      </c>
    </row>
    <row r="48" customFormat="false" ht="15" hidden="false" customHeight="true" outlineLevel="0" collapsed="false">
      <c r="A48" s="7" t="s">
        <v>193</v>
      </c>
      <c r="B48" s="8"/>
      <c r="C48" s="8"/>
      <c r="D48" s="8"/>
      <c r="E48" s="8"/>
      <c r="F48" s="8"/>
    </row>
    <row r="49" customFormat="false" ht="15" hidden="false" customHeight="true" outlineLevel="0" collapsed="false">
      <c r="A49" s="4" t="s">
        <v>194</v>
      </c>
      <c r="B49" s="3" t="s">
        <v>195</v>
      </c>
      <c r="C49" s="21" t="n">
        <v>15</v>
      </c>
      <c r="D49" s="3" t="s">
        <v>95</v>
      </c>
      <c r="E49" s="3" t="s">
        <v>79</v>
      </c>
      <c r="F49" s="19" t="s">
        <v>196</v>
      </c>
    </row>
    <row r="50" customFormat="false" ht="15" hidden="false" customHeight="true" outlineLevel="0" collapsed="false">
      <c r="A50" s="4" t="s">
        <v>197</v>
      </c>
      <c r="B50" s="3" t="s">
        <v>198</v>
      </c>
      <c r="C50" s="21" t="n">
        <v>10</v>
      </c>
      <c r="D50" s="3" t="s">
        <v>95</v>
      </c>
      <c r="E50" s="3" t="s">
        <v>79</v>
      </c>
      <c r="F50" s="19" t="s">
        <v>196</v>
      </c>
    </row>
    <row r="51" customFormat="false" ht="15" hidden="false" customHeight="true" outlineLevel="0" collapsed="false">
      <c r="A51" s="4" t="s">
        <v>199</v>
      </c>
      <c r="B51" s="3" t="s">
        <v>200</v>
      </c>
      <c r="C51" s="26" t="s">
        <v>201</v>
      </c>
      <c r="D51" s="3" t="s">
        <v>202</v>
      </c>
      <c r="E51" s="27" t="s">
        <v>203</v>
      </c>
      <c r="F51" s="19" t="s">
        <v>204</v>
      </c>
    </row>
    <row r="52" customFormat="false" ht="15" hidden="false" customHeight="true" outlineLevel="0" collapsed="false">
      <c r="A52" s="4" t="s">
        <v>205</v>
      </c>
      <c r="B52" s="3" t="s">
        <v>206</v>
      </c>
      <c r="C52" s="18" t="n">
        <v>0</v>
      </c>
      <c r="D52" s="3" t="s">
        <v>123</v>
      </c>
      <c r="E52" s="3" t="s">
        <v>79</v>
      </c>
      <c r="F52" s="19" t="s">
        <v>207</v>
      </c>
    </row>
    <row r="53" customFormat="false" ht="15" hidden="false" customHeight="true" outlineLevel="0" collapsed="false">
      <c r="A53" s="4" t="s">
        <v>208</v>
      </c>
      <c r="B53" s="3" t="s">
        <v>209</v>
      </c>
      <c r="C53" s="21" t="n">
        <v>7</v>
      </c>
      <c r="D53" s="3" t="s">
        <v>95</v>
      </c>
      <c r="E53" s="3" t="s">
        <v>79</v>
      </c>
      <c r="F53" s="19" t="s">
        <v>210</v>
      </c>
    </row>
    <row r="54" customFormat="false" ht="15" hidden="false" customHeight="true" outlineLevel="0" collapsed="false">
      <c r="A54" s="4" t="s">
        <v>211</v>
      </c>
      <c r="B54" s="3" t="s">
        <v>212</v>
      </c>
      <c r="C54" s="26" t="s">
        <v>201</v>
      </c>
      <c r="D54" s="3" t="s">
        <v>202</v>
      </c>
      <c r="E54" s="23" t="s">
        <v>124</v>
      </c>
      <c r="F54" s="19" t="s">
        <v>213</v>
      </c>
    </row>
    <row r="55" customFormat="false" ht="15" hidden="false" customHeight="true" outlineLevel="0" collapsed="false">
      <c r="A55" s="4" t="s">
        <v>214</v>
      </c>
      <c r="B55" s="3" t="s">
        <v>215</v>
      </c>
      <c r="C55" s="24" t="n">
        <v>2</v>
      </c>
      <c r="D55" s="3" t="s">
        <v>95</v>
      </c>
      <c r="E55" s="23" t="s">
        <v>124</v>
      </c>
      <c r="F55" s="19" t="s">
        <v>216</v>
      </c>
    </row>
    <row r="56" customFormat="false" ht="15" hidden="false" customHeight="true" outlineLevel="0" collapsed="false">
      <c r="A56" s="4" t="s">
        <v>217</v>
      </c>
      <c r="B56" s="3" t="s">
        <v>218</v>
      </c>
      <c r="C56" s="21" t="n">
        <v>5</v>
      </c>
      <c r="D56" s="3" t="s">
        <v>95</v>
      </c>
      <c r="E56" s="3" t="s">
        <v>79</v>
      </c>
      <c r="F56" s="19" t="s">
        <v>210</v>
      </c>
    </row>
    <row r="57" customFormat="false" ht="26.25" hidden="false" customHeight="true" outlineLevel="0" collapsed="false">
      <c r="A57" s="4" t="s">
        <v>219</v>
      </c>
      <c r="B57" s="3" t="s">
        <v>220</v>
      </c>
      <c r="C57" s="22" t="n">
        <v>4</v>
      </c>
      <c r="D57" s="3" t="s">
        <v>26</v>
      </c>
      <c r="E57" s="23" t="s">
        <v>124</v>
      </c>
      <c r="F57" s="19" t="s">
        <v>221</v>
      </c>
    </row>
    <row r="58" customFormat="false" ht="15" hidden="false" customHeight="true" outlineLevel="0" collapsed="false">
      <c r="A58" s="4" t="s">
        <v>222</v>
      </c>
      <c r="B58" s="3" t="s">
        <v>223</v>
      </c>
      <c r="C58" s="22" t="n">
        <v>12</v>
      </c>
      <c r="D58" s="3" t="s">
        <v>224</v>
      </c>
      <c r="E58" s="23" t="s">
        <v>124</v>
      </c>
      <c r="F58" s="19" t="s">
        <v>225</v>
      </c>
    </row>
    <row r="59" customFormat="false" ht="15" hidden="false" customHeight="true" outlineLevel="0" collapsed="false">
      <c r="A59" s="4" t="s">
        <v>226</v>
      </c>
      <c r="B59" s="3" t="s">
        <v>227</v>
      </c>
      <c r="C59" s="24" t="n">
        <v>1.33</v>
      </c>
      <c r="D59" s="3" t="s">
        <v>224</v>
      </c>
      <c r="E59" s="23" t="s">
        <v>124</v>
      </c>
      <c r="F59" s="19" t="s">
        <v>228</v>
      </c>
    </row>
    <row r="60" customFormat="false" ht="15" hidden="false" customHeight="true" outlineLevel="0" collapsed="false">
      <c r="A60" s="7" t="s">
        <v>229</v>
      </c>
      <c r="B60" s="8"/>
      <c r="C60" s="8"/>
      <c r="D60" s="8"/>
      <c r="E60" s="8"/>
      <c r="F60" s="8"/>
    </row>
    <row r="61" customFormat="false" ht="15" hidden="false" customHeight="true" outlineLevel="0" collapsed="false">
      <c r="A61" s="4" t="s">
        <v>230</v>
      </c>
      <c r="B61" s="3" t="s">
        <v>231</v>
      </c>
      <c r="C61" s="22" t="n">
        <v>1</v>
      </c>
      <c r="D61" s="3" t="s">
        <v>123</v>
      </c>
      <c r="E61" s="23" t="s">
        <v>124</v>
      </c>
      <c r="F61" s="19" t="s">
        <v>232</v>
      </c>
    </row>
    <row r="62" customFormat="false" ht="26.25" hidden="false" customHeight="true" outlineLevel="0" collapsed="false">
      <c r="A62" s="4" t="s">
        <v>233</v>
      </c>
      <c r="B62" s="3" t="s">
        <v>234</v>
      </c>
      <c r="C62" s="24" t="n">
        <v>0.075</v>
      </c>
      <c r="D62" s="3" t="s">
        <v>235</v>
      </c>
      <c r="E62" s="23" t="s">
        <v>124</v>
      </c>
      <c r="F62" s="19" t="s">
        <v>236</v>
      </c>
    </row>
    <row r="63" customFormat="false" ht="15" hidden="false" customHeight="true" outlineLevel="0" collapsed="false">
      <c r="A63" s="4" t="s">
        <v>237</v>
      </c>
      <c r="B63" s="3" t="s">
        <v>238</v>
      </c>
      <c r="C63" s="22" t="n">
        <v>40</v>
      </c>
      <c r="D63" s="3" t="s">
        <v>43</v>
      </c>
      <c r="E63" s="23" t="s">
        <v>124</v>
      </c>
      <c r="F63" s="19" t="s">
        <v>151</v>
      </c>
    </row>
    <row r="64" customFormat="false" ht="15" hidden="false" customHeight="true" outlineLevel="0" collapsed="false">
      <c r="A64" s="4" t="s">
        <v>239</v>
      </c>
      <c r="B64" s="3" t="s">
        <v>240</v>
      </c>
      <c r="C64" s="22" t="n">
        <v>30</v>
      </c>
      <c r="D64" s="3" t="s">
        <v>43</v>
      </c>
      <c r="E64" s="23" t="s">
        <v>124</v>
      </c>
      <c r="F64" s="19" t="s">
        <v>151</v>
      </c>
    </row>
    <row r="65" customFormat="false" ht="15" hidden="false" customHeight="true" outlineLevel="0" collapsed="false">
      <c r="A65" s="4" t="s">
        <v>241</v>
      </c>
      <c r="B65" s="3" t="s">
        <v>242</v>
      </c>
      <c r="C65" s="22" t="n">
        <v>40</v>
      </c>
      <c r="D65" s="3" t="s">
        <v>43</v>
      </c>
      <c r="E65" s="23" t="s">
        <v>124</v>
      </c>
      <c r="F65" s="19" t="s">
        <v>151</v>
      </c>
    </row>
    <row r="66" customFormat="false" ht="15" hidden="false" customHeight="true" outlineLevel="0" collapsed="false">
      <c r="A66" s="4" t="s">
        <v>243</v>
      </c>
      <c r="B66" s="3" t="s">
        <v>244</v>
      </c>
      <c r="C66" s="22" t="n">
        <v>50</v>
      </c>
      <c r="D66" s="3" t="s">
        <v>43</v>
      </c>
      <c r="E66" s="23" t="s">
        <v>124</v>
      </c>
      <c r="F66" s="19" t="s">
        <v>151</v>
      </c>
    </row>
    <row r="67" customFormat="false" ht="15" hidden="false" customHeight="true" outlineLevel="0" collapsed="false">
      <c r="A67" s="4" t="s">
        <v>245</v>
      </c>
      <c r="B67" s="3" t="s">
        <v>246</v>
      </c>
      <c r="C67" s="24" t="n">
        <v>0.05</v>
      </c>
      <c r="D67" s="3" t="s">
        <v>247</v>
      </c>
      <c r="E67" s="23" t="s">
        <v>124</v>
      </c>
      <c r="F67" s="19" t="s">
        <v>248</v>
      </c>
    </row>
    <row r="68" customFormat="false" ht="15" hidden="false" customHeight="true" outlineLevel="0" collapsed="false">
      <c r="A68" s="4" t="s">
        <v>249</v>
      </c>
      <c r="B68" s="3" t="s">
        <v>250</v>
      </c>
      <c r="C68" s="22" t="n">
        <v>10</v>
      </c>
      <c r="D68" s="3" t="s">
        <v>251</v>
      </c>
      <c r="E68" s="23" t="s">
        <v>124</v>
      </c>
      <c r="F68" s="19" t="s">
        <v>151</v>
      </c>
    </row>
    <row r="69" customFormat="false" ht="15" hidden="false" customHeight="true" outlineLevel="0" collapsed="false">
      <c r="A69" s="7" t="s">
        <v>252</v>
      </c>
      <c r="B69" s="8"/>
      <c r="C69" s="8"/>
      <c r="D69" s="8"/>
      <c r="E69" s="8"/>
      <c r="F69" s="8"/>
    </row>
    <row r="70" customFormat="false" ht="26.25" hidden="false" customHeight="true" outlineLevel="0" collapsed="false">
      <c r="A70" s="4" t="s">
        <v>253</v>
      </c>
      <c r="B70" s="3" t="s">
        <v>254</v>
      </c>
      <c r="C70" s="22" t="n">
        <v>4</v>
      </c>
      <c r="D70" s="3" t="s">
        <v>255</v>
      </c>
      <c r="E70" s="23" t="s">
        <v>124</v>
      </c>
      <c r="F70" s="19" t="s">
        <v>256</v>
      </c>
    </row>
    <row r="71" customFormat="false" ht="15" hidden="false" customHeight="true" outlineLevel="0" collapsed="false">
      <c r="A71" s="7" t="s">
        <v>257</v>
      </c>
      <c r="B71" s="8"/>
      <c r="C71" s="8"/>
      <c r="D71" s="8"/>
      <c r="E71" s="8"/>
      <c r="F71" s="8"/>
    </row>
    <row r="72" customFormat="false" ht="15" hidden="false" customHeight="true" outlineLevel="0" collapsed="false">
      <c r="A72" s="4" t="s">
        <v>258</v>
      </c>
      <c r="B72" s="3" t="s">
        <v>259</v>
      </c>
      <c r="C72" s="21" t="n">
        <v>210</v>
      </c>
      <c r="D72" s="3" t="s">
        <v>10</v>
      </c>
      <c r="E72" s="3" t="s">
        <v>79</v>
      </c>
      <c r="F72" s="19" t="s">
        <v>260</v>
      </c>
    </row>
    <row r="73" customFormat="false" ht="15" hidden="false" customHeight="true" outlineLevel="0" collapsed="false">
      <c r="A73" s="4" t="s">
        <v>261</v>
      </c>
      <c r="B73" s="3" t="s">
        <v>262</v>
      </c>
      <c r="C73" s="25" t="n">
        <v>0.6</v>
      </c>
      <c r="D73" s="3" t="s">
        <v>21</v>
      </c>
      <c r="E73" s="23" t="s">
        <v>124</v>
      </c>
      <c r="F73" s="19" t="s">
        <v>263</v>
      </c>
    </row>
    <row r="74" customFormat="false" ht="15" hidden="false" customHeight="true" outlineLevel="0" collapsed="false">
      <c r="A74" s="4" t="s">
        <v>264</v>
      </c>
      <c r="B74" s="3" t="s">
        <v>265</v>
      </c>
      <c r="C74" s="25" t="n">
        <v>0.3</v>
      </c>
      <c r="D74" s="3" t="s">
        <v>21</v>
      </c>
      <c r="E74" s="23" t="s">
        <v>124</v>
      </c>
      <c r="F74" s="19" t="s">
        <v>266</v>
      </c>
    </row>
    <row r="75" customFormat="false" ht="15" hidden="false" customHeight="true" outlineLevel="0" collapsed="false">
      <c r="A75" s="4" t="s">
        <v>267</v>
      </c>
      <c r="B75" s="3" t="s">
        <v>268</v>
      </c>
      <c r="C75" s="25" t="n">
        <v>0.1</v>
      </c>
      <c r="D75" s="3" t="s">
        <v>21</v>
      </c>
      <c r="E75" s="23" t="s">
        <v>124</v>
      </c>
      <c r="F75" s="19" t="s">
        <v>266</v>
      </c>
    </row>
    <row r="76" customFormat="false" ht="26.25" hidden="false" customHeight="true" outlineLevel="0" collapsed="false">
      <c r="A76" s="4" t="s">
        <v>269</v>
      </c>
      <c r="B76" s="3" t="s">
        <v>270</v>
      </c>
      <c r="C76" s="25" t="n">
        <v>0.8</v>
      </c>
      <c r="D76" s="3" t="s">
        <v>21</v>
      </c>
      <c r="E76" s="23" t="s">
        <v>124</v>
      </c>
      <c r="F76" s="19" t="s">
        <v>271</v>
      </c>
    </row>
    <row r="77" customFormat="false" ht="15" hidden="false" customHeight="true" outlineLevel="0" collapsed="false">
      <c r="A77" s="4" t="s">
        <v>272</v>
      </c>
      <c r="B77" s="3" t="s">
        <v>273</v>
      </c>
      <c r="C77" s="25" t="n">
        <v>0.2</v>
      </c>
      <c r="D77" s="3" t="s">
        <v>21</v>
      </c>
      <c r="E77" s="23" t="s">
        <v>124</v>
      </c>
      <c r="F77" s="19" t="s">
        <v>274</v>
      </c>
    </row>
    <row r="78" customFormat="false" ht="15" hidden="false" customHeight="true" outlineLevel="0" collapsed="false">
      <c r="A78" s="4" t="s">
        <v>275</v>
      </c>
      <c r="B78" s="3" t="s">
        <v>276</v>
      </c>
      <c r="C78" s="25" t="n">
        <v>0.5</v>
      </c>
      <c r="D78" s="3" t="s">
        <v>21</v>
      </c>
      <c r="E78" s="23" t="s">
        <v>124</v>
      </c>
      <c r="F78" s="19" t="s">
        <v>266</v>
      </c>
    </row>
    <row r="79" customFormat="false" ht="15" hidden="false" customHeight="true" outlineLevel="0" collapsed="false">
      <c r="A79" s="4" t="s">
        <v>277</v>
      </c>
      <c r="B79" s="3" t="s">
        <v>278</v>
      </c>
      <c r="C79" s="25" t="n">
        <v>0.3</v>
      </c>
      <c r="D79" s="3" t="s">
        <v>21</v>
      </c>
      <c r="E79" s="23" t="s">
        <v>124</v>
      </c>
      <c r="F79" s="19" t="s">
        <v>266</v>
      </c>
    </row>
    <row r="80" customFormat="false" ht="26.25" hidden="false" customHeight="true" outlineLevel="0" collapsed="false">
      <c r="A80" s="4" t="s">
        <v>279</v>
      </c>
      <c r="B80" s="3" t="s">
        <v>280</v>
      </c>
      <c r="C80" s="25" t="n">
        <v>0.005</v>
      </c>
      <c r="D80" s="3" t="s">
        <v>281</v>
      </c>
      <c r="E80" s="23" t="s">
        <v>124</v>
      </c>
      <c r="F80" s="19" t="s">
        <v>282</v>
      </c>
    </row>
    <row r="81" customFormat="false" ht="15" hidden="false" customHeight="true" outlineLevel="0" collapsed="false">
      <c r="A81" s="7" t="s">
        <v>283</v>
      </c>
      <c r="B81" s="8"/>
      <c r="C81" s="8"/>
      <c r="D81" s="8"/>
      <c r="E81" s="8"/>
      <c r="F81" s="8"/>
    </row>
    <row r="82" customFormat="false" ht="15" hidden="false" customHeight="true" outlineLevel="0" collapsed="false">
      <c r="A82" s="4" t="s">
        <v>284</v>
      </c>
      <c r="B82" s="3" t="s">
        <v>285</v>
      </c>
      <c r="C82" s="25" t="n">
        <v>0.15</v>
      </c>
      <c r="D82" s="3" t="s">
        <v>21</v>
      </c>
      <c r="E82" s="23" t="s">
        <v>124</v>
      </c>
      <c r="F82" s="19" t="s">
        <v>286</v>
      </c>
    </row>
    <row r="83" customFormat="false" ht="15" hidden="false" customHeight="true" outlineLevel="0" collapsed="false">
      <c r="A83" s="4" t="s">
        <v>287</v>
      </c>
      <c r="B83" s="3" t="s">
        <v>288</v>
      </c>
      <c r="C83" s="25" t="n">
        <v>0.85</v>
      </c>
      <c r="D83" s="3" t="s">
        <v>21</v>
      </c>
      <c r="E83" s="23" t="s">
        <v>124</v>
      </c>
      <c r="F83" s="19" t="s">
        <v>289</v>
      </c>
    </row>
    <row r="84" customFormat="false" ht="15" hidden="false" customHeight="true" outlineLevel="0" collapsed="false">
      <c r="A84" s="7" t="s">
        <v>290</v>
      </c>
      <c r="B84" s="8"/>
      <c r="C84" s="8"/>
      <c r="D84" s="8"/>
      <c r="E84" s="8"/>
      <c r="F84" s="8"/>
    </row>
    <row r="85" customFormat="false" ht="15" hidden="false" customHeight="true" outlineLevel="0" collapsed="false">
      <c r="A85" s="4" t="s">
        <v>291</v>
      </c>
      <c r="B85" s="3" t="s">
        <v>292</v>
      </c>
      <c r="C85" s="18" t="n">
        <v>2</v>
      </c>
      <c r="D85" s="3" t="s">
        <v>78</v>
      </c>
      <c r="E85" s="3" t="s">
        <v>79</v>
      </c>
      <c r="F85" s="19" t="s">
        <v>293</v>
      </c>
    </row>
    <row r="86" customFormat="false" ht="15" hidden="false" customHeight="true" outlineLevel="0" collapsed="false">
      <c r="A86" s="4" t="s">
        <v>294</v>
      </c>
      <c r="B86" s="3" t="s">
        <v>295</v>
      </c>
      <c r="C86" s="26" t="s">
        <v>201</v>
      </c>
      <c r="D86" s="3" t="s">
        <v>202</v>
      </c>
      <c r="E86" s="27" t="s">
        <v>203</v>
      </c>
      <c r="F86" s="19" t="s">
        <v>296</v>
      </c>
    </row>
    <row r="87" customFormat="false" ht="26.25" hidden="false" customHeight="true" outlineLevel="0" collapsed="false">
      <c r="A87" s="4" t="s">
        <v>297</v>
      </c>
      <c r="B87" s="3" t="s">
        <v>298</v>
      </c>
      <c r="C87" s="24" t="n">
        <v>94</v>
      </c>
      <c r="D87" s="3" t="s">
        <v>299</v>
      </c>
      <c r="E87" s="27" t="s">
        <v>203</v>
      </c>
      <c r="F87" s="19" t="s">
        <v>300</v>
      </c>
    </row>
    <row r="88" customFormat="false" ht="15" hidden="false" customHeight="true" outlineLevel="0" collapsed="false">
      <c r="A88" s="4" t="s">
        <v>301</v>
      </c>
      <c r="B88" s="3" t="s">
        <v>302</v>
      </c>
      <c r="C88" s="24" t="n">
        <v>24</v>
      </c>
      <c r="D88" s="3" t="s">
        <v>87</v>
      </c>
      <c r="E88" s="27" t="s">
        <v>203</v>
      </c>
      <c r="F88" s="19" t="s">
        <v>303</v>
      </c>
    </row>
    <row r="89" customFormat="false" ht="26.25" hidden="false" customHeight="true" outlineLevel="0" collapsed="false">
      <c r="A89" s="4" t="s">
        <v>304</v>
      </c>
      <c r="B89" s="3" t="s">
        <v>305</v>
      </c>
      <c r="C89" s="24" t="n">
        <v>45</v>
      </c>
      <c r="D89" s="3" t="s">
        <v>306</v>
      </c>
      <c r="E89" s="27" t="s">
        <v>203</v>
      </c>
      <c r="F89" s="19" t="s">
        <v>307</v>
      </c>
    </row>
    <row r="90" customFormat="false" ht="26.25" hidden="false" customHeight="true" outlineLevel="0" collapsed="false">
      <c r="A90" s="4" t="s">
        <v>308</v>
      </c>
      <c r="B90" s="3" t="s">
        <v>309</v>
      </c>
      <c r="C90" s="24" t="n">
        <v>55</v>
      </c>
      <c r="D90" s="3" t="s">
        <v>306</v>
      </c>
      <c r="E90" s="27" t="s">
        <v>203</v>
      </c>
      <c r="F90" s="19" t="s">
        <v>310</v>
      </c>
    </row>
    <row r="91" customFormat="false" ht="15" hidden="false" customHeight="true" outlineLevel="0" collapsed="false">
      <c r="A91" s="4" t="s">
        <v>311</v>
      </c>
      <c r="B91" s="3" t="s">
        <v>312</v>
      </c>
      <c r="C91" s="25" t="n">
        <v>0.25</v>
      </c>
      <c r="D91" s="3" t="s">
        <v>21</v>
      </c>
      <c r="E91" s="23" t="s">
        <v>124</v>
      </c>
      <c r="F91" s="19" t="s">
        <v>313</v>
      </c>
    </row>
    <row r="92" customFormat="false" ht="26.25" hidden="false" customHeight="true" outlineLevel="0" collapsed="false">
      <c r="A92" s="4" t="s">
        <v>314</v>
      </c>
      <c r="B92" s="3" t="s">
        <v>315</v>
      </c>
      <c r="C92" s="24" t="n">
        <v>0.15</v>
      </c>
      <c r="D92" s="3" t="s">
        <v>128</v>
      </c>
      <c r="E92" s="27" t="s">
        <v>203</v>
      </c>
      <c r="F92" s="19" t="s">
        <v>316</v>
      </c>
    </row>
    <row r="93" customFormat="false" ht="15" hidden="false" customHeight="true" outlineLevel="0" collapsed="false">
      <c r="A93" s="4" t="s">
        <v>317</v>
      </c>
      <c r="B93" s="3" t="s">
        <v>318</v>
      </c>
      <c r="C93" s="18" t="n">
        <v>1</v>
      </c>
      <c r="D93" s="3" t="s">
        <v>123</v>
      </c>
      <c r="E93" s="3" t="s">
        <v>79</v>
      </c>
      <c r="F93" s="19" t="s">
        <v>319</v>
      </c>
    </row>
    <row r="94" customFormat="false" ht="15" hidden="false" customHeight="true" outlineLevel="0" collapsed="false">
      <c r="A94" s="4" t="s">
        <v>320</v>
      </c>
      <c r="B94" s="3" t="s">
        <v>321</v>
      </c>
      <c r="C94" s="18" t="n">
        <v>1</v>
      </c>
      <c r="D94" s="3" t="s">
        <v>123</v>
      </c>
      <c r="E94" s="3" t="s">
        <v>79</v>
      </c>
      <c r="F94" s="19" t="s">
        <v>319</v>
      </c>
    </row>
    <row r="95" customFormat="false" ht="15" hidden="false" customHeight="true" outlineLevel="0" collapsed="false">
      <c r="A95" s="4" t="s">
        <v>322</v>
      </c>
      <c r="B95" s="3" t="s">
        <v>323</v>
      </c>
      <c r="C95" s="22" t="n">
        <v>1</v>
      </c>
      <c r="D95" s="3" t="s">
        <v>123</v>
      </c>
      <c r="E95" s="27" t="s">
        <v>203</v>
      </c>
      <c r="F95" s="19" t="s">
        <v>324</v>
      </c>
    </row>
    <row r="96" customFormat="false" ht="15" hidden="false" customHeight="true" outlineLevel="0" collapsed="false">
      <c r="A96" s="4" t="s">
        <v>325</v>
      </c>
      <c r="B96" s="3" t="s">
        <v>326</v>
      </c>
      <c r="C96" s="28" t="n">
        <v>2.5</v>
      </c>
      <c r="D96" s="3" t="s">
        <v>327</v>
      </c>
      <c r="E96" s="3" t="s">
        <v>79</v>
      </c>
      <c r="F96" s="19" t="s">
        <v>328</v>
      </c>
    </row>
    <row r="97" customFormat="false" ht="15" hidden="false" customHeight="true" outlineLevel="0" collapsed="false">
      <c r="A97" s="4" t="s">
        <v>329</v>
      </c>
      <c r="B97" s="3" t="s">
        <v>330</v>
      </c>
      <c r="C97" s="25" t="n">
        <v>0.3</v>
      </c>
      <c r="D97" s="3" t="s">
        <v>21</v>
      </c>
      <c r="E97" s="23" t="s">
        <v>124</v>
      </c>
      <c r="F97" s="19" t="s">
        <v>331</v>
      </c>
    </row>
    <row r="98" customFormat="false" ht="26.25" hidden="false" customHeight="true" outlineLevel="0" collapsed="false">
      <c r="A98" s="4" t="s">
        <v>332</v>
      </c>
      <c r="B98" s="3" t="s">
        <v>333</v>
      </c>
      <c r="C98" s="25" t="n">
        <v>1</v>
      </c>
      <c r="D98" s="3" t="s">
        <v>21</v>
      </c>
      <c r="E98" s="23" t="s">
        <v>124</v>
      </c>
      <c r="F98" s="19" t="s">
        <v>334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19" min="3" style="1" width="10.51"/>
  </cols>
  <sheetData>
    <row r="1" customFormat="false" ht="17.25" hidden="false" customHeight="true" outlineLevel="0" collapsed="false">
      <c r="A1" s="2" t="s">
        <v>335</v>
      </c>
      <c r="B1" s="3"/>
      <c r="C1" s="3"/>
      <c r="D1" s="3"/>
      <c r="E1" s="3"/>
      <c r="F1" s="3"/>
      <c r="G1" s="3"/>
      <c r="H1" s="3"/>
      <c r="I1" s="3"/>
      <c r="J1" s="3"/>
      <c r="K1" s="3"/>
      <c r="L1" s="3"/>
      <c r="M1" s="3"/>
      <c r="N1" s="3"/>
      <c r="O1" s="3"/>
      <c r="P1" s="3"/>
      <c r="Q1" s="3"/>
      <c r="R1" s="3"/>
      <c r="S1" s="3"/>
    </row>
    <row r="2" customFormat="false" ht="15" hidden="false" customHeight="true" outlineLevel="0" collapsed="false">
      <c r="A2" s="4" t="s">
        <v>336</v>
      </c>
      <c r="B2" s="3"/>
      <c r="C2" s="3"/>
      <c r="D2" s="3"/>
      <c r="E2" s="3"/>
      <c r="F2" s="3"/>
      <c r="G2" s="3"/>
      <c r="H2" s="3"/>
      <c r="I2" s="3"/>
      <c r="J2" s="3"/>
      <c r="K2" s="3"/>
      <c r="L2" s="3"/>
      <c r="M2" s="3"/>
      <c r="N2" s="3"/>
      <c r="O2" s="3"/>
      <c r="P2" s="3"/>
      <c r="Q2" s="3"/>
      <c r="R2" s="3"/>
      <c r="S2" s="3"/>
    </row>
    <row r="3" customFormat="false" ht="15" hidden="false" customHeight="true" outlineLevel="0" collapsed="false">
      <c r="A3" s="3"/>
      <c r="B3" s="3"/>
      <c r="C3" s="3"/>
      <c r="D3" s="3"/>
      <c r="E3" s="3"/>
      <c r="F3" s="3"/>
      <c r="G3" s="3"/>
      <c r="H3" s="3"/>
      <c r="I3" s="3"/>
      <c r="J3" s="3"/>
      <c r="K3" s="3"/>
      <c r="L3" s="3"/>
      <c r="M3" s="3"/>
      <c r="N3" s="3"/>
      <c r="O3" s="3"/>
      <c r="P3" s="3"/>
      <c r="Q3" s="3"/>
      <c r="R3" s="3"/>
      <c r="S3" s="3"/>
    </row>
    <row r="4" customFormat="false" ht="15" hidden="false" customHeight="true" outlineLevel="0" collapsed="false">
      <c r="A4" s="29" t="s">
        <v>337</v>
      </c>
      <c r="B4" s="29" t="s">
        <v>6</v>
      </c>
      <c r="C4" s="29" t="s">
        <v>338</v>
      </c>
      <c r="D4" s="29" t="s">
        <v>339</v>
      </c>
      <c r="E4" s="29" t="s">
        <v>66</v>
      </c>
      <c r="F4" s="29" t="s">
        <v>340</v>
      </c>
      <c r="G4" s="29" t="s">
        <v>341</v>
      </c>
      <c r="H4" s="29" t="s">
        <v>201</v>
      </c>
      <c r="I4" s="29" t="s">
        <v>342</v>
      </c>
      <c r="J4" s="29" t="s">
        <v>343</v>
      </c>
      <c r="K4" s="29" t="s">
        <v>344</v>
      </c>
      <c r="L4" s="29" t="s">
        <v>345</v>
      </c>
      <c r="M4" s="29" t="s">
        <v>346</v>
      </c>
      <c r="N4" s="29" t="s">
        <v>67</v>
      </c>
      <c r="O4" s="29" t="s">
        <v>347</v>
      </c>
      <c r="P4" s="29" t="s">
        <v>348</v>
      </c>
      <c r="Q4" s="29" t="s">
        <v>349</v>
      </c>
      <c r="R4" s="29" t="s">
        <v>350</v>
      </c>
      <c r="S4" s="29" t="s">
        <v>351</v>
      </c>
    </row>
    <row r="5" customFormat="false" ht="15" hidden="false" customHeight="true" outlineLevel="0" collapsed="false">
      <c r="A5" s="7" t="s">
        <v>352</v>
      </c>
      <c r="B5" s="8"/>
      <c r="C5" s="8"/>
      <c r="D5" s="8"/>
      <c r="E5" s="8"/>
      <c r="F5" s="8"/>
      <c r="G5" s="8"/>
      <c r="H5" s="8"/>
      <c r="I5" s="8"/>
      <c r="J5" s="8"/>
      <c r="K5" s="8"/>
      <c r="L5" s="8"/>
      <c r="M5" s="8"/>
      <c r="N5" s="8"/>
      <c r="O5" s="8"/>
      <c r="P5" s="8"/>
      <c r="Q5" s="8"/>
      <c r="R5" s="8"/>
      <c r="S5" s="8"/>
    </row>
    <row r="6" customFormat="false" ht="15" hidden="false" customHeight="true" outlineLevel="0" collapsed="false">
      <c r="A6" s="30" t="s">
        <v>353</v>
      </c>
      <c r="B6" s="4" t="s">
        <v>354</v>
      </c>
      <c r="C6" s="31"/>
      <c r="D6" s="31"/>
      <c r="E6" s="11" t="n">
        <v>1</v>
      </c>
      <c r="F6" s="11" t="n">
        <v>2</v>
      </c>
      <c r="G6" s="11" t="n">
        <v>3</v>
      </c>
      <c r="H6" s="11" t="n">
        <v>4</v>
      </c>
      <c r="I6" s="11" t="n">
        <v>5</v>
      </c>
      <c r="J6" s="11" t="n">
        <v>6</v>
      </c>
      <c r="K6" s="11" t="n">
        <v>7</v>
      </c>
      <c r="L6" s="11" t="n">
        <v>8</v>
      </c>
      <c r="M6" s="11" t="n">
        <v>9</v>
      </c>
      <c r="N6" s="11" t="n">
        <v>10</v>
      </c>
      <c r="O6" s="11" t="n">
        <v>11</v>
      </c>
      <c r="P6" s="11" t="n">
        <v>12</v>
      </c>
      <c r="Q6" s="11" t="n">
        <v>13</v>
      </c>
      <c r="R6" s="11" t="n">
        <v>14</v>
      </c>
      <c r="S6" s="11" t="n">
        <v>15</v>
      </c>
    </row>
    <row r="7" customFormat="false" ht="15" hidden="false" customHeight="true" outlineLevel="0" collapsed="false">
      <c r="A7" s="30" t="s">
        <v>355</v>
      </c>
      <c r="B7" s="4" t="s">
        <v>356</v>
      </c>
      <c r="C7" s="31"/>
      <c r="D7" s="31"/>
      <c r="E7" s="11" t="n">
        <v>0</v>
      </c>
      <c r="F7" s="11" t="n">
        <v>0</v>
      </c>
      <c r="G7" s="11" t="n">
        <v>0</v>
      </c>
      <c r="H7" s="11" t="n">
        <v>1</v>
      </c>
      <c r="I7" s="11" t="n">
        <v>1</v>
      </c>
      <c r="J7" s="11" t="n">
        <v>1</v>
      </c>
      <c r="K7" s="11" t="n">
        <v>1</v>
      </c>
      <c r="L7" s="11" t="n">
        <v>1</v>
      </c>
      <c r="M7" s="11" t="n">
        <v>1</v>
      </c>
      <c r="N7" s="11" t="n">
        <v>1</v>
      </c>
      <c r="O7" s="11" t="n">
        <v>1</v>
      </c>
      <c r="P7" s="11" t="n">
        <v>1</v>
      </c>
      <c r="Q7" s="11" t="n">
        <v>1</v>
      </c>
      <c r="R7" s="11" t="n">
        <v>1</v>
      </c>
      <c r="S7" s="11" t="n">
        <v>1</v>
      </c>
    </row>
    <row r="8" customFormat="false" ht="15" hidden="false" customHeight="true" outlineLevel="0" collapsed="false">
      <c r="A8" s="30" t="s">
        <v>357</v>
      </c>
      <c r="B8" s="4" t="s">
        <v>356</v>
      </c>
      <c r="C8" s="31"/>
      <c r="D8" s="31"/>
      <c r="E8" s="11" t="n">
        <v>0</v>
      </c>
      <c r="F8" s="11" t="n">
        <v>0</v>
      </c>
      <c r="G8" s="11" t="n">
        <v>0</v>
      </c>
      <c r="H8" s="11" t="n">
        <v>1</v>
      </c>
      <c r="I8" s="11" t="n">
        <v>1</v>
      </c>
      <c r="J8" s="11" t="n">
        <v>1</v>
      </c>
      <c r="K8" s="11" t="n">
        <v>1</v>
      </c>
      <c r="L8" s="11" t="n">
        <v>1</v>
      </c>
      <c r="M8" s="11" t="n">
        <v>1</v>
      </c>
      <c r="N8" s="11" t="n">
        <v>0</v>
      </c>
      <c r="O8" s="11" t="n">
        <v>0</v>
      </c>
      <c r="P8" s="11" t="n">
        <v>0</v>
      </c>
      <c r="Q8" s="11" t="n">
        <v>0</v>
      </c>
      <c r="R8" s="11" t="n">
        <v>0</v>
      </c>
      <c r="S8" s="11" t="n">
        <v>0</v>
      </c>
    </row>
    <row r="9" customFormat="false" ht="15" hidden="false" customHeight="true" outlineLevel="0" collapsed="false">
      <c r="A9" s="30" t="s">
        <v>358</v>
      </c>
      <c r="B9" s="4" t="s">
        <v>356</v>
      </c>
      <c r="C9" s="31"/>
      <c r="D9" s="31"/>
      <c r="E9" s="11" t="n">
        <f aca="false">IF(AND(OR(Inputs!$C$6=2,Inputs!$C$6=4),E8=1),0,1)</f>
        <v>1</v>
      </c>
      <c r="F9" s="11" t="n">
        <f aca="false">IF(AND(OR(Inputs!$C$6=2,Inputs!$C$6=4),F8=1),0,1)</f>
        <v>1</v>
      </c>
      <c r="G9" s="11" t="n">
        <f aca="false">IF(AND(OR(Inputs!$C$6=2,Inputs!$C$6=4),G8=1),0,1)</f>
        <v>1</v>
      </c>
      <c r="H9" s="11" t="n">
        <f aca="false">IF(AND(OR(Inputs!$C$6=2,Inputs!$C$6=4),H8=1),0,1)</f>
        <v>1</v>
      </c>
      <c r="I9" s="11" t="n">
        <f aca="false">IF(AND(OR(Inputs!$C$6=2,Inputs!$C$6=4),I8=1),0,1)</f>
        <v>1</v>
      </c>
      <c r="J9" s="11" t="n">
        <f aca="false">IF(AND(OR(Inputs!$C$6=2,Inputs!$C$6=4),J8=1),0,1)</f>
        <v>1</v>
      </c>
      <c r="K9" s="11" t="n">
        <f aca="false">IF(AND(OR(Inputs!$C$6=2,Inputs!$C$6=4),K8=1),0,1)</f>
        <v>1</v>
      </c>
      <c r="L9" s="11" t="n">
        <f aca="false">IF(AND(OR(Inputs!$C$6=2,Inputs!$C$6=4),L8=1),0,1)</f>
        <v>1</v>
      </c>
      <c r="M9" s="11" t="n">
        <f aca="false">IF(AND(OR(Inputs!$C$6=2,Inputs!$C$6=4),M8=1),0,1)</f>
        <v>1</v>
      </c>
      <c r="N9" s="11" t="n">
        <f aca="false">IF(AND(OR(Inputs!$C$6=2,Inputs!$C$6=4),N8=1),0,1)</f>
        <v>1</v>
      </c>
      <c r="O9" s="11" t="n">
        <f aca="false">IF(AND(OR(Inputs!$C$6=2,Inputs!$C$6=4),O8=1),0,1)</f>
        <v>1</v>
      </c>
      <c r="P9" s="11" t="n">
        <f aca="false">IF(AND(OR(Inputs!$C$6=2,Inputs!$C$6=4),P8=1),0,1)</f>
        <v>1</v>
      </c>
      <c r="Q9" s="11" t="n">
        <f aca="false">IF(AND(OR(Inputs!$C$6=2,Inputs!$C$6=4),Q8=1),0,1)</f>
        <v>1</v>
      </c>
      <c r="R9" s="11" t="n">
        <f aca="false">IF(AND(OR(Inputs!$C$6=2,Inputs!$C$6=4),R8=1),0,1)</f>
        <v>1</v>
      </c>
      <c r="S9" s="11" t="n">
        <f aca="false">IF(AND(OR(Inputs!$C$6=2,Inputs!$C$6=4),S8=1),0,1)</f>
        <v>1</v>
      </c>
    </row>
    <row r="10" customFormat="false" ht="15" hidden="false" customHeight="true" outlineLevel="0" collapsed="false">
      <c r="A10" s="30" t="s">
        <v>359</v>
      </c>
      <c r="B10" s="4" t="s">
        <v>327</v>
      </c>
      <c r="C10" s="32"/>
      <c r="D10" s="32"/>
      <c r="E10" s="10" t="n">
        <f aca="false">IF(OR(Inputs!$C$6=3,Inputs!$C$6=4),1-Inputs!$C$7,1)</f>
        <v>1</v>
      </c>
      <c r="F10" s="10" t="n">
        <f aca="false">IF(OR(Inputs!$C$6=3,Inputs!$C$6=4),1-Inputs!$C$7,1)</f>
        <v>1</v>
      </c>
      <c r="G10" s="10" t="n">
        <f aca="false">IF(OR(Inputs!$C$6=3,Inputs!$C$6=4),1-Inputs!$C$7,1)</f>
        <v>1</v>
      </c>
      <c r="H10" s="10" t="n">
        <f aca="false">IF(OR(Inputs!$C$6=3,Inputs!$C$6=4),1-Inputs!$C$7,1)</f>
        <v>1</v>
      </c>
      <c r="I10" s="10" t="n">
        <f aca="false">IF(OR(Inputs!$C$6=3,Inputs!$C$6=4),1-Inputs!$C$7,1)</f>
        <v>1</v>
      </c>
      <c r="J10" s="10" t="n">
        <f aca="false">IF(OR(Inputs!$C$6=3,Inputs!$C$6=4),1-Inputs!$C$7,1)</f>
        <v>1</v>
      </c>
      <c r="K10" s="10" t="n">
        <f aca="false">IF(OR(Inputs!$C$6=3,Inputs!$C$6=4),1-Inputs!$C$7,1)</f>
        <v>1</v>
      </c>
      <c r="L10" s="10" t="n">
        <f aca="false">IF(OR(Inputs!$C$6=3,Inputs!$C$6=4),1-Inputs!$C$7,1)</f>
        <v>1</v>
      </c>
      <c r="M10" s="10" t="n">
        <f aca="false">IF(OR(Inputs!$C$6=3,Inputs!$C$6=4),1-Inputs!$C$7,1)</f>
        <v>1</v>
      </c>
      <c r="N10" s="10" t="n">
        <f aca="false">IF(OR(Inputs!$C$6=3,Inputs!$C$6=4),1-Inputs!$C$7,1)</f>
        <v>1</v>
      </c>
      <c r="O10" s="10" t="n">
        <f aca="false">IF(OR(Inputs!$C$6=3,Inputs!$C$6=4),1-Inputs!$C$7,1)</f>
        <v>1</v>
      </c>
      <c r="P10" s="10" t="n">
        <f aca="false">IF(OR(Inputs!$C$6=3,Inputs!$C$6=4),1-Inputs!$C$7,1)</f>
        <v>1</v>
      </c>
      <c r="Q10" s="10" t="n">
        <f aca="false">IF(OR(Inputs!$C$6=3,Inputs!$C$6=4),1-Inputs!$C$7,1)</f>
        <v>1</v>
      </c>
      <c r="R10" s="10" t="n">
        <f aca="false">IF(OR(Inputs!$C$6=3,Inputs!$C$6=4),1-Inputs!$C$7,1)</f>
        <v>1</v>
      </c>
      <c r="S10" s="10" t="n">
        <f aca="false">IF(OR(Inputs!$C$6=3,Inputs!$C$6=4),1-Inputs!$C$7,1)</f>
        <v>1</v>
      </c>
    </row>
    <row r="11" customFormat="false" ht="15" hidden="false" customHeight="true" outlineLevel="0" collapsed="false">
      <c r="A11" s="30" t="s">
        <v>360</v>
      </c>
      <c r="B11" s="4" t="s">
        <v>356</v>
      </c>
      <c r="C11" s="31"/>
      <c r="D11" s="31"/>
      <c r="E11" s="11" t="n">
        <f aca="false">IF(AND(Inputs!$C$85=2,E6&gt;=IFERROR(MATCH(Inputs!$C$86,$E$4:$S$4,0),99)),1,0)</f>
        <v>0</v>
      </c>
      <c r="F11" s="11" t="n">
        <f aca="false">IF(AND(Inputs!$C$85=2,F6&gt;=IFERROR(MATCH(Inputs!$C$86,$E$4:$S$4,0),99)),1,0)</f>
        <v>0</v>
      </c>
      <c r="G11" s="11" t="n">
        <f aca="false">IF(AND(Inputs!$C$85=2,G6&gt;=IFERROR(MATCH(Inputs!$C$86,$E$4:$S$4,0),99)),1,0)</f>
        <v>0</v>
      </c>
      <c r="H11" s="11" t="n">
        <f aca="false">IF(AND(Inputs!$C$85=2,H6&gt;=IFERROR(MATCH(Inputs!$C$86,$E$4:$S$4,0),99)),1,0)</f>
        <v>1</v>
      </c>
      <c r="I11" s="11" t="n">
        <f aca="false">IF(AND(Inputs!$C$85=2,I6&gt;=IFERROR(MATCH(Inputs!$C$86,$E$4:$S$4,0),99)),1,0)</f>
        <v>1</v>
      </c>
      <c r="J11" s="11" t="n">
        <f aca="false">IF(AND(Inputs!$C$85=2,J6&gt;=IFERROR(MATCH(Inputs!$C$86,$E$4:$S$4,0),99)),1,0)</f>
        <v>1</v>
      </c>
      <c r="K11" s="11" t="n">
        <f aca="false">IF(AND(Inputs!$C$85=2,K6&gt;=IFERROR(MATCH(Inputs!$C$86,$E$4:$S$4,0),99)),1,0)</f>
        <v>1</v>
      </c>
      <c r="L11" s="11" t="n">
        <f aca="false">IF(AND(Inputs!$C$85=2,L6&gt;=IFERROR(MATCH(Inputs!$C$86,$E$4:$S$4,0),99)),1,0)</f>
        <v>1</v>
      </c>
      <c r="M11" s="11" t="n">
        <f aca="false">IF(AND(Inputs!$C$85=2,M6&gt;=IFERROR(MATCH(Inputs!$C$86,$E$4:$S$4,0),99)),1,0)</f>
        <v>1</v>
      </c>
      <c r="N11" s="11" t="n">
        <f aca="false">IF(AND(Inputs!$C$85=2,N6&gt;=IFERROR(MATCH(Inputs!$C$86,$E$4:$S$4,0),99)),1,0)</f>
        <v>1</v>
      </c>
      <c r="O11" s="11" t="n">
        <f aca="false">IF(AND(Inputs!$C$85=2,O6&gt;=IFERROR(MATCH(Inputs!$C$86,$E$4:$S$4,0),99)),1,0)</f>
        <v>1</v>
      </c>
      <c r="P11" s="11" t="n">
        <f aca="false">IF(AND(Inputs!$C$85=2,P6&gt;=IFERROR(MATCH(Inputs!$C$86,$E$4:$S$4,0),99)),1,0)</f>
        <v>1</v>
      </c>
      <c r="Q11" s="11" t="n">
        <f aca="false">IF(AND(Inputs!$C$85=2,Q6&gt;=IFERROR(MATCH(Inputs!$C$86,$E$4:$S$4,0),99)),1,0)</f>
        <v>1</v>
      </c>
      <c r="R11" s="11" t="n">
        <f aca="false">IF(AND(Inputs!$C$85=2,R6&gt;=IFERROR(MATCH(Inputs!$C$86,$E$4:$S$4,0),99)),1,0)</f>
        <v>1</v>
      </c>
      <c r="S11" s="11" t="n">
        <f aca="false">IF(AND(Inputs!$C$85=2,S6&gt;=IFERROR(MATCH(Inputs!$C$86,$E$4:$S$4,0),99)),1,0)</f>
        <v>1</v>
      </c>
    </row>
    <row r="12" customFormat="false" ht="15" hidden="false" customHeight="true" outlineLevel="0" collapsed="false">
      <c r="A12" s="30" t="s">
        <v>361</v>
      </c>
      <c r="B12" s="4" t="s">
        <v>327</v>
      </c>
      <c r="C12" s="32"/>
      <c r="D12" s="32"/>
      <c r="E12" s="10" t="n">
        <f aca="false">IF(E11=1,Inputs!$C$98,1)</f>
        <v>1</v>
      </c>
      <c r="F12" s="10" t="n">
        <f aca="false">IF(F11=1,Inputs!$C$98,1)</f>
        <v>1</v>
      </c>
      <c r="G12" s="10" t="n">
        <f aca="false">IF(G11=1,Inputs!$C$98,1)</f>
        <v>1</v>
      </c>
      <c r="H12" s="10" t="n">
        <f aca="false">IF(H11=1,Inputs!$C$98,1)</f>
        <v>1</v>
      </c>
      <c r="I12" s="10" t="n">
        <f aca="false">IF(I11=1,Inputs!$C$98,1)</f>
        <v>1</v>
      </c>
      <c r="J12" s="10" t="n">
        <f aca="false">IF(J11=1,Inputs!$C$98,1)</f>
        <v>1</v>
      </c>
      <c r="K12" s="10" t="n">
        <f aca="false">IF(K11=1,Inputs!$C$98,1)</f>
        <v>1</v>
      </c>
      <c r="L12" s="10" t="n">
        <f aca="false">IF(L11=1,Inputs!$C$98,1)</f>
        <v>1</v>
      </c>
      <c r="M12" s="10" t="n">
        <f aca="false">IF(M11=1,Inputs!$C$98,1)</f>
        <v>1</v>
      </c>
      <c r="N12" s="10" t="n">
        <f aca="false">IF(N11=1,Inputs!$C$98,1)</f>
        <v>1</v>
      </c>
      <c r="O12" s="10" t="n">
        <f aca="false">IF(O11=1,Inputs!$C$98,1)</f>
        <v>1</v>
      </c>
      <c r="P12" s="10" t="n">
        <f aca="false">IF(P11=1,Inputs!$C$98,1)</f>
        <v>1</v>
      </c>
      <c r="Q12" s="10" t="n">
        <f aca="false">IF(Q11=1,Inputs!$C$98,1)</f>
        <v>1</v>
      </c>
      <c r="R12" s="10" t="n">
        <f aca="false">IF(R11=1,Inputs!$C$98,1)</f>
        <v>1</v>
      </c>
      <c r="S12" s="10" t="n">
        <f aca="false">IF(S11=1,Inputs!$C$98,1)</f>
        <v>1</v>
      </c>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row>
    <row r="14" customFormat="false" ht="15" hidden="false" customHeight="true" outlineLevel="0" collapsed="false">
      <c r="A14" s="7" t="s">
        <v>362</v>
      </c>
      <c r="B14" s="8"/>
      <c r="C14" s="8"/>
      <c r="D14" s="8"/>
      <c r="E14" s="8"/>
      <c r="F14" s="8"/>
      <c r="G14" s="8"/>
      <c r="H14" s="8"/>
      <c r="I14" s="8"/>
      <c r="J14" s="8"/>
      <c r="K14" s="8"/>
      <c r="L14" s="8"/>
      <c r="M14" s="8"/>
      <c r="N14" s="8"/>
      <c r="O14" s="8"/>
      <c r="P14" s="8"/>
      <c r="Q14" s="8"/>
      <c r="R14" s="8"/>
      <c r="S14" s="8"/>
    </row>
    <row r="15" customFormat="false" ht="15" hidden="false" customHeight="true" outlineLevel="0" collapsed="false">
      <c r="A15" s="30" t="s">
        <v>363</v>
      </c>
      <c r="B15" s="4" t="s">
        <v>26</v>
      </c>
      <c r="C15" s="31" t="n">
        <f aca="false">SUM(E15:G15)</f>
        <v>1</v>
      </c>
      <c r="D15" s="31" t="n">
        <f aca="false">SUM(H15:S15)</f>
        <v>5</v>
      </c>
      <c r="E15" s="18" t="n">
        <v>0</v>
      </c>
      <c r="F15" s="18" t="n">
        <v>1</v>
      </c>
      <c r="G15" s="18" t="n">
        <v>0</v>
      </c>
      <c r="H15" s="18" t="n">
        <v>0</v>
      </c>
      <c r="I15" s="18" t="n">
        <v>0</v>
      </c>
      <c r="J15" s="18" t="n">
        <v>1</v>
      </c>
      <c r="K15" s="18" t="n">
        <v>0</v>
      </c>
      <c r="L15" s="18" t="n">
        <v>1</v>
      </c>
      <c r="M15" s="18" t="n">
        <v>0</v>
      </c>
      <c r="N15" s="18" t="n">
        <v>1</v>
      </c>
      <c r="O15" s="18" t="n">
        <v>0</v>
      </c>
      <c r="P15" s="18" t="n">
        <v>1</v>
      </c>
      <c r="Q15" s="18" t="n">
        <v>0</v>
      </c>
      <c r="R15" s="18" t="n">
        <v>1</v>
      </c>
      <c r="S15" s="18" t="n">
        <v>0</v>
      </c>
    </row>
    <row r="16" customFormat="false" ht="15" hidden="false" customHeight="true" outlineLevel="0" collapsed="false">
      <c r="A16" s="30" t="s">
        <v>364</v>
      </c>
      <c r="B16" s="4" t="s">
        <v>26</v>
      </c>
      <c r="C16" s="31" t="n">
        <f aca="false">SUM(E16:G16)</f>
        <v>10</v>
      </c>
      <c r="D16" s="31" t="n">
        <f aca="false">SUM(H16:S16)</f>
        <v>17</v>
      </c>
      <c r="E16" s="18" t="n">
        <v>2</v>
      </c>
      <c r="F16" s="18" t="n">
        <v>3</v>
      </c>
      <c r="G16" s="18" t="n">
        <v>5</v>
      </c>
      <c r="H16" s="18" t="n">
        <v>0</v>
      </c>
      <c r="I16" s="18" t="n">
        <v>0</v>
      </c>
      <c r="J16" s="18" t="n">
        <v>1</v>
      </c>
      <c r="K16" s="18" t="n">
        <v>0</v>
      </c>
      <c r="L16" s="18" t="n">
        <v>1</v>
      </c>
      <c r="M16" s="18" t="n">
        <v>1</v>
      </c>
      <c r="N16" s="18" t="n">
        <v>1</v>
      </c>
      <c r="O16" s="18" t="n">
        <v>1</v>
      </c>
      <c r="P16" s="18" t="n">
        <v>2</v>
      </c>
      <c r="Q16" s="18" t="n">
        <v>2</v>
      </c>
      <c r="R16" s="18" t="n">
        <v>3</v>
      </c>
      <c r="S16" s="18" t="n">
        <v>5</v>
      </c>
    </row>
    <row r="17" customFormat="false" ht="15" hidden="false" customHeight="true" outlineLevel="0" collapsed="false">
      <c r="A17" s="30" t="s">
        <v>365</v>
      </c>
      <c r="B17" s="4" t="s">
        <v>26</v>
      </c>
      <c r="C17" s="31" t="n">
        <f aca="false">SUM(E17:G17)</f>
        <v>2</v>
      </c>
      <c r="D17" s="31" t="n">
        <f aca="false">SUM(H17:S17)</f>
        <v>4</v>
      </c>
      <c r="E17" s="18" t="n">
        <v>1</v>
      </c>
      <c r="F17" s="18" t="n">
        <v>1</v>
      </c>
      <c r="G17" s="18" t="n">
        <v>0</v>
      </c>
      <c r="H17" s="18" t="n">
        <v>0</v>
      </c>
      <c r="I17" s="18" t="n">
        <v>0</v>
      </c>
      <c r="J17" s="18" t="n">
        <v>0</v>
      </c>
      <c r="K17" s="18" t="n">
        <v>1</v>
      </c>
      <c r="L17" s="18" t="n">
        <v>0</v>
      </c>
      <c r="M17" s="18" t="n">
        <v>0</v>
      </c>
      <c r="N17" s="18" t="n">
        <v>1</v>
      </c>
      <c r="O17" s="18" t="n">
        <v>0</v>
      </c>
      <c r="P17" s="18" t="n">
        <v>0</v>
      </c>
      <c r="Q17" s="18" t="n">
        <v>1</v>
      </c>
      <c r="R17" s="18" t="n">
        <v>1</v>
      </c>
      <c r="S17" s="18" t="n">
        <v>0</v>
      </c>
    </row>
    <row r="18" customFormat="false" ht="15" hidden="false" customHeight="true" outlineLevel="0" collapsed="false">
      <c r="A18" s="30" t="s">
        <v>366</v>
      </c>
      <c r="B18" s="4" t="s">
        <v>367</v>
      </c>
      <c r="C18" s="31" t="n">
        <f aca="false">MAX(E18:G18)</f>
        <v>1</v>
      </c>
      <c r="D18" s="31" t="n">
        <f aca="false">MAX(H18:S18)</f>
        <v>1</v>
      </c>
      <c r="E18" s="18" t="n">
        <v>1</v>
      </c>
      <c r="F18" s="18" t="n">
        <v>1</v>
      </c>
      <c r="G18" s="18" t="n">
        <v>1</v>
      </c>
      <c r="H18" s="18" t="n">
        <v>1</v>
      </c>
      <c r="I18" s="18" t="n">
        <v>1</v>
      </c>
      <c r="J18" s="18" t="n">
        <v>1</v>
      </c>
      <c r="K18" s="18" t="n">
        <v>1</v>
      </c>
      <c r="L18" s="18" t="n">
        <v>1</v>
      </c>
      <c r="M18" s="18" t="n">
        <v>1</v>
      </c>
      <c r="N18" s="18" t="n">
        <v>1</v>
      </c>
      <c r="O18" s="18" t="n">
        <v>1</v>
      </c>
      <c r="P18" s="18" t="n">
        <v>1</v>
      </c>
      <c r="Q18" s="18" t="n">
        <v>1</v>
      </c>
      <c r="R18" s="18" t="n">
        <v>1</v>
      </c>
      <c r="S18" s="18" t="n">
        <v>1</v>
      </c>
    </row>
    <row r="19" customFormat="false" ht="15" hidden="false" customHeight="true" outlineLevel="0" collapsed="false">
      <c r="A19" s="30" t="s">
        <v>368</v>
      </c>
      <c r="B19" s="4" t="s">
        <v>26</v>
      </c>
      <c r="C19" s="31" t="n">
        <f aca="false">SUM(E19:G19)</f>
        <v>3</v>
      </c>
      <c r="D19" s="31" t="n">
        <f aca="false">SUM(H19:S19)</f>
        <v>5</v>
      </c>
      <c r="E19" s="18" t="n">
        <v>1</v>
      </c>
      <c r="F19" s="18" t="n">
        <v>1</v>
      </c>
      <c r="G19" s="18" t="n">
        <v>1</v>
      </c>
      <c r="H19" s="18" t="n">
        <v>1</v>
      </c>
      <c r="I19" s="18" t="n">
        <v>1</v>
      </c>
      <c r="J19" s="18" t="n">
        <v>0</v>
      </c>
      <c r="K19" s="18" t="n">
        <v>0</v>
      </c>
      <c r="L19" s="18" t="n">
        <v>0</v>
      </c>
      <c r="M19" s="18" t="n">
        <v>0</v>
      </c>
      <c r="N19" s="18" t="n">
        <v>0</v>
      </c>
      <c r="O19" s="18" t="n">
        <v>0</v>
      </c>
      <c r="P19" s="18" t="n">
        <v>0</v>
      </c>
      <c r="Q19" s="18" t="n">
        <v>1</v>
      </c>
      <c r="R19" s="18" t="n">
        <v>1</v>
      </c>
      <c r="S19" s="18" t="n">
        <v>1</v>
      </c>
    </row>
    <row r="20" customFormat="false" ht="15" hidden="false" customHeight="true" outlineLevel="0" collapsed="false">
      <c r="A20" s="30" t="s">
        <v>369</v>
      </c>
      <c r="B20" s="4" t="s">
        <v>255</v>
      </c>
      <c r="C20" s="31" t="n">
        <f aca="false">SUM(E20:G20)</f>
        <v>6</v>
      </c>
      <c r="D20" s="31" t="n">
        <f aca="false">SUM(H20:S20)</f>
        <v>23</v>
      </c>
      <c r="E20" s="18" t="n">
        <v>2</v>
      </c>
      <c r="F20" s="18" t="n">
        <v>2</v>
      </c>
      <c r="G20" s="18" t="n">
        <v>2</v>
      </c>
      <c r="H20" s="18" t="n">
        <v>3</v>
      </c>
      <c r="I20" s="18" t="n">
        <v>2</v>
      </c>
      <c r="J20" s="18" t="n">
        <v>1</v>
      </c>
      <c r="K20" s="18" t="n">
        <v>1</v>
      </c>
      <c r="L20" s="18" t="n">
        <v>0</v>
      </c>
      <c r="M20" s="18" t="n">
        <v>2</v>
      </c>
      <c r="N20" s="18" t="n">
        <v>1</v>
      </c>
      <c r="O20" s="18" t="n">
        <v>3</v>
      </c>
      <c r="P20" s="18" t="n">
        <v>4</v>
      </c>
      <c r="Q20" s="18" t="n">
        <v>2</v>
      </c>
      <c r="R20" s="18" t="n">
        <v>2</v>
      </c>
      <c r="S20" s="18" t="n">
        <v>2</v>
      </c>
    </row>
    <row r="21" customFormat="false" ht="15" hidden="false" customHeight="true" outlineLevel="0" collapsed="false">
      <c r="A21" s="3"/>
      <c r="B21" s="3"/>
      <c r="C21" s="3"/>
      <c r="D21" s="3"/>
      <c r="E21" s="3"/>
      <c r="F21" s="3"/>
      <c r="G21" s="3"/>
      <c r="H21" s="3"/>
      <c r="I21" s="3"/>
      <c r="J21" s="3"/>
      <c r="K21" s="3"/>
      <c r="L21" s="3"/>
      <c r="M21" s="3"/>
      <c r="N21" s="3"/>
      <c r="O21" s="3"/>
      <c r="P21" s="3"/>
      <c r="Q21" s="3"/>
      <c r="R21" s="3"/>
      <c r="S21" s="3"/>
    </row>
    <row r="22" customFormat="false" ht="15" hidden="false" customHeight="true" outlineLevel="0" collapsed="false">
      <c r="A22" s="7" t="s">
        <v>370</v>
      </c>
      <c r="B22" s="8"/>
      <c r="C22" s="8"/>
      <c r="D22" s="8"/>
      <c r="E22" s="8"/>
      <c r="F22" s="8"/>
      <c r="G22" s="8"/>
      <c r="H22" s="8"/>
      <c r="I22" s="8"/>
      <c r="J22" s="8"/>
      <c r="K22" s="8"/>
      <c r="L22" s="8"/>
      <c r="M22" s="8"/>
      <c r="N22" s="8"/>
      <c r="O22" s="8"/>
      <c r="P22" s="8"/>
      <c r="Q22" s="8"/>
      <c r="R22" s="8"/>
      <c r="S22" s="8"/>
    </row>
    <row r="23" customFormat="false" ht="15" hidden="false" customHeight="true" outlineLevel="0" collapsed="false">
      <c r="A23" s="30" t="s">
        <v>363</v>
      </c>
      <c r="B23" s="4" t="s">
        <v>26</v>
      </c>
      <c r="C23" s="33" t="n">
        <f aca="false">SUM(E23:G23)</f>
        <v>1</v>
      </c>
      <c r="D23" s="33" t="n">
        <f aca="false">SUM(H23:S23)</f>
        <v>5</v>
      </c>
      <c r="E23" s="9" t="n">
        <f aca="false">E15*E9*E12*E10</f>
        <v>0</v>
      </c>
      <c r="F23" s="9" t="n">
        <f aca="false">F15*F9*F12*F10</f>
        <v>1</v>
      </c>
      <c r="G23" s="9" t="n">
        <f aca="false">G15*G9*G12*G10</f>
        <v>0</v>
      </c>
      <c r="H23" s="9" t="n">
        <f aca="false">H15*H9*H12*H10</f>
        <v>0</v>
      </c>
      <c r="I23" s="9" t="n">
        <f aca="false">I15*I9*I12*I10</f>
        <v>0</v>
      </c>
      <c r="J23" s="9" t="n">
        <f aca="false">J15*J9*J12*J10</f>
        <v>1</v>
      </c>
      <c r="K23" s="9" t="n">
        <f aca="false">K15*K9*K12*K10</f>
        <v>0</v>
      </c>
      <c r="L23" s="9" t="n">
        <f aca="false">L15*L9*L12*L10</f>
        <v>1</v>
      </c>
      <c r="M23" s="9" t="n">
        <f aca="false">M15*M9*M12*M10</f>
        <v>0</v>
      </c>
      <c r="N23" s="9" t="n">
        <f aca="false">N15*N9*N12*N10</f>
        <v>1</v>
      </c>
      <c r="O23" s="9" t="n">
        <f aca="false">O15*O9*O12*O10</f>
        <v>0</v>
      </c>
      <c r="P23" s="9" t="n">
        <f aca="false">P15*P9*P12*P10</f>
        <v>1</v>
      </c>
      <c r="Q23" s="9" t="n">
        <f aca="false">Q15*Q9*Q12*Q10</f>
        <v>0</v>
      </c>
      <c r="R23" s="9" t="n">
        <f aca="false">R15*R9*R12*R10</f>
        <v>1</v>
      </c>
      <c r="S23" s="9" t="n">
        <f aca="false">S15*S9*S12*S10</f>
        <v>0</v>
      </c>
    </row>
    <row r="24" customFormat="false" ht="15" hidden="false" customHeight="true" outlineLevel="0" collapsed="false">
      <c r="A24" s="30" t="s">
        <v>364</v>
      </c>
      <c r="B24" s="4" t="s">
        <v>26</v>
      </c>
      <c r="C24" s="33" t="n">
        <f aca="false">SUM(E24:G24)</f>
        <v>10</v>
      </c>
      <c r="D24" s="33" t="n">
        <f aca="false">SUM(H24:S24)</f>
        <v>17</v>
      </c>
      <c r="E24" s="9" t="n">
        <f aca="false">E16*E9*E12*(1-Inputs!$C$83*(1-E10))</f>
        <v>2</v>
      </c>
      <c r="F24" s="9" t="n">
        <f aca="false">F16*F9*F12*(1-Inputs!$C$83*(1-F10))</f>
        <v>3</v>
      </c>
      <c r="G24" s="9" t="n">
        <f aca="false">G16*G9*G12*(1-Inputs!$C$83*(1-G10))</f>
        <v>5</v>
      </c>
      <c r="H24" s="9" t="n">
        <f aca="false">H16*H9*H12*(1-Inputs!$C$83*(1-H10))</f>
        <v>0</v>
      </c>
      <c r="I24" s="9" t="n">
        <f aca="false">I16*I9*I12*(1-Inputs!$C$83*(1-I10))</f>
        <v>0</v>
      </c>
      <c r="J24" s="9" t="n">
        <f aca="false">J16*J9*J12*(1-Inputs!$C$83*(1-J10))</f>
        <v>1</v>
      </c>
      <c r="K24" s="9" t="n">
        <f aca="false">K16*K9*K12*(1-Inputs!$C$83*(1-K10))</f>
        <v>0</v>
      </c>
      <c r="L24" s="9" t="n">
        <f aca="false">L16*L9*L12*(1-Inputs!$C$83*(1-L10))</f>
        <v>1</v>
      </c>
      <c r="M24" s="9" t="n">
        <f aca="false">M16*M9*M12*(1-Inputs!$C$83*(1-M10))</f>
        <v>1</v>
      </c>
      <c r="N24" s="9" t="n">
        <f aca="false">N16*N9*N12*(1-Inputs!$C$83*(1-N10))</f>
        <v>1</v>
      </c>
      <c r="O24" s="9" t="n">
        <f aca="false">O16*O9*O12*(1-Inputs!$C$83*(1-O10))</f>
        <v>1</v>
      </c>
      <c r="P24" s="9" t="n">
        <f aca="false">P16*P9*P12*(1-Inputs!$C$83*(1-P10))</f>
        <v>2</v>
      </c>
      <c r="Q24" s="9" t="n">
        <f aca="false">Q16*Q9*Q12*(1-Inputs!$C$83*(1-Q10))</f>
        <v>2</v>
      </c>
      <c r="R24" s="9" t="n">
        <f aca="false">R16*R9*R12*(1-Inputs!$C$83*(1-R10))</f>
        <v>3</v>
      </c>
      <c r="S24" s="9" t="n">
        <f aca="false">S16*S9*S12*(1-Inputs!$C$83*(1-S10))</f>
        <v>5</v>
      </c>
    </row>
    <row r="25" customFormat="false" ht="15" hidden="false" customHeight="true" outlineLevel="0" collapsed="false">
      <c r="A25" s="30" t="s">
        <v>365</v>
      </c>
      <c r="B25" s="4" t="s">
        <v>26</v>
      </c>
      <c r="C25" s="33" t="n">
        <f aca="false">SUM(E25:G25)</f>
        <v>2</v>
      </c>
      <c r="D25" s="33" t="n">
        <f aca="false">SUM(H25:S25)</f>
        <v>4</v>
      </c>
      <c r="E25" s="9" t="n">
        <f aca="false">E17*E9*E12</f>
        <v>1</v>
      </c>
      <c r="F25" s="9" t="n">
        <f aca="false">F17*F9*F12</f>
        <v>1</v>
      </c>
      <c r="G25" s="9" t="n">
        <f aca="false">G17*G9*G12</f>
        <v>0</v>
      </c>
      <c r="H25" s="9" t="n">
        <f aca="false">H17*H9*H12</f>
        <v>0</v>
      </c>
      <c r="I25" s="9" t="n">
        <f aca="false">I17*I9*I12</f>
        <v>0</v>
      </c>
      <c r="J25" s="9" t="n">
        <f aca="false">J17*J9*J12</f>
        <v>0</v>
      </c>
      <c r="K25" s="9" t="n">
        <f aca="false">K17*K9*K12</f>
        <v>1</v>
      </c>
      <c r="L25" s="9" t="n">
        <f aca="false">L17*L9*L12</f>
        <v>0</v>
      </c>
      <c r="M25" s="9" t="n">
        <f aca="false">M17*M9*M12</f>
        <v>0</v>
      </c>
      <c r="N25" s="9" t="n">
        <f aca="false">N17*N9*N12</f>
        <v>1</v>
      </c>
      <c r="O25" s="9" t="n">
        <f aca="false">O17*O9*O12</f>
        <v>0</v>
      </c>
      <c r="P25" s="9" t="n">
        <f aca="false">P17*P9*P12</f>
        <v>0</v>
      </c>
      <c r="Q25" s="9" t="n">
        <f aca="false">Q17*Q9*Q12</f>
        <v>1</v>
      </c>
      <c r="R25" s="9" t="n">
        <f aca="false">R17*R9*R12</f>
        <v>1</v>
      </c>
      <c r="S25" s="9" t="n">
        <f aca="false">S17*S9*S12</f>
        <v>0</v>
      </c>
    </row>
    <row r="26" customFormat="false" ht="15" hidden="false" customHeight="true" outlineLevel="0" collapsed="false">
      <c r="A26" s="30" t="s">
        <v>371</v>
      </c>
      <c r="B26" s="4" t="s">
        <v>367</v>
      </c>
      <c r="C26" s="33" t="n">
        <f aca="false">MAX(E26:G26)</f>
        <v>1</v>
      </c>
      <c r="D26" s="33" t="n">
        <f aca="false">MAX(H26:S26)</f>
        <v>1</v>
      </c>
      <c r="E26" s="9" t="n">
        <f aca="false">E18</f>
        <v>1</v>
      </c>
      <c r="F26" s="9" t="n">
        <f aca="false">F18</f>
        <v>1</v>
      </c>
      <c r="G26" s="9" t="n">
        <f aca="false">G18</f>
        <v>1</v>
      </c>
      <c r="H26" s="9" t="n">
        <f aca="false">H18</f>
        <v>1</v>
      </c>
      <c r="I26" s="9" t="n">
        <f aca="false">I18</f>
        <v>1</v>
      </c>
      <c r="J26" s="9" t="n">
        <f aca="false">J18</f>
        <v>1</v>
      </c>
      <c r="K26" s="9" t="n">
        <f aca="false">K18</f>
        <v>1</v>
      </c>
      <c r="L26" s="9" t="n">
        <f aca="false">L18</f>
        <v>1</v>
      </c>
      <c r="M26" s="9" t="n">
        <f aca="false">M18</f>
        <v>1</v>
      </c>
      <c r="N26" s="9" t="n">
        <f aca="false">N18</f>
        <v>1</v>
      </c>
      <c r="O26" s="9" t="n">
        <f aca="false">O18</f>
        <v>1</v>
      </c>
      <c r="P26" s="9" t="n">
        <f aca="false">P18</f>
        <v>1</v>
      </c>
      <c r="Q26" s="9" t="n">
        <f aca="false">Q18</f>
        <v>1</v>
      </c>
      <c r="R26" s="9" t="n">
        <f aca="false">R18</f>
        <v>1</v>
      </c>
      <c r="S26" s="9" t="n">
        <f aca="false">S18</f>
        <v>1</v>
      </c>
    </row>
    <row r="27" customFormat="false" ht="15" hidden="false" customHeight="true" outlineLevel="0" collapsed="false">
      <c r="A27" s="30" t="s">
        <v>368</v>
      </c>
      <c r="B27" s="4" t="s">
        <v>26</v>
      </c>
      <c r="C27" s="33" t="n">
        <f aca="false">SUM(E27:G27)</f>
        <v>3</v>
      </c>
      <c r="D27" s="33" t="n">
        <f aca="false">SUM(H27:S27)</f>
        <v>5</v>
      </c>
      <c r="E27" s="9" t="n">
        <f aca="false">E19</f>
        <v>1</v>
      </c>
      <c r="F27" s="9" t="n">
        <f aca="false">F19</f>
        <v>1</v>
      </c>
      <c r="G27" s="9" t="n">
        <f aca="false">G19</f>
        <v>1</v>
      </c>
      <c r="H27" s="9" t="n">
        <f aca="false">H19</f>
        <v>1</v>
      </c>
      <c r="I27" s="9" t="n">
        <f aca="false">I19</f>
        <v>1</v>
      </c>
      <c r="J27" s="9" t="n">
        <f aca="false">J19</f>
        <v>0</v>
      </c>
      <c r="K27" s="9" t="n">
        <f aca="false">K19</f>
        <v>0</v>
      </c>
      <c r="L27" s="9" t="n">
        <f aca="false">L19</f>
        <v>0</v>
      </c>
      <c r="M27" s="9" t="n">
        <f aca="false">M19</f>
        <v>0</v>
      </c>
      <c r="N27" s="9" t="n">
        <f aca="false">N19</f>
        <v>0</v>
      </c>
      <c r="O27" s="9" t="n">
        <f aca="false">O19</f>
        <v>0</v>
      </c>
      <c r="P27" s="9" t="n">
        <f aca="false">P19</f>
        <v>0</v>
      </c>
      <c r="Q27" s="9" t="n">
        <f aca="false">Q19</f>
        <v>1</v>
      </c>
      <c r="R27" s="9" t="n">
        <f aca="false">R19</f>
        <v>1</v>
      </c>
      <c r="S27" s="9" t="n">
        <f aca="false">S19</f>
        <v>1</v>
      </c>
    </row>
    <row r="28" customFormat="false" ht="15" hidden="false" customHeight="true" outlineLevel="0" collapsed="false">
      <c r="A28" s="30" t="s">
        <v>369</v>
      </c>
      <c r="B28" s="4" t="s">
        <v>255</v>
      </c>
      <c r="C28" s="33" t="n">
        <f aca="false">SUM(E28:G28)</f>
        <v>6</v>
      </c>
      <c r="D28" s="33" t="n">
        <f aca="false">SUM(H28:S28)</f>
        <v>23</v>
      </c>
      <c r="E28" s="9" t="n">
        <f aca="false">E20</f>
        <v>2</v>
      </c>
      <c r="F28" s="9" t="n">
        <f aca="false">F20</f>
        <v>2</v>
      </c>
      <c r="G28" s="9" t="n">
        <f aca="false">G20</f>
        <v>2</v>
      </c>
      <c r="H28" s="9" t="n">
        <f aca="false">H20</f>
        <v>3</v>
      </c>
      <c r="I28" s="9" t="n">
        <f aca="false">I20</f>
        <v>2</v>
      </c>
      <c r="J28" s="9" t="n">
        <f aca="false">J20</f>
        <v>1</v>
      </c>
      <c r="K28" s="9" t="n">
        <f aca="false">K20</f>
        <v>1</v>
      </c>
      <c r="L28" s="9" t="n">
        <f aca="false">L20</f>
        <v>0</v>
      </c>
      <c r="M28" s="9" t="n">
        <f aca="false">M20</f>
        <v>2</v>
      </c>
      <c r="N28" s="9" t="n">
        <f aca="false">N20</f>
        <v>1</v>
      </c>
      <c r="O28" s="9" t="n">
        <f aca="false">O20</f>
        <v>3</v>
      </c>
      <c r="P28" s="9" t="n">
        <f aca="false">P20</f>
        <v>4</v>
      </c>
      <c r="Q28" s="9" t="n">
        <f aca="false">Q20</f>
        <v>2</v>
      </c>
      <c r="R28" s="9" t="n">
        <f aca="false">R20</f>
        <v>2</v>
      </c>
      <c r="S28" s="9" t="n">
        <f aca="false">S20</f>
        <v>2</v>
      </c>
    </row>
    <row r="29" customFormat="false" ht="15" hidden="false" customHeight="true" outlineLevel="0" collapsed="false">
      <c r="A29" s="12" t="s">
        <v>372</v>
      </c>
      <c r="B29" s="4" t="s">
        <v>26</v>
      </c>
      <c r="C29" s="33" t="n">
        <f aca="false">SUM(E29:G29)</f>
        <v>13</v>
      </c>
      <c r="D29" s="33" t="n">
        <f aca="false">SUM(H29:S29)</f>
        <v>26</v>
      </c>
      <c r="E29" s="34" t="n">
        <f aca="false">E23+E24+E25</f>
        <v>3</v>
      </c>
      <c r="F29" s="34" t="n">
        <f aca="false">F23+F24+F25</f>
        <v>5</v>
      </c>
      <c r="G29" s="34" t="n">
        <f aca="false">G23+G24+G25</f>
        <v>5</v>
      </c>
      <c r="H29" s="34" t="n">
        <f aca="false">H23+H24+H25</f>
        <v>0</v>
      </c>
      <c r="I29" s="34" t="n">
        <f aca="false">I23+I24+I25</f>
        <v>0</v>
      </c>
      <c r="J29" s="34" t="n">
        <f aca="false">J23+J24+J25</f>
        <v>2</v>
      </c>
      <c r="K29" s="34" t="n">
        <f aca="false">K23+K24+K25</f>
        <v>1</v>
      </c>
      <c r="L29" s="34" t="n">
        <f aca="false">L23+L24+L25</f>
        <v>2</v>
      </c>
      <c r="M29" s="34" t="n">
        <f aca="false">M23+M24+M25</f>
        <v>1</v>
      </c>
      <c r="N29" s="34" t="n">
        <f aca="false">N23+N24+N25</f>
        <v>3</v>
      </c>
      <c r="O29" s="34" t="n">
        <f aca="false">O23+O24+O25</f>
        <v>1</v>
      </c>
      <c r="P29" s="34" t="n">
        <f aca="false">P23+P24+P25</f>
        <v>3</v>
      </c>
      <c r="Q29" s="34" t="n">
        <f aca="false">Q23+Q24+Q25</f>
        <v>3</v>
      </c>
      <c r="R29" s="34" t="n">
        <f aca="false">R23+R24+R25</f>
        <v>5</v>
      </c>
      <c r="S29" s="34" t="n">
        <f aca="false">S23+S24+S25</f>
        <v>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row>
    <row r="31" customFormat="false" ht="15" hidden="false" customHeight="true" outlineLevel="0" collapsed="false">
      <c r="A31" s="4" t="s">
        <v>373</v>
      </c>
      <c r="B31" s="3"/>
      <c r="C31" s="3"/>
      <c r="D31" s="3"/>
      <c r="E31" s="3"/>
      <c r="F31" s="3"/>
      <c r="G31" s="3"/>
      <c r="H31" s="3"/>
      <c r="I31" s="3"/>
      <c r="J31" s="3"/>
      <c r="K31" s="3"/>
      <c r="L31" s="3"/>
      <c r="M31" s="3"/>
      <c r="N31" s="3"/>
      <c r="O31" s="3"/>
      <c r="P31" s="3"/>
      <c r="Q31" s="3"/>
      <c r="R31" s="3"/>
      <c r="S3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15" min="2" style="1" width="14"/>
  </cols>
  <sheetData>
    <row r="1" customFormat="false" ht="17.25" hidden="false" customHeight="true" outlineLevel="0" collapsed="false">
      <c r="A1" s="2" t="s">
        <v>374</v>
      </c>
      <c r="B1" s="3"/>
      <c r="C1" s="3"/>
      <c r="D1" s="3"/>
      <c r="E1" s="3"/>
      <c r="F1" s="3"/>
      <c r="G1" s="3"/>
      <c r="H1" s="3"/>
      <c r="I1" s="3"/>
      <c r="J1" s="3"/>
      <c r="K1" s="3"/>
      <c r="L1" s="3"/>
      <c r="M1" s="3"/>
      <c r="N1" s="3"/>
      <c r="O1" s="3"/>
    </row>
    <row r="2" customFormat="false" ht="15" hidden="false" customHeight="true" outlineLevel="0" collapsed="false">
      <c r="A2" s="3"/>
      <c r="B2" s="3"/>
      <c r="C2" s="3"/>
      <c r="D2" s="3"/>
      <c r="E2" s="3"/>
      <c r="F2" s="3"/>
      <c r="G2" s="3"/>
      <c r="H2" s="3"/>
      <c r="I2" s="3"/>
      <c r="J2" s="3"/>
      <c r="K2" s="3"/>
      <c r="L2" s="3"/>
      <c r="M2" s="3"/>
      <c r="N2" s="3"/>
      <c r="O2" s="3"/>
    </row>
    <row r="3" customFormat="false" ht="48" hidden="false" customHeight="true" outlineLevel="0" collapsed="false">
      <c r="A3" s="35" t="s">
        <v>375</v>
      </c>
      <c r="B3" s="35" t="s">
        <v>376</v>
      </c>
      <c r="C3" s="35" t="s">
        <v>377</v>
      </c>
      <c r="D3" s="35" t="s">
        <v>378</v>
      </c>
      <c r="E3" s="35" t="s">
        <v>379</v>
      </c>
      <c r="F3" s="35" t="s">
        <v>380</v>
      </c>
      <c r="G3" s="35" t="s">
        <v>381</v>
      </c>
      <c r="H3" s="35" t="s">
        <v>382</v>
      </c>
      <c r="I3" s="35" t="s">
        <v>383</v>
      </c>
      <c r="J3" s="35" t="s">
        <v>384</v>
      </c>
      <c r="K3" s="35" t="s">
        <v>385</v>
      </c>
      <c r="L3" s="35" t="s">
        <v>386</v>
      </c>
      <c r="M3" s="35" t="s">
        <v>387</v>
      </c>
      <c r="N3" s="35" t="s">
        <v>388</v>
      </c>
      <c r="O3" s="35" t="s">
        <v>389</v>
      </c>
    </row>
    <row r="4" customFormat="false" ht="15" hidden="false" customHeight="true" outlineLevel="0" collapsed="false">
      <c r="A4" s="3" t="s">
        <v>363</v>
      </c>
      <c r="B4" s="36" t="n">
        <f aca="false">IF(Inputs!$C$85=2,Inputs!$C$87+Inputs!$C$93*Inputs!$C$63*Inputs!$C$92,Inputs!$C$9)</f>
        <v>100</v>
      </c>
      <c r="C4" s="36" t="n">
        <f aca="false">Inputs!$C$16</f>
        <v>25</v>
      </c>
      <c r="D4" s="9" t="n">
        <v>0</v>
      </c>
      <c r="E4" s="9" t="n">
        <f aca="false">IF(Inputs!$C$85=2,Inputs!$C$93*Inputs!$C$63*Inputs!$C$62,IF(Inputs!$C$61=1,0,Inputs!$C$63*Inputs!$C$62))</f>
        <v>3</v>
      </c>
      <c r="F4" s="9" t="n">
        <f aca="false">C4+D4+E4</f>
        <v>28</v>
      </c>
      <c r="G4" s="9" t="n">
        <f aca="false">B4-F4</f>
        <v>72</v>
      </c>
      <c r="H4" s="10" t="n">
        <f aca="false">IF(B4=0,0,G4/B4)</f>
        <v>0.72</v>
      </c>
      <c r="I4" s="37" t="n">
        <f aca="false">IF(C4+D4=0,0,B4/(C4+D4))</f>
        <v>4</v>
      </c>
      <c r="J4" s="3" t="str">
        <f aca="false">IF(I4&gt;=3,"Yes","No - below 3x")</f>
        <v>Yes</v>
      </c>
      <c r="K4" s="11" t="n">
        <f aca="false">Inputs!$C$26*Inputs!$C$30</f>
        <v>12</v>
      </c>
      <c r="L4" s="9" t="n">
        <f aca="false">IF(K4=0,0,G4/K4)</f>
        <v>6</v>
      </c>
      <c r="M4" s="9" t="n">
        <f aca="false">Inputs!$C$63*Inputs!$C$62</f>
        <v>3</v>
      </c>
      <c r="N4" s="9" t="n">
        <f aca="false">Inputs!$C$9</f>
        <v>85</v>
      </c>
      <c r="O4" s="9" t="n">
        <f aca="false">C4+D4+IF(Inputs!$C$61=1,0,Inputs!$C$63*Inputs!$C$62)</f>
        <v>25</v>
      </c>
    </row>
    <row r="5" customFormat="false" ht="15" hidden="false" customHeight="true" outlineLevel="0" collapsed="false">
      <c r="A5" s="3" t="s">
        <v>364</v>
      </c>
      <c r="B5" s="36" t="n">
        <f aca="false">IF(Inputs!$C$85=2,Inputs!$C$88+Inputs!$C$94*Inputs!$C$64*Inputs!$C$92,Inputs!$C$10)</f>
        <v>28.5</v>
      </c>
      <c r="C5" s="36" t="n">
        <f aca="false">Inputs!$C$17</f>
        <v>8</v>
      </c>
      <c r="D5" s="9" t="n">
        <f aca="false">IF(Inputs!$C$22=1,0,Inputs!$C$27*Inputs!$C$23*Inputs!$C$24)</f>
        <v>0</v>
      </c>
      <c r="E5" s="9" t="n">
        <f aca="false">IF(Inputs!$C$85=2,Inputs!$C$94*Inputs!$C$64*Inputs!$C$62,IF(Inputs!$C$61=1,0,Inputs!$C$64*Inputs!$C$62))</f>
        <v>2.25</v>
      </c>
      <c r="F5" s="9" t="n">
        <f aca="false">C5+D5+E5</f>
        <v>10.25</v>
      </c>
      <c r="G5" s="9" t="n">
        <f aca="false">B5-F5</f>
        <v>18.25</v>
      </c>
      <c r="H5" s="10" t="n">
        <f aca="false">IF(B5=0,0,G5/B5)</f>
        <v>0.640350877192982</v>
      </c>
      <c r="I5" s="37" t="n">
        <f aca="false">IF(C5+D5=0,0,B5/(C5+D5))</f>
        <v>3.5625</v>
      </c>
      <c r="J5" s="3" t="str">
        <f aca="false">IF(I5&gt;=3,"Yes","No - below 3x")</f>
        <v>Yes</v>
      </c>
      <c r="K5" s="11" t="n">
        <f aca="false">Inputs!$C$27*Inputs!$C$31</f>
        <v>2</v>
      </c>
      <c r="L5" s="9" t="n">
        <f aca="false">IF(K5=0,0,G5/K5)</f>
        <v>9.125</v>
      </c>
      <c r="M5" s="9" t="n">
        <f aca="false">Inputs!$C$64*Inputs!$C$62</f>
        <v>2.25</v>
      </c>
      <c r="N5" s="9" t="n">
        <f aca="false">Inputs!$C$10</f>
        <v>20</v>
      </c>
      <c r="O5" s="9" t="n">
        <f aca="false">C5+D5+IF(Inputs!$C$61=1,0,Inputs!$C$64*Inputs!$C$62)</f>
        <v>8</v>
      </c>
    </row>
    <row r="6" customFormat="false" ht="15" hidden="false" customHeight="true" outlineLevel="0" collapsed="false">
      <c r="A6" s="3" t="s">
        <v>390</v>
      </c>
      <c r="B6" s="36" t="n">
        <f aca="false">IF(Inputs!$C$85=2,(1-Inputs!$C$91)*Inputs!$C$89+Inputs!$C$91*Inputs!$C$90+Inputs!$C$95*Inputs!$C$65*Inputs!$C$92,Inputs!$C$11)</f>
        <v>53.5</v>
      </c>
      <c r="C6" s="36" t="n">
        <f aca="false">Inputs!$C$18</f>
        <v>12</v>
      </c>
      <c r="D6" s="9" t="n">
        <v>0</v>
      </c>
      <c r="E6" s="9" t="n">
        <f aca="false">IF(Inputs!$C$85=2,Inputs!$C$95*Inputs!$C$65*Inputs!$C$62,IF(Inputs!$C$61=1,0,Inputs!$C$65*Inputs!$C$62))</f>
        <v>3</v>
      </c>
      <c r="F6" s="9" t="n">
        <f aca="false">C6+D6+E6</f>
        <v>15</v>
      </c>
      <c r="G6" s="9" t="n">
        <f aca="false">B6-F6</f>
        <v>38.5</v>
      </c>
      <c r="H6" s="10" t="n">
        <f aca="false">IF(B6=0,0,G6/B6)</f>
        <v>0.719626168224299</v>
      </c>
      <c r="I6" s="37" t="n">
        <f aca="false">IF(C6+D6=0,0,B6/(C6+D6))</f>
        <v>4.45833333333333</v>
      </c>
      <c r="J6" s="3" t="str">
        <f aca="false">IF(I6&gt;=3,"Yes","No - below 3x")</f>
        <v>Yes</v>
      </c>
      <c r="K6" s="11" t="n">
        <f aca="false">Inputs!$C$28*Inputs!$C$32</f>
        <v>2</v>
      </c>
      <c r="L6" s="9" t="n">
        <f aca="false">IF(K6=0,0,G6/K6)</f>
        <v>19.25</v>
      </c>
      <c r="M6" s="9" t="n">
        <f aca="false">Inputs!$C$65*Inputs!$C$62</f>
        <v>3</v>
      </c>
      <c r="N6" s="9" t="n">
        <f aca="false">Inputs!$C$11</f>
        <v>35</v>
      </c>
      <c r="O6" s="9" t="n">
        <f aca="false">C6+D6+IF(Inputs!$C$61=1,0,Inputs!$C$65*Inputs!$C$62)</f>
        <v>12</v>
      </c>
    </row>
    <row r="7" customFormat="false" ht="15" hidden="false" customHeight="true" outlineLevel="0" collapsed="false">
      <c r="A7" s="3" t="s">
        <v>391</v>
      </c>
      <c r="B7" s="36" t="n">
        <f aca="false">Inputs!$C$12</f>
        <v>15</v>
      </c>
      <c r="C7" s="36" t="n">
        <f aca="false">Inputs!$C$19</f>
        <v>5</v>
      </c>
      <c r="D7" s="9" t="n">
        <v>0</v>
      </c>
      <c r="E7" s="9" t="n">
        <v>0</v>
      </c>
      <c r="F7" s="9" t="n">
        <f aca="false">C7+D7+E7</f>
        <v>5</v>
      </c>
      <c r="G7" s="9" t="n">
        <f aca="false">B7-F7</f>
        <v>10</v>
      </c>
      <c r="H7" s="10" t="n">
        <f aca="false">IF(B7=0,0,G7/B7)</f>
        <v>0.666666666666667</v>
      </c>
      <c r="I7" s="37" t="n">
        <f aca="false">IF(C7+D7=0,0,B7/(C7+D7))</f>
        <v>3</v>
      </c>
      <c r="J7" s="3" t="str">
        <f aca="false">IF(I7&gt;=3,"Yes","No - below 3x")</f>
        <v>Yes</v>
      </c>
      <c r="K7" s="11" t="n">
        <v>0</v>
      </c>
      <c r="L7" s="9" t="n">
        <f aca="false">IF(K7=0,0,G7/K7)</f>
        <v>0</v>
      </c>
      <c r="M7" s="9" t="n">
        <v>0</v>
      </c>
      <c r="N7" s="9" t="n">
        <f aca="false">Inputs!$C$12</f>
        <v>15</v>
      </c>
      <c r="O7" s="9" t="n">
        <f aca="false">C7+D7+0</f>
        <v>5</v>
      </c>
    </row>
    <row r="8" customFormat="false" ht="15" hidden="false" customHeight="true" outlineLevel="0" collapsed="false">
      <c r="A8" s="3" t="s">
        <v>97</v>
      </c>
      <c r="B8" s="36" t="n">
        <f aca="false">Inputs!$C$13</f>
        <v>20</v>
      </c>
      <c r="C8" s="36" t="n">
        <f aca="false">Inputs!$C$20</f>
        <v>8</v>
      </c>
      <c r="D8" s="9" t="n">
        <v>0</v>
      </c>
      <c r="E8" s="9" t="n">
        <f aca="false">IF(Inputs!$C$61=1,0,Inputs!$C$66*Inputs!$C$62)</f>
        <v>0</v>
      </c>
      <c r="F8" s="9" t="n">
        <f aca="false">C8+D8+E8</f>
        <v>8</v>
      </c>
      <c r="G8" s="9" t="n">
        <f aca="false">B8-F8</f>
        <v>12</v>
      </c>
      <c r="H8" s="10" t="n">
        <f aca="false">IF(B8=0,0,G8/B8)</f>
        <v>0.6</v>
      </c>
      <c r="I8" s="37" t="n">
        <f aca="false">IF(C8+D8=0,0,B8/(C8+D8))</f>
        <v>2.5</v>
      </c>
      <c r="J8" s="3" t="str">
        <f aca="false">IF(I8&gt;=3,"Yes","No - below 3x")</f>
        <v>No - below 3x</v>
      </c>
      <c r="K8" s="11" t="n">
        <f aca="false">Inputs!$C$29*Inputs!$C$33</f>
        <v>2</v>
      </c>
      <c r="L8" s="9" t="n">
        <f aca="false">IF(K8=0,0,G8/K8)</f>
        <v>6</v>
      </c>
      <c r="M8" s="9" t="n">
        <f aca="false">Inputs!$C$66*Inputs!$C$62</f>
        <v>3.75</v>
      </c>
      <c r="N8" s="9" t="n">
        <f aca="false">Inputs!$C$13</f>
        <v>20</v>
      </c>
      <c r="O8" s="9" t="n">
        <f aca="false">C8+D8+IF(Inputs!$C$61=1,0,Inputs!$C$66*Inputs!$C$62)</f>
        <v>8</v>
      </c>
    </row>
    <row r="9" customFormat="false" ht="15" hidden="false" customHeight="true" outlineLevel="0" collapsed="false">
      <c r="A9" s="3"/>
      <c r="B9" s="3"/>
      <c r="C9" s="3"/>
      <c r="D9" s="3"/>
      <c r="E9" s="3"/>
      <c r="F9" s="3"/>
      <c r="G9" s="3"/>
      <c r="H9" s="3"/>
      <c r="I9" s="3"/>
      <c r="J9" s="3"/>
      <c r="K9" s="3"/>
      <c r="L9" s="3"/>
      <c r="M9" s="3"/>
      <c r="N9" s="3"/>
      <c r="O9" s="3"/>
    </row>
    <row r="10" customFormat="false" ht="15" hidden="false" customHeight="true" outlineLevel="0" collapsed="false">
      <c r="A10" s="7" t="s">
        <v>392</v>
      </c>
      <c r="B10" s="8"/>
      <c r="C10" s="8"/>
      <c r="D10" s="8"/>
      <c r="E10" s="8"/>
      <c r="F10" s="8"/>
      <c r="G10" s="8"/>
      <c r="H10" s="8"/>
      <c r="I10" s="8"/>
      <c r="J10" s="8"/>
      <c r="K10" s="8"/>
      <c r="L10" s="8"/>
      <c r="M10" s="8"/>
      <c r="N10" s="3"/>
      <c r="O10" s="3"/>
    </row>
    <row r="11" customFormat="false" ht="15" hidden="false" customHeight="true" outlineLevel="0" collapsed="false">
      <c r="A11" s="3" t="s">
        <v>393</v>
      </c>
      <c r="B11" s="9" t="n">
        <f aca="false">IF(Inputs!$C$52=1,(Inputs!$C$53+Inputs!$C$55)*12,Inputs!$C$55*12)</f>
        <v>24</v>
      </c>
      <c r="C11" s="3"/>
      <c r="D11" s="3"/>
      <c r="E11" s="3"/>
      <c r="F11" s="3"/>
      <c r="G11" s="3"/>
      <c r="H11" s="3"/>
      <c r="I11" s="3"/>
      <c r="J11" s="3"/>
      <c r="K11" s="3"/>
      <c r="L11" s="3"/>
      <c r="M11" s="3"/>
      <c r="N11" s="3"/>
      <c r="O11" s="3"/>
    </row>
    <row r="12" customFormat="false" ht="15" hidden="false" customHeight="true" outlineLevel="0" collapsed="false">
      <c r="A12" s="3" t="s">
        <v>394</v>
      </c>
      <c r="B12" s="9" t="n">
        <f aca="false">Inputs!$C$70</f>
        <v>4</v>
      </c>
      <c r="C12" s="3"/>
      <c r="D12" s="3"/>
      <c r="E12" s="3"/>
      <c r="F12" s="3"/>
      <c r="G12" s="3"/>
      <c r="H12" s="3"/>
      <c r="I12" s="3"/>
      <c r="J12" s="3"/>
      <c r="K12" s="3"/>
      <c r="L12" s="3"/>
      <c r="M12" s="3"/>
      <c r="N12" s="3"/>
      <c r="O12" s="3"/>
    </row>
    <row r="13" customFormat="false" ht="15" hidden="false" customHeight="true" outlineLevel="0" collapsed="false">
      <c r="A13" s="3" t="s">
        <v>395</v>
      </c>
      <c r="B13" s="9" t="n">
        <f aca="false">IF(B12=0,0,B11/B12)</f>
        <v>6</v>
      </c>
      <c r="C13" s="3"/>
      <c r="D13" s="3"/>
      <c r="E13" s="3"/>
      <c r="F13" s="3"/>
      <c r="G13" s="3"/>
      <c r="H13" s="3"/>
      <c r="I13" s="3"/>
      <c r="J13" s="3"/>
      <c r="K13" s="3"/>
      <c r="L13" s="3"/>
      <c r="M13" s="3"/>
      <c r="N13" s="3"/>
      <c r="O13" s="3"/>
    </row>
    <row r="14" customFormat="false" ht="15" hidden="false" customHeight="true" outlineLevel="0" collapsed="false">
      <c r="A14" s="3" t="s">
        <v>396</v>
      </c>
      <c r="B14" s="9" t="n">
        <f aca="false">IF(G4&lt;=0,0,B13/G4)</f>
        <v>0.0833333333333333</v>
      </c>
      <c r="C14" s="3"/>
      <c r="D14" s="3"/>
      <c r="E14" s="3"/>
      <c r="F14" s="3"/>
      <c r="G14" s="3"/>
      <c r="H14" s="3"/>
      <c r="I14" s="3"/>
      <c r="J14" s="3"/>
      <c r="K14" s="3"/>
      <c r="L14" s="3"/>
      <c r="M14" s="3"/>
      <c r="N14" s="3"/>
      <c r="O14" s="3"/>
    </row>
    <row r="15" customFormat="false" ht="15" hidden="false" customHeight="true" outlineLevel="0" collapsed="false">
      <c r="A15" s="3" t="s">
        <v>397</v>
      </c>
      <c r="B15" s="9" t="n">
        <f aca="false">IF(G5&lt;=0,0,B13/G5)</f>
        <v>0.328767123287671</v>
      </c>
      <c r="C15" s="3"/>
      <c r="D15" s="3"/>
      <c r="E15" s="3"/>
      <c r="F15" s="3"/>
      <c r="G15" s="3"/>
      <c r="H15" s="3"/>
      <c r="I15" s="3"/>
      <c r="J15" s="3"/>
      <c r="K15" s="3"/>
      <c r="L15" s="3"/>
      <c r="M15" s="3"/>
      <c r="N15" s="3"/>
      <c r="O15" s="3"/>
    </row>
    <row r="16" customFormat="false" ht="15" hidden="false" customHeight="true" outlineLevel="0" collapsed="false">
      <c r="A16" s="3" t="s">
        <v>398</v>
      </c>
      <c r="B16" s="9" t="n">
        <f aca="false">IF(G6&lt;=0,0,B13/G6)</f>
        <v>0.155844155844156</v>
      </c>
      <c r="C16" s="3"/>
      <c r="D16" s="3"/>
      <c r="E16" s="3"/>
      <c r="F16" s="3"/>
      <c r="G16" s="3"/>
      <c r="H16" s="3"/>
      <c r="I16" s="3"/>
      <c r="J16" s="3"/>
      <c r="K16" s="3"/>
      <c r="L16" s="3"/>
      <c r="M16" s="3"/>
      <c r="N16" s="3"/>
      <c r="O16" s="3"/>
    </row>
    <row r="17" customFormat="false" ht="15" hidden="false" customHeight="true" outlineLevel="0" collapsed="false">
      <c r="A17" s="3" t="s">
        <v>399</v>
      </c>
      <c r="B17" s="9" t="n">
        <f aca="false">IF(G7&lt;=0,0,B13/G7)</f>
        <v>0.6</v>
      </c>
      <c r="C17" s="3"/>
      <c r="D17" s="3"/>
      <c r="E17" s="3"/>
      <c r="F17" s="3"/>
      <c r="G17" s="3"/>
      <c r="H17" s="3"/>
      <c r="I17" s="3"/>
      <c r="J17" s="3"/>
      <c r="K17" s="3"/>
      <c r="L17" s="3"/>
      <c r="M17" s="3"/>
      <c r="N17" s="3"/>
      <c r="O17" s="3"/>
    </row>
    <row r="18" customFormat="false" ht="15" hidden="false" customHeight="true" outlineLevel="0" collapsed="false">
      <c r="A18" s="3"/>
      <c r="B18" s="3"/>
      <c r="C18" s="3"/>
      <c r="D18" s="3"/>
      <c r="E18" s="3"/>
      <c r="F18" s="3"/>
      <c r="G18" s="3"/>
      <c r="H18" s="3"/>
      <c r="I18" s="3"/>
      <c r="J18" s="3"/>
      <c r="K18" s="3"/>
      <c r="L18" s="3"/>
      <c r="M18" s="3"/>
      <c r="N18" s="3"/>
      <c r="O18" s="3"/>
    </row>
    <row r="19" customFormat="false" ht="15" hidden="false" customHeight="true" outlineLevel="0" collapsed="false">
      <c r="A19" s="4" t="s">
        <v>400</v>
      </c>
      <c r="B19" s="3"/>
      <c r="C19" s="3"/>
      <c r="D19" s="3"/>
      <c r="E19" s="3"/>
      <c r="F19" s="3"/>
      <c r="G19" s="3"/>
      <c r="H19" s="3"/>
      <c r="I19" s="3"/>
      <c r="J19" s="3"/>
      <c r="K19" s="3"/>
      <c r="L19" s="3"/>
      <c r="M19" s="3"/>
      <c r="N19" s="3"/>
      <c r="O19" s="3"/>
    </row>
    <row r="20" customFormat="false" ht="15" hidden="false" customHeight="true" outlineLevel="0" collapsed="false">
      <c r="A20" s="4" t="s">
        <v>401</v>
      </c>
      <c r="B20" s="3"/>
      <c r="C20" s="3"/>
      <c r="D20" s="3"/>
      <c r="E20" s="3"/>
      <c r="F20" s="3"/>
      <c r="G20" s="3"/>
      <c r="H20" s="3"/>
      <c r="I20" s="3"/>
      <c r="J20" s="3"/>
      <c r="K20" s="3"/>
      <c r="L20" s="3"/>
      <c r="M20" s="3"/>
      <c r="N20" s="3"/>
      <c r="O20" s="3"/>
    </row>
    <row r="21" customFormat="false" ht="15" hidden="false" customHeight="true" outlineLevel="0" collapsed="false">
      <c r="A21" s="4" t="s">
        <v>402</v>
      </c>
      <c r="B21" s="3"/>
      <c r="C21" s="3"/>
      <c r="D21" s="3"/>
      <c r="E21" s="3"/>
      <c r="F21" s="3"/>
      <c r="G21" s="3"/>
      <c r="H21" s="3"/>
      <c r="I21" s="3"/>
      <c r="J21" s="3"/>
      <c r="K21" s="3"/>
      <c r="L21" s="3"/>
      <c r="M21" s="3"/>
      <c r="N21" s="3"/>
      <c r="O21" s="3"/>
    </row>
    <row r="22" customFormat="false" ht="15" hidden="false" customHeight="true" outlineLevel="0" collapsed="false">
      <c r="A22" s="4" t="s">
        <v>403</v>
      </c>
      <c r="B22" s="3"/>
      <c r="C22" s="3"/>
      <c r="D22" s="3"/>
      <c r="E22" s="3"/>
      <c r="F22" s="3"/>
      <c r="G22" s="3"/>
      <c r="H22" s="3"/>
      <c r="I22" s="3"/>
      <c r="J22" s="3"/>
      <c r="K22" s="3"/>
      <c r="L22" s="3"/>
      <c r="M22" s="3"/>
      <c r="N22" s="3"/>
      <c r="O2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40"/>
    <col collapsed="false" customWidth="true" hidden="false" outlineLevel="0" max="12" min="3" style="1" width="13"/>
    <col collapsed="false" customWidth="true" hidden="false" outlineLevel="0" max="13" min="13" style="1" width="44"/>
  </cols>
  <sheetData>
    <row r="1" customFormat="false" ht="17.25" hidden="false" customHeight="true" outlineLevel="0" collapsed="false">
      <c r="A1" s="2" t="s">
        <v>404</v>
      </c>
      <c r="B1" s="3"/>
      <c r="C1" s="3"/>
      <c r="D1" s="3"/>
      <c r="E1" s="3"/>
      <c r="F1" s="3"/>
      <c r="G1" s="3"/>
      <c r="H1" s="3"/>
      <c r="I1" s="3"/>
      <c r="J1" s="3"/>
      <c r="K1" s="3"/>
      <c r="L1" s="3"/>
      <c r="M1" s="3"/>
    </row>
    <row r="2" customFormat="false" ht="15" hidden="false" customHeight="true" outlineLevel="0" collapsed="false">
      <c r="A2" s="4" t="s">
        <v>405</v>
      </c>
      <c r="B2" s="3"/>
      <c r="C2" s="3"/>
      <c r="D2" s="3"/>
      <c r="E2" s="3"/>
      <c r="F2" s="3"/>
      <c r="G2" s="3"/>
      <c r="H2" s="3"/>
      <c r="I2" s="3"/>
      <c r="J2" s="3"/>
      <c r="K2" s="3"/>
      <c r="L2" s="3"/>
      <c r="M2" s="3"/>
    </row>
    <row r="3" customFormat="false" ht="15" hidden="false" customHeight="true" outlineLevel="0" collapsed="false">
      <c r="A3" s="3"/>
      <c r="B3" s="3"/>
      <c r="C3" s="3"/>
      <c r="D3" s="3"/>
      <c r="E3" s="3"/>
      <c r="F3" s="3"/>
      <c r="G3" s="3"/>
      <c r="H3" s="3"/>
      <c r="I3" s="3"/>
      <c r="J3" s="3"/>
      <c r="K3" s="3"/>
      <c r="L3" s="3"/>
      <c r="M3" s="3"/>
    </row>
    <row r="4" customFormat="false" ht="48" hidden="false" customHeight="true" outlineLevel="0" collapsed="false">
      <c r="A4" s="35" t="s">
        <v>406</v>
      </c>
      <c r="B4" s="35" t="s">
        <v>407</v>
      </c>
      <c r="C4" s="35" t="s">
        <v>408</v>
      </c>
      <c r="D4" s="35" t="s">
        <v>409</v>
      </c>
      <c r="E4" s="35" t="s">
        <v>410</v>
      </c>
      <c r="F4" s="35" t="s">
        <v>411</v>
      </c>
      <c r="G4" s="35" t="s">
        <v>412</v>
      </c>
      <c r="H4" s="35" t="s">
        <v>413</v>
      </c>
      <c r="I4" s="35" t="s">
        <v>414</v>
      </c>
      <c r="J4" s="35" t="s">
        <v>383</v>
      </c>
      <c r="K4" s="35" t="s">
        <v>415</v>
      </c>
      <c r="L4" s="35" t="s">
        <v>416</v>
      </c>
      <c r="M4" s="35" t="s">
        <v>417</v>
      </c>
    </row>
    <row r="5" customFormat="false" ht="26.25" hidden="false" customHeight="true" outlineLevel="0" collapsed="false">
      <c r="A5" s="19" t="s">
        <v>418</v>
      </c>
      <c r="B5" s="19" t="s">
        <v>419</v>
      </c>
      <c r="C5" s="36" t="n">
        <f aca="false">Inputs!$C$87</f>
        <v>94</v>
      </c>
      <c r="D5" s="11" t="n">
        <f aca="false">Inputs!$C$30</f>
        <v>3</v>
      </c>
      <c r="E5" s="38" t="n">
        <f aca="false">IF(D5=0,0,C5/D5)</f>
        <v>31.3333333333333</v>
      </c>
      <c r="F5" s="38" t="n">
        <f aca="false">Inputs!$C$92*Inputs!$C$93</f>
        <v>0.15</v>
      </c>
      <c r="G5" s="11" t="n">
        <f aca="false">Inputs!$C$63</f>
        <v>40</v>
      </c>
      <c r="H5" s="38" t="n">
        <f aca="false">C5+F5*G5</f>
        <v>100</v>
      </c>
      <c r="I5" s="38" t="n">
        <f aca="false">Inputs!$C$16</f>
        <v>25</v>
      </c>
      <c r="J5" s="37" t="n">
        <f aca="false">IF(I5=0,0,H5/I5)</f>
        <v>4</v>
      </c>
      <c r="K5" s="3" t="str">
        <f aca="false">IF(J5&gt;=3,"Yes","No")</f>
        <v>Yes</v>
      </c>
      <c r="L5" s="10" t="n">
        <f aca="false">IF((Inputs!$C$96*Inputs!$C$11)=0,0,E5/(Inputs!$C$96*Inputs!$C$11))</f>
        <v>0.358095238095238</v>
      </c>
      <c r="M5" s="19" t="s">
        <v>420</v>
      </c>
    </row>
    <row r="6" customFormat="false" ht="15" hidden="false" customHeight="true" outlineLevel="0" collapsed="false">
      <c r="A6" s="19" t="s">
        <v>421</v>
      </c>
      <c r="B6" s="19" t="s">
        <v>422</v>
      </c>
      <c r="C6" s="36" t="n">
        <f aca="false">Inputs!$C$88</f>
        <v>24</v>
      </c>
      <c r="D6" s="11" t="n">
        <f aca="false">Inputs!$C$31</f>
        <v>1</v>
      </c>
      <c r="E6" s="38" t="n">
        <f aca="false">IF(D6=0,0,C6/D6)</f>
        <v>24</v>
      </c>
      <c r="F6" s="38" t="n">
        <f aca="false">Inputs!$C$92*Inputs!$C$94</f>
        <v>0.15</v>
      </c>
      <c r="G6" s="11" t="n">
        <f aca="false">Inputs!$C$64</f>
        <v>30</v>
      </c>
      <c r="H6" s="38" t="n">
        <f aca="false">C6+F6*G6</f>
        <v>28.5</v>
      </c>
      <c r="I6" s="38" t="n">
        <f aca="false">Inputs!$C$17</f>
        <v>8</v>
      </c>
      <c r="J6" s="37" t="n">
        <f aca="false">IF(I6=0,0,H6/I6)</f>
        <v>3.5625</v>
      </c>
      <c r="K6" s="3" t="str">
        <f aca="false">IF(J6&gt;=3,"Yes","No")</f>
        <v>Yes</v>
      </c>
      <c r="L6" s="10" t="n">
        <f aca="false">IF((Inputs!$C$96*Inputs!$C$11)=0,0,E6/(Inputs!$C$96*Inputs!$C$11))</f>
        <v>0.274285714285714</v>
      </c>
      <c r="M6" s="19" t="s">
        <v>423</v>
      </c>
    </row>
    <row r="7" customFormat="false" ht="26.25" hidden="false" customHeight="true" outlineLevel="0" collapsed="false">
      <c r="A7" s="19" t="s">
        <v>424</v>
      </c>
      <c r="B7" s="19" t="s">
        <v>425</v>
      </c>
      <c r="C7" s="36" t="n">
        <f aca="false">Inputs!$C$89</f>
        <v>45</v>
      </c>
      <c r="D7" s="11" t="n">
        <f aca="false">Inputs!$C$32</f>
        <v>1</v>
      </c>
      <c r="E7" s="38" t="n">
        <f aca="false">IF(D7=0,0,C7/D7)</f>
        <v>45</v>
      </c>
      <c r="F7" s="38" t="n">
        <f aca="false">Inputs!$C$92*Inputs!$C$95</f>
        <v>0.15</v>
      </c>
      <c r="G7" s="11" t="n">
        <f aca="false">Inputs!$C$65</f>
        <v>40</v>
      </c>
      <c r="H7" s="38" t="n">
        <f aca="false">C7+F7*G7</f>
        <v>51</v>
      </c>
      <c r="I7" s="38" t="n">
        <f aca="false">Inputs!$C$18</f>
        <v>12</v>
      </c>
      <c r="J7" s="37" t="n">
        <f aca="false">IF(I7=0,0,H7/I7)</f>
        <v>4.25</v>
      </c>
      <c r="K7" s="3" t="str">
        <f aca="false">IF(J7&gt;=3,"Yes","No")</f>
        <v>Yes</v>
      </c>
      <c r="L7" s="10" t="n">
        <f aca="false">IF((Inputs!$C$96*Inputs!$C$11)=0,0,E7/(Inputs!$C$96*Inputs!$C$11))</f>
        <v>0.514285714285714</v>
      </c>
      <c r="M7" s="19" t="s">
        <v>426</v>
      </c>
    </row>
    <row r="8" customFormat="false" ht="26.25" hidden="false" customHeight="true" outlineLevel="0" collapsed="false">
      <c r="A8" s="19" t="s">
        <v>427</v>
      </c>
      <c r="B8" s="19" t="s">
        <v>428</v>
      </c>
      <c r="C8" s="36" t="n">
        <f aca="false">Inputs!$C$90</f>
        <v>55</v>
      </c>
      <c r="D8" s="11" t="n">
        <f aca="false">Inputs!$C$32</f>
        <v>1</v>
      </c>
      <c r="E8" s="38" t="n">
        <f aca="false">IF(D8=0,0,C8/D8)</f>
        <v>55</v>
      </c>
      <c r="F8" s="38" t="n">
        <f aca="false">Inputs!$C$92*Inputs!$C$95</f>
        <v>0.15</v>
      </c>
      <c r="G8" s="11" t="n">
        <f aca="false">Inputs!$C$65</f>
        <v>40</v>
      </c>
      <c r="H8" s="38" t="n">
        <f aca="false">C8+F8*G8</f>
        <v>61</v>
      </c>
      <c r="I8" s="38" t="n">
        <f aca="false">Inputs!$C$18</f>
        <v>12</v>
      </c>
      <c r="J8" s="37" t="n">
        <f aca="false">IF(I8=0,0,H8/I8)</f>
        <v>5.08333333333333</v>
      </c>
      <c r="K8" s="3" t="str">
        <f aca="false">IF(J8&gt;=3,"Yes","No")</f>
        <v>Yes</v>
      </c>
      <c r="L8" s="10" t="n">
        <f aca="false">IF((Inputs!$C$96*Inputs!$C$11)=0,0,E8/(Inputs!$C$96*Inputs!$C$11))</f>
        <v>0.628571428571429</v>
      </c>
      <c r="M8" s="19" t="s">
        <v>429</v>
      </c>
    </row>
    <row r="9" customFormat="false" ht="15" hidden="false" customHeight="true" outlineLevel="0" collapsed="false">
      <c r="A9" s="3" t="s">
        <v>430</v>
      </c>
      <c r="B9" s="3" t="s">
        <v>431</v>
      </c>
      <c r="C9" s="3"/>
      <c r="D9" s="3"/>
      <c r="E9" s="9" t="n">
        <f aca="false">(Inputs!$C$96*Inputs!$C$11)</f>
        <v>87.5</v>
      </c>
      <c r="F9" s="3"/>
      <c r="G9" s="3"/>
      <c r="H9" s="3"/>
      <c r="I9" s="3"/>
      <c r="J9" s="3"/>
      <c r="K9" s="3"/>
      <c r="L9" s="3"/>
      <c r="M9" s="3"/>
    </row>
    <row r="10" customFormat="false" ht="15" hidden="false" customHeight="true" outlineLevel="0" collapsed="false">
      <c r="A10" s="3"/>
      <c r="B10" s="3"/>
      <c r="C10" s="3"/>
      <c r="D10" s="3"/>
      <c r="E10" s="3"/>
      <c r="F10" s="3"/>
      <c r="G10" s="3"/>
      <c r="H10" s="3"/>
      <c r="I10" s="3"/>
      <c r="J10" s="3"/>
      <c r="K10" s="3"/>
      <c r="L10" s="3"/>
      <c r="M10" s="3"/>
    </row>
    <row r="11" customFormat="false" ht="15" hidden="false" customHeight="true" outlineLevel="0" collapsed="false">
      <c r="A11" s="7" t="s">
        <v>432</v>
      </c>
      <c r="B11" s="8"/>
      <c r="C11" s="8"/>
      <c r="D11" s="8"/>
      <c r="E11" s="8"/>
      <c r="F11" s="8"/>
      <c r="G11" s="8"/>
      <c r="H11" s="8"/>
      <c r="I11" s="8"/>
      <c r="J11" s="8"/>
      <c r="K11" s="8"/>
      <c r="L11" s="8"/>
      <c r="M11" s="8"/>
    </row>
    <row r="12" customFormat="false" ht="15" hidden="false" customHeight="true" outlineLevel="0" collapsed="false">
      <c r="A12" s="6" t="s">
        <v>433</v>
      </c>
      <c r="B12" s="6" t="s">
        <v>434</v>
      </c>
      <c r="C12" s="6" t="s">
        <v>435</v>
      </c>
      <c r="D12" s="6"/>
      <c r="E12" s="6" t="s">
        <v>436</v>
      </c>
      <c r="F12" s="3"/>
      <c r="G12" s="3"/>
      <c r="H12" s="3"/>
      <c r="I12" s="3"/>
      <c r="J12" s="3"/>
      <c r="K12" s="3"/>
      <c r="L12" s="3"/>
      <c r="M12" s="3"/>
    </row>
    <row r="13" customFormat="false" ht="15" hidden="false" customHeight="true" outlineLevel="0" collapsed="false">
      <c r="A13" s="3" t="s">
        <v>437</v>
      </c>
      <c r="B13" s="3" t="s">
        <v>438</v>
      </c>
      <c r="C13" s="9" t="n">
        <f aca="false">C7</f>
        <v>45</v>
      </c>
      <c r="D13" s="3"/>
      <c r="E13" s="9" t="n">
        <f aca="false">C8</f>
        <v>55</v>
      </c>
      <c r="F13" s="3"/>
      <c r="G13" s="3"/>
      <c r="H13" s="3"/>
      <c r="I13" s="3"/>
      <c r="J13" s="3"/>
      <c r="K13" s="3"/>
      <c r="L13" s="3"/>
      <c r="M13" s="3"/>
    </row>
    <row r="14" customFormat="false" ht="15" hidden="false" customHeight="true" outlineLevel="0" collapsed="false">
      <c r="A14" s="3" t="s">
        <v>439</v>
      </c>
      <c r="B14" s="3" t="s">
        <v>440</v>
      </c>
      <c r="C14" s="9" t="n">
        <f aca="false">H7</f>
        <v>51</v>
      </c>
      <c r="D14" s="3"/>
      <c r="E14" s="9" t="n">
        <f aca="false">H8</f>
        <v>61</v>
      </c>
      <c r="F14" s="3"/>
      <c r="G14" s="3"/>
      <c r="H14" s="3"/>
      <c r="I14" s="3"/>
      <c r="J14" s="3"/>
      <c r="K14" s="3"/>
      <c r="L14" s="3"/>
      <c r="M14" s="3"/>
    </row>
    <row r="15" customFormat="false" ht="15" hidden="false" customHeight="true" outlineLevel="0" collapsed="false">
      <c r="A15" s="3" t="s">
        <v>441</v>
      </c>
      <c r="B15" s="3" t="s">
        <v>442</v>
      </c>
      <c r="C15" s="9" t="n">
        <f aca="false">H7*(1+Inputs!$C$97)</f>
        <v>66.3</v>
      </c>
      <c r="D15" s="3"/>
      <c r="E15" s="9" t="n">
        <f aca="false">H8*(1+Inputs!$C$97)</f>
        <v>79.3</v>
      </c>
      <c r="F15" s="3"/>
      <c r="G15" s="3"/>
      <c r="H15" s="3"/>
      <c r="I15" s="3"/>
      <c r="J15" s="3"/>
      <c r="K15" s="3"/>
      <c r="L15" s="3"/>
      <c r="M15" s="3"/>
    </row>
    <row r="16" customFormat="false" ht="15" hidden="false" customHeight="true" outlineLevel="0" collapsed="false">
      <c r="A16" s="3"/>
      <c r="B16" s="3"/>
      <c r="C16" s="3"/>
      <c r="D16" s="3"/>
      <c r="E16" s="3"/>
      <c r="F16" s="3"/>
      <c r="G16" s="3"/>
      <c r="H16" s="3"/>
      <c r="I16" s="3"/>
      <c r="J16" s="3"/>
      <c r="K16" s="3"/>
      <c r="L16" s="3"/>
      <c r="M16" s="3"/>
    </row>
    <row r="17" customFormat="false" ht="15" hidden="false" customHeight="true" outlineLevel="0" collapsed="false">
      <c r="A17" s="7" t="s">
        <v>443</v>
      </c>
      <c r="B17" s="8"/>
      <c r="C17" s="8"/>
      <c r="D17" s="8"/>
      <c r="E17" s="8"/>
      <c r="F17" s="8"/>
      <c r="G17" s="8"/>
      <c r="H17" s="8"/>
      <c r="I17" s="8"/>
      <c r="J17" s="8"/>
      <c r="K17" s="8"/>
      <c r="L17" s="8"/>
      <c r="M17" s="8"/>
    </row>
    <row r="18" customFormat="false" ht="15" hidden="false" customHeight="true" outlineLevel="0" collapsed="false">
      <c r="A18" s="6" t="s">
        <v>375</v>
      </c>
      <c r="B18" s="6" t="s">
        <v>444</v>
      </c>
      <c r="C18" s="6" t="s">
        <v>445</v>
      </c>
      <c r="D18" s="6" t="s">
        <v>446</v>
      </c>
      <c r="E18" s="6" t="s">
        <v>447</v>
      </c>
      <c r="F18" s="3"/>
      <c r="G18" s="3"/>
      <c r="H18" s="3"/>
      <c r="I18" s="3"/>
      <c r="J18" s="3"/>
      <c r="K18" s="3"/>
      <c r="L18" s="3"/>
      <c r="M18" s="3"/>
    </row>
    <row r="19" customFormat="false" ht="15" hidden="false" customHeight="true" outlineLevel="0" collapsed="false">
      <c r="A19" s="3" t="s">
        <v>448</v>
      </c>
      <c r="B19" s="9" t="n">
        <f aca="false">Inputs!$C$9-Inputs!$C$16</f>
        <v>60</v>
      </c>
      <c r="C19" s="9" t="n">
        <f aca="false">H5-I5-Inputs!$C$93*G5*Inputs!$C$62</f>
        <v>72</v>
      </c>
      <c r="D19" s="10" t="n">
        <f aca="false">IF(C19&lt;=0,0,1-B19/C19)</f>
        <v>0.166666666666667</v>
      </c>
      <c r="E19" s="3" t="str">
        <f aca="false">"Lose fewer than "&amp;TEXT(D19,"0%")&amp;" of these events and profit still goes up."</f>
        <v>Lose fewer than 17% of these events and profit still goes up.</v>
      </c>
      <c r="F19" s="3"/>
      <c r="G19" s="3"/>
      <c r="H19" s="3"/>
      <c r="I19" s="3"/>
      <c r="J19" s="3"/>
      <c r="K19" s="3"/>
      <c r="L19" s="3"/>
      <c r="M19" s="3"/>
    </row>
    <row r="20" customFormat="false" ht="15" hidden="false" customHeight="true" outlineLevel="0" collapsed="false">
      <c r="A20" s="3" t="s">
        <v>449</v>
      </c>
      <c r="B20" s="9" t="n">
        <f aca="false">Inputs!$C$10-Inputs!$C$17</f>
        <v>12</v>
      </c>
      <c r="C20" s="9" t="n">
        <f aca="false">H6-I6-Inputs!$C$94*G6*Inputs!$C$62</f>
        <v>18.25</v>
      </c>
      <c r="D20" s="10" t="n">
        <f aca="false">IF(C20&lt;=0,0,1-B20/C20)</f>
        <v>0.342465753424658</v>
      </c>
      <c r="E20" s="3" t="str">
        <f aca="false">"Lose fewer than "&amp;TEXT(D20,"0%")&amp;" of these events and profit still goes up."</f>
        <v>Lose fewer than 34% of these events and profit still goes up.</v>
      </c>
      <c r="F20" s="3"/>
      <c r="G20" s="3"/>
      <c r="H20" s="3"/>
      <c r="I20" s="3"/>
      <c r="J20" s="3"/>
      <c r="K20" s="3"/>
      <c r="L20" s="3"/>
      <c r="M20" s="3"/>
    </row>
    <row r="21" customFormat="false" ht="15" hidden="false" customHeight="true" outlineLevel="0" collapsed="false">
      <c r="A21" s="3" t="s">
        <v>450</v>
      </c>
      <c r="B21" s="9" t="n">
        <f aca="false">Inputs!$C$11-Inputs!$C$18</f>
        <v>23</v>
      </c>
      <c r="C21" s="9" t="n">
        <f aca="false">H7-I7-Inputs!$C$95*G7*Inputs!$C$62</f>
        <v>36</v>
      </c>
      <c r="D21" s="10" t="n">
        <f aca="false">IF(C21&lt;=0,0,1-B21/C21)</f>
        <v>0.361111111111111</v>
      </c>
      <c r="E21" s="3" t="str">
        <f aca="false">"Lose fewer than "&amp;TEXT(D21,"0%")&amp;" of these events and profit still goes up."</f>
        <v>Lose fewer than 36% of these events and profit still goes up.</v>
      </c>
      <c r="F21" s="3"/>
      <c r="G21" s="3"/>
      <c r="H21" s="3"/>
      <c r="I21" s="3"/>
      <c r="J21" s="3"/>
      <c r="K21" s="3"/>
      <c r="L21" s="3"/>
      <c r="M21" s="3"/>
    </row>
    <row r="22" customFormat="false" ht="15" hidden="false" customHeight="true" outlineLevel="0" collapsed="false">
      <c r="A22" s="3" t="s">
        <v>451</v>
      </c>
      <c r="B22" s="9" t="n">
        <f aca="false">Inputs!$C$11-Inputs!$C$18</f>
        <v>23</v>
      </c>
      <c r="C22" s="9" t="n">
        <f aca="false">H8-I8-Inputs!$C$95*G8*Inputs!$C$62</f>
        <v>46</v>
      </c>
      <c r="D22" s="10" t="n">
        <f aca="false">IF(C22&lt;=0,0,1-B22/C22)</f>
        <v>0.5</v>
      </c>
      <c r="E22" s="3" t="str">
        <f aca="false">"Lose fewer than "&amp;TEXT(D22,"0%")&amp;" of these events and profit still goes up."</f>
        <v>Lose fewer than 50% of these events and profit still goes up.</v>
      </c>
      <c r="F22" s="3"/>
      <c r="G22" s="3"/>
      <c r="H22" s="3"/>
      <c r="I22" s="3"/>
      <c r="J22" s="3"/>
      <c r="K22" s="3"/>
      <c r="L22" s="3"/>
      <c r="M22" s="3"/>
    </row>
    <row r="23" customFormat="false" ht="15" hidden="false" customHeight="true" outlineLevel="0" collapsed="false">
      <c r="A23" s="3"/>
      <c r="B23" s="3"/>
      <c r="C23" s="3"/>
      <c r="D23" s="3"/>
      <c r="E23" s="3"/>
      <c r="F23" s="3"/>
      <c r="G23" s="3"/>
      <c r="H23" s="3"/>
      <c r="I23" s="3"/>
      <c r="J23" s="3"/>
      <c r="K23" s="3"/>
      <c r="L23" s="3"/>
      <c r="M23" s="3"/>
    </row>
    <row r="24" customFormat="false" ht="15" hidden="false" customHeight="true" outlineLevel="0" collapsed="false">
      <c r="A24" s="7" t="s">
        <v>452</v>
      </c>
      <c r="B24" s="8"/>
      <c r="C24" s="8"/>
      <c r="D24" s="8"/>
      <c r="E24" s="8"/>
      <c r="F24" s="8"/>
      <c r="G24" s="8"/>
      <c r="H24" s="8"/>
      <c r="I24" s="8"/>
      <c r="J24" s="8"/>
      <c r="K24" s="8"/>
      <c r="L24" s="8"/>
      <c r="M24" s="8"/>
    </row>
    <row r="25" customFormat="false" ht="15" hidden="false" customHeight="true" outlineLevel="0" collapsed="false">
      <c r="A25" s="3" t="s">
        <v>453</v>
      </c>
      <c r="B25" s="3"/>
      <c r="C25" s="3"/>
      <c r="D25" s="3"/>
      <c r="E25" s="3"/>
      <c r="F25" s="3"/>
      <c r="G25" s="3"/>
      <c r="H25" s="3"/>
      <c r="I25" s="3"/>
      <c r="J25" s="3"/>
      <c r="K25" s="3"/>
      <c r="L25" s="3"/>
      <c r="M25" s="3"/>
    </row>
    <row r="26" customFormat="false" ht="15" hidden="false" customHeight="true" outlineLevel="0" collapsed="false">
      <c r="A26" s="3" t="s">
        <v>454</v>
      </c>
      <c r="B26" s="3"/>
      <c r="C26" s="3"/>
      <c r="D26" s="3"/>
      <c r="E26" s="3"/>
      <c r="F26" s="3"/>
      <c r="G26" s="3"/>
      <c r="H26" s="3"/>
      <c r="I26" s="3"/>
      <c r="J26" s="3"/>
      <c r="K26" s="3"/>
      <c r="L26" s="3"/>
      <c r="M26" s="3"/>
    </row>
    <row r="27" customFormat="false" ht="15" hidden="false" customHeight="true" outlineLevel="0" collapsed="false">
      <c r="A27" s="3" t="s">
        <v>455</v>
      </c>
      <c r="B27" s="3"/>
      <c r="C27" s="3"/>
      <c r="D27" s="3"/>
      <c r="E27" s="3"/>
      <c r="F27" s="3"/>
      <c r="G27" s="3"/>
      <c r="H27" s="3"/>
      <c r="I27" s="3"/>
      <c r="J27" s="3"/>
      <c r="K27" s="3"/>
      <c r="L27" s="3"/>
      <c r="M27" s="3"/>
    </row>
    <row r="28" customFormat="false" ht="15" hidden="false" customHeight="true" outlineLevel="0" collapsed="false">
      <c r="A28" s="3" t="s">
        <v>456</v>
      </c>
      <c r="B28" s="3"/>
      <c r="C28" s="3"/>
      <c r="D28" s="3"/>
      <c r="E28" s="3"/>
      <c r="F28" s="3"/>
      <c r="G28" s="3"/>
      <c r="H28" s="3"/>
      <c r="I28" s="3"/>
      <c r="J28" s="3"/>
      <c r="K28" s="3"/>
      <c r="L28" s="3"/>
      <c r="M28" s="3"/>
    </row>
    <row r="29" customFormat="false" ht="15" hidden="false" customHeight="true" outlineLevel="0" collapsed="false">
      <c r="A29" s="3" t="s">
        <v>457</v>
      </c>
      <c r="B29" s="3"/>
      <c r="C29" s="3"/>
      <c r="D29" s="3"/>
      <c r="E29" s="3"/>
      <c r="F29" s="3"/>
      <c r="G29" s="3"/>
      <c r="H29" s="3"/>
      <c r="I29" s="3"/>
      <c r="J29" s="3"/>
      <c r="K29" s="3"/>
      <c r="L29" s="3"/>
      <c r="M29" s="3"/>
    </row>
    <row r="30" customFormat="false" ht="15" hidden="false" customHeight="true" outlineLevel="0" collapsed="false">
      <c r="A30" s="3" t="s">
        <v>458</v>
      </c>
      <c r="B30" s="3"/>
      <c r="C30" s="3"/>
      <c r="D30" s="3"/>
      <c r="E30" s="3"/>
      <c r="F30" s="3"/>
      <c r="G30" s="3"/>
      <c r="H30" s="3"/>
      <c r="I30" s="3"/>
      <c r="J30" s="3"/>
      <c r="K30" s="3"/>
      <c r="L30" s="3"/>
      <c r="M30" s="3"/>
    </row>
    <row r="31" customFormat="false" ht="15" hidden="false" customHeight="true" outlineLevel="0" collapsed="false">
      <c r="A31" s="3" t="s">
        <v>459</v>
      </c>
      <c r="B31" s="3"/>
      <c r="C31" s="3"/>
      <c r="D31" s="3"/>
      <c r="E31" s="3"/>
      <c r="F31" s="3"/>
      <c r="G31" s="3"/>
      <c r="H31" s="3"/>
      <c r="I31" s="3"/>
      <c r="J31" s="3"/>
      <c r="K31" s="3"/>
      <c r="L31" s="3"/>
      <c r="M31" s="3"/>
    </row>
    <row r="32" customFormat="false" ht="15" hidden="false" customHeight="true" outlineLevel="0" collapsed="false">
      <c r="A32" s="3" t="s">
        <v>460</v>
      </c>
      <c r="B32" s="3"/>
      <c r="C32" s="3"/>
      <c r="D32" s="3"/>
      <c r="E32" s="3"/>
      <c r="F32" s="3"/>
      <c r="G32" s="3"/>
      <c r="H32" s="3"/>
      <c r="I32" s="3"/>
      <c r="J32" s="3"/>
      <c r="K32" s="3"/>
      <c r="L32" s="3"/>
      <c r="M3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19" min="3" style="1" width="10.51"/>
  </cols>
  <sheetData>
    <row r="1" customFormat="false" ht="17.25" hidden="false" customHeight="true" outlineLevel="0" collapsed="false">
      <c r="A1" s="2" t="s">
        <v>461</v>
      </c>
      <c r="B1" s="3"/>
      <c r="C1" s="3"/>
      <c r="D1" s="3"/>
      <c r="E1" s="3"/>
      <c r="F1" s="3"/>
      <c r="G1" s="3"/>
      <c r="H1" s="3"/>
      <c r="I1" s="3"/>
      <c r="J1" s="3"/>
      <c r="K1" s="3"/>
      <c r="L1" s="3"/>
      <c r="M1" s="3"/>
      <c r="N1" s="3"/>
      <c r="O1" s="3"/>
      <c r="P1" s="3"/>
      <c r="Q1" s="3"/>
      <c r="R1" s="3"/>
      <c r="S1" s="3"/>
    </row>
    <row r="2" customFormat="false" ht="15" hidden="false" customHeight="true" outlineLevel="0" collapsed="false">
      <c r="A2" s="4" t="s">
        <v>336</v>
      </c>
      <c r="B2" s="3"/>
      <c r="C2" s="3"/>
      <c r="D2" s="3"/>
      <c r="E2" s="3"/>
      <c r="F2" s="3"/>
      <c r="G2" s="3"/>
      <c r="H2" s="3"/>
      <c r="I2" s="3"/>
      <c r="J2" s="3"/>
      <c r="K2" s="3"/>
      <c r="L2" s="3"/>
      <c r="M2" s="3"/>
      <c r="N2" s="3"/>
      <c r="O2" s="3"/>
      <c r="P2" s="3"/>
      <c r="Q2" s="3"/>
      <c r="R2" s="3"/>
      <c r="S2" s="3"/>
    </row>
    <row r="3" customFormat="false" ht="15" hidden="false" customHeight="true" outlineLevel="0" collapsed="false">
      <c r="A3" s="3"/>
      <c r="B3" s="3"/>
      <c r="C3" s="3"/>
      <c r="D3" s="3"/>
      <c r="E3" s="3"/>
      <c r="F3" s="3"/>
      <c r="G3" s="3"/>
      <c r="H3" s="3"/>
      <c r="I3" s="3"/>
      <c r="J3" s="3"/>
      <c r="K3" s="3"/>
      <c r="L3" s="3"/>
      <c r="M3" s="3"/>
      <c r="N3" s="3"/>
      <c r="O3" s="3"/>
      <c r="P3" s="3"/>
      <c r="Q3" s="3"/>
      <c r="R3" s="3"/>
      <c r="S3" s="3"/>
    </row>
    <row r="4" customFormat="false" ht="15" hidden="false" customHeight="true" outlineLevel="0" collapsed="false">
      <c r="A4" s="29" t="s">
        <v>337</v>
      </c>
      <c r="B4" s="29" t="s">
        <v>6</v>
      </c>
      <c r="C4" s="29" t="s">
        <v>338</v>
      </c>
      <c r="D4" s="29" t="s">
        <v>339</v>
      </c>
      <c r="E4" s="29" t="s">
        <v>66</v>
      </c>
      <c r="F4" s="29" t="s">
        <v>340</v>
      </c>
      <c r="G4" s="29" t="s">
        <v>341</v>
      </c>
      <c r="H4" s="29" t="s">
        <v>201</v>
      </c>
      <c r="I4" s="29" t="s">
        <v>342</v>
      </c>
      <c r="J4" s="29" t="s">
        <v>343</v>
      </c>
      <c r="K4" s="29" t="s">
        <v>344</v>
      </c>
      <c r="L4" s="29" t="s">
        <v>345</v>
      </c>
      <c r="M4" s="29" t="s">
        <v>346</v>
      </c>
      <c r="N4" s="29" t="s">
        <v>67</v>
      </c>
      <c r="O4" s="29" t="s">
        <v>347</v>
      </c>
      <c r="P4" s="29" t="s">
        <v>348</v>
      </c>
      <c r="Q4" s="29" t="s">
        <v>349</v>
      </c>
      <c r="R4" s="29" t="s">
        <v>350</v>
      </c>
      <c r="S4" s="29" t="s">
        <v>351</v>
      </c>
    </row>
    <row r="5" customFormat="false" ht="15" hidden="false" customHeight="true" outlineLevel="0" collapsed="false">
      <c r="A5" s="7" t="s">
        <v>462</v>
      </c>
      <c r="B5" s="8"/>
      <c r="C5" s="8"/>
      <c r="D5" s="8"/>
      <c r="E5" s="8"/>
      <c r="F5" s="8"/>
      <c r="G5" s="8"/>
      <c r="H5" s="8"/>
      <c r="I5" s="8"/>
      <c r="J5" s="8"/>
      <c r="K5" s="8"/>
      <c r="L5" s="8"/>
      <c r="M5" s="8"/>
      <c r="N5" s="8"/>
      <c r="O5" s="8"/>
      <c r="P5" s="8"/>
      <c r="Q5" s="8"/>
      <c r="R5" s="8"/>
      <c r="S5" s="8"/>
    </row>
    <row r="6" customFormat="false" ht="15" hidden="false" customHeight="true" outlineLevel="0" collapsed="false">
      <c r="A6" s="30" t="s">
        <v>463</v>
      </c>
      <c r="B6" s="4" t="s">
        <v>464</v>
      </c>
      <c r="C6" s="33" t="n">
        <f aca="false">SUM(E6:G6)</f>
        <v>34</v>
      </c>
      <c r="D6" s="33" t="n">
        <f aca="false">SUM(H6:S6)</f>
        <v>72</v>
      </c>
      <c r="E6" s="9" t="n">
        <f aca="false">Volume!E23*Inputs!$C$26+Volume!E24*Inputs!$C$27+Volume!E25*Inputs!$C$28+Volume!E27*Inputs!$C$29</f>
        <v>8</v>
      </c>
      <c r="F6" s="9" t="n">
        <f aca="false">Volume!F23*Inputs!$C$26+Volume!F24*Inputs!$C$27+Volume!F25*Inputs!$C$28+Volume!F27*Inputs!$C$29</f>
        <v>14</v>
      </c>
      <c r="G6" s="9" t="n">
        <f aca="false">Volume!G23*Inputs!$C$26+Volume!G24*Inputs!$C$27+Volume!G25*Inputs!$C$28+Volume!G27*Inputs!$C$29</f>
        <v>12</v>
      </c>
      <c r="H6" s="9" t="n">
        <f aca="false">Volume!H23*Inputs!$C$26+Volume!H24*Inputs!$C$27+Volume!H25*Inputs!$C$28+Volume!H27*Inputs!$C$29</f>
        <v>2</v>
      </c>
      <c r="I6" s="9" t="n">
        <f aca="false">Volume!I23*Inputs!$C$26+Volume!I24*Inputs!$C$27+Volume!I25*Inputs!$C$28+Volume!I27*Inputs!$C$29</f>
        <v>2</v>
      </c>
      <c r="J6" s="9" t="n">
        <f aca="false">Volume!J23*Inputs!$C$26+Volume!J24*Inputs!$C$27+Volume!J25*Inputs!$C$28+Volume!J27*Inputs!$C$29</f>
        <v>6</v>
      </c>
      <c r="K6" s="9" t="n">
        <f aca="false">Volume!K23*Inputs!$C$26+Volume!K24*Inputs!$C$27+Volume!K25*Inputs!$C$28+Volume!K27*Inputs!$C$29</f>
        <v>2</v>
      </c>
      <c r="L6" s="9" t="n">
        <f aca="false">Volume!L23*Inputs!$C$26+Volume!L24*Inputs!$C$27+Volume!L25*Inputs!$C$28+Volume!L27*Inputs!$C$29</f>
        <v>6</v>
      </c>
      <c r="M6" s="9" t="n">
        <f aca="false">Volume!M23*Inputs!$C$26+Volume!M24*Inputs!$C$27+Volume!M25*Inputs!$C$28+Volume!M27*Inputs!$C$29</f>
        <v>2</v>
      </c>
      <c r="N6" s="9" t="n">
        <f aca="false">Volume!N23*Inputs!$C$26+Volume!N24*Inputs!$C$27+Volume!N25*Inputs!$C$28+Volume!N27*Inputs!$C$29</f>
        <v>8</v>
      </c>
      <c r="O6" s="9" t="n">
        <f aca="false">Volume!O23*Inputs!$C$26+Volume!O24*Inputs!$C$27+Volume!O25*Inputs!$C$28+Volume!O27*Inputs!$C$29</f>
        <v>2</v>
      </c>
      <c r="P6" s="9" t="n">
        <f aca="false">Volume!P23*Inputs!$C$26+Volume!P24*Inputs!$C$27+Volume!P25*Inputs!$C$28+Volume!P27*Inputs!$C$29</f>
        <v>8</v>
      </c>
      <c r="Q6" s="9" t="n">
        <f aca="false">Volume!Q23*Inputs!$C$26+Volume!Q24*Inputs!$C$27+Volume!Q25*Inputs!$C$28+Volume!Q27*Inputs!$C$29</f>
        <v>8</v>
      </c>
      <c r="R6" s="9" t="n">
        <f aca="false">Volume!R23*Inputs!$C$26+Volume!R24*Inputs!$C$27+Volume!R25*Inputs!$C$28+Volume!R27*Inputs!$C$29</f>
        <v>14</v>
      </c>
      <c r="S6" s="9" t="n">
        <f aca="false">Volume!S23*Inputs!$C$26+Volume!S24*Inputs!$C$27+Volume!S25*Inputs!$C$28+Volume!S27*Inputs!$C$29</f>
        <v>12</v>
      </c>
    </row>
    <row r="7" customFormat="false" ht="15" hidden="false" customHeight="true" outlineLevel="0" collapsed="false">
      <c r="A7" s="30" t="s">
        <v>465</v>
      </c>
      <c r="B7" s="4" t="s">
        <v>147</v>
      </c>
      <c r="C7" s="33" t="n">
        <f aca="false">SUM(E7:G7)</f>
        <v>42</v>
      </c>
      <c r="D7" s="33" t="n">
        <f aca="false">SUM(H7:S7)</f>
        <v>112</v>
      </c>
      <c r="E7" s="9" t="n">
        <f aca="false">Volume!E23*Inputs!$C$26*Inputs!$C$30+Volume!E24*Inputs!$C$27*Inputs!$C$31+Volume!E25*Inputs!$C$28*Inputs!$C$32+Volume!E27*Inputs!$C$29*Inputs!$C$33</f>
        <v>8</v>
      </c>
      <c r="F7" s="9" t="n">
        <f aca="false">Volume!F23*Inputs!$C$26*Inputs!$C$30+Volume!F24*Inputs!$C$27*Inputs!$C$31+Volume!F25*Inputs!$C$28*Inputs!$C$32+Volume!F27*Inputs!$C$29*Inputs!$C$33</f>
        <v>22</v>
      </c>
      <c r="G7" s="9" t="n">
        <f aca="false">Volume!G23*Inputs!$C$26*Inputs!$C$30+Volume!G24*Inputs!$C$27*Inputs!$C$31+Volume!G25*Inputs!$C$28*Inputs!$C$32+Volume!G27*Inputs!$C$29*Inputs!$C$33</f>
        <v>12</v>
      </c>
      <c r="H7" s="9" t="n">
        <f aca="false">Volume!H23*Inputs!$C$26*Inputs!$C$30+Volume!H24*Inputs!$C$27*Inputs!$C$31+Volume!H25*Inputs!$C$28*Inputs!$C$32+Volume!H27*Inputs!$C$29*Inputs!$C$33</f>
        <v>2</v>
      </c>
      <c r="I7" s="9" t="n">
        <f aca="false">Volume!I23*Inputs!$C$26*Inputs!$C$30+Volume!I24*Inputs!$C$27*Inputs!$C$31+Volume!I25*Inputs!$C$28*Inputs!$C$32+Volume!I27*Inputs!$C$29*Inputs!$C$33</f>
        <v>2</v>
      </c>
      <c r="J7" s="9" t="n">
        <f aca="false">Volume!J23*Inputs!$C$26*Inputs!$C$30+Volume!J24*Inputs!$C$27*Inputs!$C$31+Volume!J25*Inputs!$C$28*Inputs!$C$32+Volume!J27*Inputs!$C$29*Inputs!$C$33</f>
        <v>14</v>
      </c>
      <c r="K7" s="9" t="n">
        <f aca="false">Volume!K23*Inputs!$C$26*Inputs!$C$30+Volume!K24*Inputs!$C$27*Inputs!$C$31+Volume!K25*Inputs!$C$28*Inputs!$C$32+Volume!K27*Inputs!$C$29*Inputs!$C$33</f>
        <v>2</v>
      </c>
      <c r="L7" s="9" t="n">
        <f aca="false">Volume!L23*Inputs!$C$26*Inputs!$C$30+Volume!L24*Inputs!$C$27*Inputs!$C$31+Volume!L25*Inputs!$C$28*Inputs!$C$32+Volume!L27*Inputs!$C$29*Inputs!$C$33</f>
        <v>14</v>
      </c>
      <c r="M7" s="9" t="n">
        <f aca="false">Volume!M23*Inputs!$C$26*Inputs!$C$30+Volume!M24*Inputs!$C$27*Inputs!$C$31+Volume!M25*Inputs!$C$28*Inputs!$C$32+Volume!M27*Inputs!$C$29*Inputs!$C$33</f>
        <v>2</v>
      </c>
      <c r="N7" s="9" t="n">
        <f aca="false">Volume!N23*Inputs!$C$26*Inputs!$C$30+Volume!N24*Inputs!$C$27*Inputs!$C$31+Volume!N25*Inputs!$C$28*Inputs!$C$32+Volume!N27*Inputs!$C$29*Inputs!$C$33</f>
        <v>16</v>
      </c>
      <c r="O7" s="9" t="n">
        <f aca="false">Volume!O23*Inputs!$C$26*Inputs!$C$30+Volume!O24*Inputs!$C$27*Inputs!$C$31+Volume!O25*Inputs!$C$28*Inputs!$C$32+Volume!O27*Inputs!$C$29*Inputs!$C$33</f>
        <v>2</v>
      </c>
      <c r="P7" s="9" t="n">
        <f aca="false">Volume!P23*Inputs!$C$26*Inputs!$C$30+Volume!P24*Inputs!$C$27*Inputs!$C$31+Volume!P25*Inputs!$C$28*Inputs!$C$32+Volume!P27*Inputs!$C$29*Inputs!$C$33</f>
        <v>16</v>
      </c>
      <c r="Q7" s="9" t="n">
        <f aca="false">Volume!Q23*Inputs!$C$26*Inputs!$C$30+Volume!Q24*Inputs!$C$27*Inputs!$C$31+Volume!Q25*Inputs!$C$28*Inputs!$C$32+Volume!Q27*Inputs!$C$29*Inputs!$C$33</f>
        <v>8</v>
      </c>
      <c r="R7" s="9" t="n">
        <f aca="false">Volume!R23*Inputs!$C$26*Inputs!$C$30+Volume!R24*Inputs!$C$27*Inputs!$C$31+Volume!R25*Inputs!$C$28*Inputs!$C$32+Volume!R27*Inputs!$C$29*Inputs!$C$33</f>
        <v>22</v>
      </c>
      <c r="S7" s="9" t="n">
        <f aca="false">Volume!S23*Inputs!$C$26*Inputs!$C$30+Volume!S24*Inputs!$C$27*Inputs!$C$31+Volume!S25*Inputs!$C$28*Inputs!$C$32+Volume!S27*Inputs!$C$29*Inputs!$C$33</f>
        <v>12</v>
      </c>
    </row>
    <row r="8" customFormat="false" ht="15" hidden="false" customHeight="true" outlineLevel="0" collapsed="false">
      <c r="A8" s="30" t="s">
        <v>466</v>
      </c>
      <c r="B8" s="4" t="s">
        <v>43</v>
      </c>
      <c r="C8" s="31" t="n">
        <f aca="false">MAX(E8:G8)</f>
        <v>7</v>
      </c>
      <c r="D8" s="31" t="n">
        <f aca="false">MAX(H8:S8)</f>
        <v>7</v>
      </c>
      <c r="E8" s="11" t="n">
        <f aca="false">ROUNDUP(E6/Inputs!$C$34,0)</f>
        <v>4</v>
      </c>
      <c r="F8" s="11" t="n">
        <f aca="false">ROUNDUP(F6/Inputs!$C$34,0)</f>
        <v>7</v>
      </c>
      <c r="G8" s="11" t="n">
        <f aca="false">ROUNDUP(G6/Inputs!$C$34,0)</f>
        <v>6</v>
      </c>
      <c r="H8" s="11" t="n">
        <f aca="false">ROUNDUP(H6/Inputs!$C$34,0)</f>
        <v>1</v>
      </c>
      <c r="I8" s="11" t="n">
        <f aca="false">ROUNDUP(I6/Inputs!$C$34,0)</f>
        <v>1</v>
      </c>
      <c r="J8" s="11" t="n">
        <f aca="false">ROUNDUP(J6/Inputs!$C$34,0)</f>
        <v>3</v>
      </c>
      <c r="K8" s="11" t="n">
        <f aca="false">ROUNDUP(K6/Inputs!$C$34,0)</f>
        <v>1</v>
      </c>
      <c r="L8" s="11" t="n">
        <f aca="false">ROUNDUP(L6/Inputs!$C$34,0)</f>
        <v>3</v>
      </c>
      <c r="M8" s="11" t="n">
        <f aca="false">ROUNDUP(M6/Inputs!$C$34,0)</f>
        <v>1</v>
      </c>
      <c r="N8" s="11" t="n">
        <f aca="false">ROUNDUP(N6/Inputs!$C$34,0)</f>
        <v>4</v>
      </c>
      <c r="O8" s="11" t="n">
        <f aca="false">ROUNDUP(O6/Inputs!$C$34,0)</f>
        <v>1</v>
      </c>
      <c r="P8" s="11" t="n">
        <f aca="false">ROUNDUP(P6/Inputs!$C$34,0)</f>
        <v>4</v>
      </c>
      <c r="Q8" s="11" t="n">
        <f aca="false">ROUNDUP(Q6/Inputs!$C$34,0)</f>
        <v>4</v>
      </c>
      <c r="R8" s="11" t="n">
        <f aca="false">ROUNDUP(R6/Inputs!$C$34,0)</f>
        <v>7</v>
      </c>
      <c r="S8" s="11" t="n">
        <f aca="false">ROUNDUP(S6/Inputs!$C$34,0)</f>
        <v>6</v>
      </c>
    </row>
    <row r="9" customFormat="false" ht="15" hidden="false" customHeight="true" outlineLevel="0" collapsed="false">
      <c r="A9" s="30" t="s">
        <v>467</v>
      </c>
      <c r="B9" s="4" t="s">
        <v>43</v>
      </c>
      <c r="C9" s="31" t="n">
        <f aca="false">G9</f>
        <v>7</v>
      </c>
      <c r="D9" s="31" t="n">
        <f aca="false">S9</f>
        <v>7</v>
      </c>
      <c r="E9" s="11" t="n">
        <f aca="false">MAX(Inputs!$C$35,E8)</f>
        <v>4</v>
      </c>
      <c r="F9" s="11" t="n">
        <f aca="false">MAX(E9,F8)</f>
        <v>7</v>
      </c>
      <c r="G9" s="11" t="n">
        <f aca="false">MAX(F9,G8)</f>
        <v>7</v>
      </c>
      <c r="H9" s="11" t="n">
        <f aca="false">MAX(G9,H8)</f>
        <v>7</v>
      </c>
      <c r="I9" s="11" t="n">
        <f aca="false">MAX(H9,I8)</f>
        <v>7</v>
      </c>
      <c r="J9" s="11" t="n">
        <f aca="false">MAX(I9,J8)</f>
        <v>7</v>
      </c>
      <c r="K9" s="11" t="n">
        <f aca="false">MAX(J9,K8)</f>
        <v>7</v>
      </c>
      <c r="L9" s="11" t="n">
        <f aca="false">MAX(K9,L8)</f>
        <v>7</v>
      </c>
      <c r="M9" s="11" t="n">
        <f aca="false">MAX(L9,M8)</f>
        <v>7</v>
      </c>
      <c r="N9" s="11" t="n">
        <f aca="false">MAX(M9,N8)</f>
        <v>7</v>
      </c>
      <c r="O9" s="11" t="n">
        <f aca="false">MAX(N9,O8)</f>
        <v>7</v>
      </c>
      <c r="P9" s="11" t="n">
        <f aca="false">MAX(O9,P8)</f>
        <v>7</v>
      </c>
      <c r="Q9" s="11" t="n">
        <f aca="false">MAX(P9,Q8)</f>
        <v>7</v>
      </c>
      <c r="R9" s="11" t="n">
        <f aca="false">MAX(Q9,R8)</f>
        <v>7</v>
      </c>
      <c r="S9" s="11" t="n">
        <f aca="false">MAX(R9,S8)</f>
        <v>7</v>
      </c>
    </row>
    <row r="10" customFormat="false" ht="15" hidden="false" customHeight="true" outlineLevel="0" collapsed="false">
      <c r="A10" s="30" t="s">
        <v>468</v>
      </c>
      <c r="B10" s="4" t="s">
        <v>43</v>
      </c>
      <c r="C10" s="31" t="n">
        <f aca="false">SUM(E10:G10)</f>
        <v>5</v>
      </c>
      <c r="D10" s="31" t="n">
        <f aca="false">SUM(H10:S10)</f>
        <v>0</v>
      </c>
      <c r="E10" s="11" t="n">
        <f aca="false">E9-Inputs!$C$35</f>
        <v>2</v>
      </c>
      <c r="F10" s="11" t="n">
        <f aca="false">F9-E9</f>
        <v>3</v>
      </c>
      <c r="G10" s="11" t="n">
        <f aca="false">G9-F9</f>
        <v>0</v>
      </c>
      <c r="H10" s="11" t="n">
        <f aca="false">H9-G9</f>
        <v>0</v>
      </c>
      <c r="I10" s="11" t="n">
        <f aca="false">I9-H9</f>
        <v>0</v>
      </c>
      <c r="J10" s="11" t="n">
        <f aca="false">J9-I9</f>
        <v>0</v>
      </c>
      <c r="K10" s="11" t="n">
        <f aca="false">K9-J9</f>
        <v>0</v>
      </c>
      <c r="L10" s="11" t="n">
        <f aca="false">L9-K9</f>
        <v>0</v>
      </c>
      <c r="M10" s="11" t="n">
        <f aca="false">M9-L9</f>
        <v>0</v>
      </c>
      <c r="N10" s="11" t="n">
        <f aca="false">N9-M9</f>
        <v>0</v>
      </c>
      <c r="O10" s="11" t="n">
        <f aca="false">O9-N9</f>
        <v>0</v>
      </c>
      <c r="P10" s="11" t="n">
        <f aca="false">P9-O9</f>
        <v>0</v>
      </c>
      <c r="Q10" s="11" t="n">
        <f aca="false">Q9-P9</f>
        <v>0</v>
      </c>
      <c r="R10" s="11" t="n">
        <f aca="false">R9-Q9</f>
        <v>0</v>
      </c>
      <c r="S10" s="11" t="n">
        <f aca="false">S9-R9</f>
        <v>0</v>
      </c>
    </row>
    <row r="11" customFormat="false" ht="15" hidden="false" customHeight="true" outlineLevel="0" collapsed="false">
      <c r="A11" s="30" t="s">
        <v>469</v>
      </c>
      <c r="B11" s="4" t="s">
        <v>43</v>
      </c>
      <c r="C11" s="31" t="n">
        <f aca="false">MIN(E11:G11)</f>
        <v>4</v>
      </c>
      <c r="D11" s="31" t="n">
        <f aca="false">MIN(H11:S11)</f>
        <v>4</v>
      </c>
      <c r="E11" s="11" t="n">
        <f aca="false">Inputs!$C$36-E8</f>
        <v>7</v>
      </c>
      <c r="F11" s="11" t="n">
        <f aca="false">Inputs!$C$36-F8</f>
        <v>4</v>
      </c>
      <c r="G11" s="11" t="n">
        <f aca="false">Inputs!$C$36-G8</f>
        <v>5</v>
      </c>
      <c r="H11" s="11" t="n">
        <f aca="false">Inputs!$C$36-H8</f>
        <v>10</v>
      </c>
      <c r="I11" s="11" t="n">
        <f aca="false">Inputs!$C$36-I8</f>
        <v>10</v>
      </c>
      <c r="J11" s="11" t="n">
        <f aca="false">Inputs!$C$36-J8</f>
        <v>8</v>
      </c>
      <c r="K11" s="11" t="n">
        <f aca="false">Inputs!$C$36-K8</f>
        <v>10</v>
      </c>
      <c r="L11" s="11" t="n">
        <f aca="false">Inputs!$C$36-L8</f>
        <v>8</v>
      </c>
      <c r="M11" s="11" t="n">
        <f aca="false">Inputs!$C$36-M8</f>
        <v>10</v>
      </c>
      <c r="N11" s="11" t="n">
        <f aca="false">Inputs!$C$36-N8</f>
        <v>7</v>
      </c>
      <c r="O11" s="11" t="n">
        <f aca="false">Inputs!$C$36-O8</f>
        <v>10</v>
      </c>
      <c r="P11" s="11" t="n">
        <f aca="false">Inputs!$C$36-P8</f>
        <v>7</v>
      </c>
      <c r="Q11" s="11" t="n">
        <f aca="false">Inputs!$C$36-Q8</f>
        <v>7</v>
      </c>
      <c r="R11" s="11" t="n">
        <f aca="false">Inputs!$C$36-R8</f>
        <v>4</v>
      </c>
      <c r="S11" s="11" t="n">
        <f aca="false">Inputs!$C$36-S8</f>
        <v>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row>
    <row r="13" customFormat="false" ht="15" hidden="false" customHeight="true" outlineLevel="0" collapsed="false">
      <c r="A13" s="7" t="s">
        <v>470</v>
      </c>
      <c r="B13" s="8"/>
      <c r="C13" s="8"/>
      <c r="D13" s="8"/>
      <c r="E13" s="8"/>
      <c r="F13" s="8"/>
      <c r="G13" s="8"/>
      <c r="H13" s="8"/>
      <c r="I13" s="8"/>
      <c r="J13" s="8"/>
      <c r="K13" s="8"/>
      <c r="L13" s="8"/>
      <c r="M13" s="8"/>
      <c r="N13" s="8"/>
      <c r="O13" s="8"/>
      <c r="P13" s="8"/>
      <c r="Q13" s="8"/>
      <c r="R13" s="8"/>
      <c r="S13" s="8"/>
    </row>
    <row r="14" customFormat="false" ht="15" hidden="false" customHeight="true" outlineLevel="0" collapsed="false">
      <c r="A14" s="30" t="s">
        <v>471</v>
      </c>
      <c r="B14" s="4" t="s">
        <v>26</v>
      </c>
      <c r="C14" s="33" t="n">
        <f aca="false">MAX(E14:G14)</f>
        <v>4.33333333333333</v>
      </c>
      <c r="D14" s="33" t="n">
        <f aca="false">MAX(H14:S14)</f>
        <v>4.33333333333333</v>
      </c>
      <c r="E14" s="9" t="n">
        <f aca="false">AVERAGE(Volume!E29:E29)</f>
        <v>3</v>
      </c>
      <c r="F14" s="9" t="n">
        <f aca="false">AVERAGE(Volume!E29:F29)</f>
        <v>4</v>
      </c>
      <c r="G14" s="9" t="n">
        <f aca="false">AVERAGE(Volume!E29:G29)</f>
        <v>4.33333333333333</v>
      </c>
      <c r="H14" s="9" t="n">
        <f aca="false">AVERAGE(Volume!F29:H29)</f>
        <v>3.33333333333333</v>
      </c>
      <c r="I14" s="9" t="n">
        <f aca="false">AVERAGE(Volume!G29:I29)</f>
        <v>1.66666666666667</v>
      </c>
      <c r="J14" s="9" t="n">
        <f aca="false">AVERAGE(Volume!H29:J29)</f>
        <v>0.666666666666667</v>
      </c>
      <c r="K14" s="9" t="n">
        <f aca="false">AVERAGE(Volume!I29:K29)</f>
        <v>1</v>
      </c>
      <c r="L14" s="9" t="n">
        <f aca="false">AVERAGE(Volume!J29:L29)</f>
        <v>1.66666666666667</v>
      </c>
      <c r="M14" s="9" t="n">
        <f aca="false">AVERAGE(Volume!K29:M29)</f>
        <v>1.33333333333333</v>
      </c>
      <c r="N14" s="9" t="n">
        <f aca="false">AVERAGE(Volume!L29:N29)</f>
        <v>2</v>
      </c>
      <c r="O14" s="9" t="n">
        <f aca="false">AVERAGE(Volume!M29:O29)</f>
        <v>1.66666666666667</v>
      </c>
      <c r="P14" s="9" t="n">
        <f aca="false">AVERAGE(Volume!N29:P29)</f>
        <v>2.33333333333333</v>
      </c>
      <c r="Q14" s="9" t="n">
        <f aca="false">AVERAGE(Volume!O29:Q29)</f>
        <v>2.33333333333333</v>
      </c>
      <c r="R14" s="9" t="n">
        <f aca="false">AVERAGE(Volume!P29:R29)</f>
        <v>3.66666666666667</v>
      </c>
      <c r="S14" s="9" t="n">
        <f aca="false">AVERAGE(Volume!Q29:S29)</f>
        <v>4.33333333333333</v>
      </c>
    </row>
    <row r="15" customFormat="false" ht="15" hidden="false" customHeight="true" outlineLevel="0" collapsed="false">
      <c r="A15" s="30" t="s">
        <v>472</v>
      </c>
      <c r="B15" s="4" t="s">
        <v>356</v>
      </c>
      <c r="C15" s="31" t="n">
        <f aca="false">G15</f>
        <v>1</v>
      </c>
      <c r="D15" s="31" t="n">
        <f aca="false">S15</f>
        <v>1</v>
      </c>
      <c r="E15" s="11" t="n">
        <f aca="false">0</f>
        <v>0</v>
      </c>
      <c r="F15" s="11" t="n">
        <f aca="false">IF(OR(E15=1,E14&gt;=Inputs!$C$57),1,0)</f>
        <v>0</v>
      </c>
      <c r="G15" s="11" t="n">
        <f aca="false">IF(OR(F15=1,F14&gt;=Inputs!$C$57),1,0)</f>
        <v>1</v>
      </c>
      <c r="H15" s="11" t="n">
        <f aca="false">IF(OR(G15=1,G14&gt;=Inputs!$C$57),1,0)</f>
        <v>1</v>
      </c>
      <c r="I15" s="11" t="n">
        <f aca="false">IF(OR(H15=1,H14&gt;=Inputs!$C$57),1,0)</f>
        <v>1</v>
      </c>
      <c r="J15" s="11" t="n">
        <f aca="false">IF(OR(I15=1,I14&gt;=Inputs!$C$57),1,0)</f>
        <v>1</v>
      </c>
      <c r="K15" s="11" t="n">
        <f aca="false">IF(OR(J15=1,J14&gt;=Inputs!$C$57),1,0)</f>
        <v>1</v>
      </c>
      <c r="L15" s="11" t="n">
        <f aca="false">IF(OR(K15=1,K14&gt;=Inputs!$C$57),1,0)</f>
        <v>1</v>
      </c>
      <c r="M15" s="11" t="n">
        <f aca="false">IF(OR(L15=1,L14&gt;=Inputs!$C$57),1,0)</f>
        <v>1</v>
      </c>
      <c r="N15" s="11" t="n">
        <f aca="false">IF(OR(M15=1,M14&gt;=Inputs!$C$57),1,0)</f>
        <v>1</v>
      </c>
      <c r="O15" s="11" t="n">
        <f aca="false">IF(OR(N15=1,N14&gt;=Inputs!$C$57),1,0)</f>
        <v>1</v>
      </c>
      <c r="P15" s="11" t="n">
        <f aca="false">IF(OR(O15=1,O14&gt;=Inputs!$C$57),1,0)</f>
        <v>1</v>
      </c>
      <c r="Q15" s="11" t="n">
        <f aca="false">IF(OR(P15=1,P14&gt;=Inputs!$C$57),1,0)</f>
        <v>1</v>
      </c>
      <c r="R15" s="11" t="n">
        <f aca="false">IF(OR(Q15=1,Q14&gt;=Inputs!$C$57),1,0)</f>
        <v>1</v>
      </c>
      <c r="S15" s="11" t="n">
        <f aca="false">IF(OR(R15=1,R14&gt;=Inputs!$C$57),1,0)</f>
        <v>1</v>
      </c>
    </row>
    <row r="16" customFormat="false" ht="15" hidden="false" customHeight="true" outlineLevel="0" collapsed="false">
      <c r="A16" s="30" t="s">
        <v>473</v>
      </c>
      <c r="B16" s="4" t="s">
        <v>356</v>
      </c>
      <c r="C16" s="31" t="n">
        <f aca="false">G16</f>
        <v>0</v>
      </c>
      <c r="D16" s="31" t="n">
        <f aca="false">S16</f>
        <v>0</v>
      </c>
      <c r="E16" s="11" t="n">
        <f aca="false">IF(AND(Inputs!$C$52=1,Volume!E6&gt;=IFERROR(MATCH(Inputs!$C$54,Volume!$E$4:$S$4,0),99)),1,0)</f>
        <v>0</v>
      </c>
      <c r="F16" s="11" t="n">
        <f aca="false">IF(AND(Inputs!$C$52=1,Volume!F6&gt;=IFERROR(MATCH(Inputs!$C$54,Volume!$E$4:$S$4,0),99)),1,0)</f>
        <v>0</v>
      </c>
      <c r="G16" s="11" t="n">
        <f aca="false">IF(AND(Inputs!$C$52=1,Volume!G6&gt;=IFERROR(MATCH(Inputs!$C$54,Volume!$E$4:$S$4,0),99)),1,0)</f>
        <v>0</v>
      </c>
      <c r="H16" s="11" t="n">
        <f aca="false">IF(AND(Inputs!$C$52=1,Volume!H6&gt;=IFERROR(MATCH(Inputs!$C$54,Volume!$E$4:$S$4,0),99)),1,0)</f>
        <v>0</v>
      </c>
      <c r="I16" s="11" t="n">
        <f aca="false">IF(AND(Inputs!$C$52=1,Volume!I6&gt;=IFERROR(MATCH(Inputs!$C$54,Volume!$E$4:$S$4,0),99)),1,0)</f>
        <v>0</v>
      </c>
      <c r="J16" s="11" t="n">
        <f aca="false">IF(AND(Inputs!$C$52=1,Volume!J6&gt;=IFERROR(MATCH(Inputs!$C$54,Volume!$E$4:$S$4,0),99)),1,0)</f>
        <v>0</v>
      </c>
      <c r="K16" s="11" t="n">
        <f aca="false">IF(AND(Inputs!$C$52=1,Volume!K6&gt;=IFERROR(MATCH(Inputs!$C$54,Volume!$E$4:$S$4,0),99)),1,0)</f>
        <v>0</v>
      </c>
      <c r="L16" s="11" t="n">
        <f aca="false">IF(AND(Inputs!$C$52=1,Volume!L6&gt;=IFERROR(MATCH(Inputs!$C$54,Volume!$E$4:$S$4,0),99)),1,0)</f>
        <v>0</v>
      </c>
      <c r="M16" s="11" t="n">
        <f aca="false">IF(AND(Inputs!$C$52=1,Volume!M6&gt;=IFERROR(MATCH(Inputs!$C$54,Volume!$E$4:$S$4,0),99)),1,0)</f>
        <v>0</v>
      </c>
      <c r="N16" s="11" t="n">
        <f aca="false">IF(AND(Inputs!$C$52=1,Volume!N6&gt;=IFERROR(MATCH(Inputs!$C$54,Volume!$E$4:$S$4,0),99)),1,0)</f>
        <v>0</v>
      </c>
      <c r="O16" s="11" t="n">
        <f aca="false">IF(AND(Inputs!$C$52=1,Volume!O6&gt;=IFERROR(MATCH(Inputs!$C$54,Volume!$E$4:$S$4,0),99)),1,0)</f>
        <v>0</v>
      </c>
      <c r="P16" s="11" t="n">
        <f aca="false">IF(AND(Inputs!$C$52=1,Volume!P6&gt;=IFERROR(MATCH(Inputs!$C$54,Volume!$E$4:$S$4,0),99)),1,0)</f>
        <v>0</v>
      </c>
      <c r="Q16" s="11" t="n">
        <f aca="false">IF(AND(Inputs!$C$52=1,Volume!Q6&gt;=IFERROR(MATCH(Inputs!$C$54,Volume!$E$4:$S$4,0),99)),1,0)</f>
        <v>0</v>
      </c>
      <c r="R16" s="11" t="n">
        <f aca="false">IF(AND(Inputs!$C$52=1,Volume!R6&gt;=IFERROR(MATCH(Inputs!$C$54,Volume!$E$4:$S$4,0),99)),1,0)</f>
        <v>0</v>
      </c>
      <c r="S16" s="11" t="n">
        <f aca="false">IF(AND(Inputs!$C$52=1,Volume!S6&gt;=IFERROR(MATCH(Inputs!$C$54,Volume!$E$4:$S$4,0),99)),1,0)</f>
        <v>0</v>
      </c>
    </row>
    <row r="17" customFormat="false" ht="15" hidden="false" customHeight="true" outlineLevel="0" collapsed="false">
      <c r="A17" s="30" t="s">
        <v>474</v>
      </c>
      <c r="B17" s="4" t="s">
        <v>356</v>
      </c>
      <c r="C17" s="31" t="n">
        <f aca="false">G17</f>
        <v>0</v>
      </c>
      <c r="D17" s="31" t="n">
        <f aca="false">S17</f>
        <v>1</v>
      </c>
      <c r="E17" s="11" t="n">
        <f aca="false">IF(Volume!E6&gt;=IFERROR(MATCH(Inputs!$C$51,Volume!$E$4:$S$4,0),99),1,0)</f>
        <v>0</v>
      </c>
      <c r="F17" s="11" t="n">
        <f aca="false">IF(Volume!F6&gt;=IFERROR(MATCH(Inputs!$C$51,Volume!$E$4:$S$4,0),99),1,0)</f>
        <v>0</v>
      </c>
      <c r="G17" s="11" t="n">
        <f aca="false">IF(Volume!G6&gt;=IFERROR(MATCH(Inputs!$C$51,Volume!$E$4:$S$4,0),99),1,0)</f>
        <v>0</v>
      </c>
      <c r="H17" s="11" t="n">
        <f aca="false">IF(Volume!H6&gt;=IFERROR(MATCH(Inputs!$C$51,Volume!$E$4:$S$4,0),99),1,0)</f>
        <v>1</v>
      </c>
      <c r="I17" s="11" t="n">
        <f aca="false">IF(Volume!I6&gt;=IFERROR(MATCH(Inputs!$C$51,Volume!$E$4:$S$4,0),99),1,0)</f>
        <v>1</v>
      </c>
      <c r="J17" s="11" t="n">
        <f aca="false">IF(Volume!J6&gt;=IFERROR(MATCH(Inputs!$C$51,Volume!$E$4:$S$4,0),99),1,0)</f>
        <v>1</v>
      </c>
      <c r="K17" s="11" t="n">
        <f aca="false">IF(Volume!K6&gt;=IFERROR(MATCH(Inputs!$C$51,Volume!$E$4:$S$4,0),99),1,0)</f>
        <v>1</v>
      </c>
      <c r="L17" s="11" t="n">
        <f aca="false">IF(Volume!L6&gt;=IFERROR(MATCH(Inputs!$C$51,Volume!$E$4:$S$4,0),99),1,0)</f>
        <v>1</v>
      </c>
      <c r="M17" s="11" t="n">
        <f aca="false">IF(Volume!M6&gt;=IFERROR(MATCH(Inputs!$C$51,Volume!$E$4:$S$4,0),99),1,0)</f>
        <v>1</v>
      </c>
      <c r="N17" s="11" t="n">
        <f aca="false">IF(Volume!N6&gt;=IFERROR(MATCH(Inputs!$C$51,Volume!$E$4:$S$4,0),99),1,0)</f>
        <v>1</v>
      </c>
      <c r="O17" s="11" t="n">
        <f aca="false">IF(Volume!O6&gt;=IFERROR(MATCH(Inputs!$C$51,Volume!$E$4:$S$4,0),99),1,0)</f>
        <v>1</v>
      </c>
      <c r="P17" s="11" t="n">
        <f aca="false">IF(Volume!P6&gt;=IFERROR(MATCH(Inputs!$C$51,Volume!$E$4:$S$4,0),99),1,0)</f>
        <v>1</v>
      </c>
      <c r="Q17" s="11" t="n">
        <f aca="false">IF(Volume!Q6&gt;=IFERROR(MATCH(Inputs!$C$51,Volume!$E$4:$S$4,0),99),1,0)</f>
        <v>1</v>
      </c>
      <c r="R17" s="11" t="n">
        <f aca="false">IF(Volume!R6&gt;=IFERROR(MATCH(Inputs!$C$51,Volume!$E$4:$S$4,0),99),1,0)</f>
        <v>1</v>
      </c>
      <c r="S17" s="11" t="n">
        <f aca="false">IF(Volume!S6&gt;=IFERROR(MATCH(Inputs!$C$51,Volume!$E$4:$S$4,0),99),1,0)</f>
        <v>1</v>
      </c>
    </row>
    <row r="18" customFormat="false" ht="15" hidden="false" customHeight="true" outlineLevel="0" collapsed="false">
      <c r="A18" s="30" t="s">
        <v>475</v>
      </c>
      <c r="B18" s="4" t="s">
        <v>224</v>
      </c>
      <c r="C18" s="33" t="n">
        <f aca="false">MAX(E18:G18)</f>
        <v>8.33</v>
      </c>
      <c r="D18" s="33" t="n">
        <f aca="false">MAX(H18:S18)</f>
        <v>8.33</v>
      </c>
      <c r="E18" s="9" t="n">
        <f aca="false">Volume!E23+Volume!E24+Volume!E25+Volume!E26+Volume!E27+Inputs!$C$59</f>
        <v>6.33</v>
      </c>
      <c r="F18" s="9" t="n">
        <f aca="false">Volume!F23+Volume!F24+Volume!F25+Volume!F26+Volume!F27+Inputs!$C$59</f>
        <v>8.33</v>
      </c>
      <c r="G18" s="9" t="n">
        <f aca="false">Volume!G23+Volume!G24+Volume!G25+Volume!G26+Volume!G27+Inputs!$C$59</f>
        <v>8.33</v>
      </c>
      <c r="H18" s="9" t="n">
        <f aca="false">Volume!H23+Volume!H24+Volume!H25+Volume!H26+Volume!H27+Inputs!$C$59</f>
        <v>3.33</v>
      </c>
      <c r="I18" s="9" t="n">
        <f aca="false">Volume!I23+Volume!I24+Volume!I25+Volume!I26+Volume!I27+Inputs!$C$59</f>
        <v>3.33</v>
      </c>
      <c r="J18" s="9" t="n">
        <f aca="false">Volume!J23+Volume!J24+Volume!J25+Volume!J26+Volume!J27+Inputs!$C$59</f>
        <v>4.33</v>
      </c>
      <c r="K18" s="9" t="n">
        <f aca="false">Volume!K23+Volume!K24+Volume!K25+Volume!K26+Volume!K27+Inputs!$C$59</f>
        <v>3.33</v>
      </c>
      <c r="L18" s="9" t="n">
        <f aca="false">Volume!L23+Volume!L24+Volume!L25+Volume!L26+Volume!L27+Inputs!$C$59</f>
        <v>4.33</v>
      </c>
      <c r="M18" s="9" t="n">
        <f aca="false">Volume!M23+Volume!M24+Volume!M25+Volume!M26+Volume!M27+Inputs!$C$59</f>
        <v>3.33</v>
      </c>
      <c r="N18" s="9" t="n">
        <f aca="false">Volume!N23+Volume!N24+Volume!N25+Volume!N26+Volume!N27+Inputs!$C$59</f>
        <v>5.33</v>
      </c>
      <c r="O18" s="9" t="n">
        <f aca="false">Volume!O23+Volume!O24+Volume!O25+Volume!O26+Volume!O27+Inputs!$C$59</f>
        <v>3.33</v>
      </c>
      <c r="P18" s="9" t="n">
        <f aca="false">Volume!P23+Volume!P24+Volume!P25+Volume!P26+Volume!P27+Inputs!$C$59</f>
        <v>5.33</v>
      </c>
      <c r="Q18" s="9" t="n">
        <f aca="false">Volume!Q23+Volume!Q24+Volume!Q25+Volume!Q26+Volume!Q27+Inputs!$C$59</f>
        <v>6.33</v>
      </c>
      <c r="R18" s="9" t="n">
        <f aca="false">Volume!R23+Volume!R24+Volume!R25+Volume!R26+Volume!R27+Inputs!$C$59</f>
        <v>8.33</v>
      </c>
      <c r="S18" s="9" t="n">
        <f aca="false">Volume!S23+Volume!S24+Volume!S25+Volume!S26+Volume!S27+Inputs!$C$59</f>
        <v>8.33</v>
      </c>
    </row>
    <row r="19" customFormat="false" ht="15" hidden="false" customHeight="true" outlineLevel="0" collapsed="false">
      <c r="A19" s="30" t="s">
        <v>476</v>
      </c>
      <c r="B19" s="4" t="s">
        <v>356</v>
      </c>
      <c r="C19" s="31" t="n">
        <f aca="false">G19</f>
        <v>0</v>
      </c>
      <c r="D19" s="31" t="n">
        <f aca="false">S19</f>
        <v>0</v>
      </c>
      <c r="E19" s="11" t="n">
        <f aca="false">IF(E18&gt;Inputs!$C$58,1,0)</f>
        <v>0</v>
      </c>
      <c r="F19" s="11" t="n">
        <f aca="false">IF(OR(E19=1,F18&gt;Inputs!$C$58),1,0)</f>
        <v>0</v>
      </c>
      <c r="G19" s="11" t="n">
        <f aca="false">IF(OR(F19=1,G18&gt;Inputs!$C$58),1,0)</f>
        <v>0</v>
      </c>
      <c r="H19" s="11" t="n">
        <f aca="false">IF(OR(G19=1,H18&gt;Inputs!$C$58),1,0)</f>
        <v>0</v>
      </c>
      <c r="I19" s="11" t="n">
        <f aca="false">IF(OR(H19=1,I18&gt;Inputs!$C$58),1,0)</f>
        <v>0</v>
      </c>
      <c r="J19" s="11" t="n">
        <f aca="false">IF(OR(I19=1,J18&gt;Inputs!$C$58),1,0)</f>
        <v>0</v>
      </c>
      <c r="K19" s="11" t="n">
        <f aca="false">IF(OR(J19=1,K18&gt;Inputs!$C$58),1,0)</f>
        <v>0</v>
      </c>
      <c r="L19" s="11" t="n">
        <f aca="false">IF(OR(K19=1,L18&gt;Inputs!$C$58),1,0)</f>
        <v>0</v>
      </c>
      <c r="M19" s="11" t="n">
        <f aca="false">IF(OR(L19=1,M18&gt;Inputs!$C$58),1,0)</f>
        <v>0</v>
      </c>
      <c r="N19" s="11" t="n">
        <f aca="false">IF(OR(M19=1,N18&gt;Inputs!$C$58),1,0)</f>
        <v>0</v>
      </c>
      <c r="O19" s="11" t="n">
        <f aca="false">IF(OR(N19=1,O18&gt;Inputs!$C$58),1,0)</f>
        <v>0</v>
      </c>
      <c r="P19" s="11" t="n">
        <f aca="false">IF(OR(O19=1,P18&gt;Inputs!$C$58),1,0)</f>
        <v>0</v>
      </c>
      <c r="Q19" s="11" t="n">
        <f aca="false">IF(OR(P19=1,Q18&gt;Inputs!$C$58),1,0)</f>
        <v>0</v>
      </c>
      <c r="R19" s="11" t="n">
        <f aca="false">IF(OR(Q19=1,R18&gt;Inputs!$C$58),1,0)</f>
        <v>0</v>
      </c>
      <c r="S19" s="11" t="n">
        <f aca="false">IF(OR(R19=1,S18&gt;Inputs!$C$58),1,0)</f>
        <v>0</v>
      </c>
    </row>
    <row r="20" customFormat="false" ht="15" hidden="false" customHeight="true" outlineLevel="0" collapsed="false">
      <c r="A20" s="3"/>
      <c r="B20" s="3"/>
      <c r="C20" s="3"/>
      <c r="D20" s="3"/>
      <c r="E20" s="3"/>
      <c r="F20" s="3"/>
      <c r="G20" s="3"/>
      <c r="H20" s="3"/>
      <c r="I20" s="3"/>
      <c r="J20" s="3"/>
      <c r="K20" s="3"/>
      <c r="L20" s="3"/>
      <c r="M20" s="3"/>
      <c r="N20" s="3"/>
      <c r="O20" s="3"/>
      <c r="P20" s="3"/>
      <c r="Q20" s="3"/>
      <c r="R20" s="3"/>
      <c r="S20" s="3"/>
    </row>
    <row r="21" customFormat="false" ht="15" hidden="false" customHeight="true" outlineLevel="0" collapsed="false">
      <c r="A21" s="7" t="s">
        <v>477</v>
      </c>
      <c r="B21" s="8"/>
      <c r="C21" s="8"/>
      <c r="D21" s="8"/>
      <c r="E21" s="8"/>
      <c r="F21" s="8"/>
      <c r="G21" s="8"/>
      <c r="H21" s="8"/>
      <c r="I21" s="8"/>
      <c r="J21" s="8"/>
      <c r="K21" s="8"/>
      <c r="L21" s="8"/>
      <c r="M21" s="8"/>
      <c r="N21" s="8"/>
      <c r="O21" s="8"/>
      <c r="P21" s="8"/>
      <c r="Q21" s="8"/>
      <c r="R21" s="8"/>
      <c r="S21" s="8"/>
    </row>
    <row r="22" customFormat="false" ht="15" hidden="false" customHeight="true" outlineLevel="0" collapsed="false">
      <c r="A22" s="30" t="s">
        <v>478</v>
      </c>
      <c r="B22" s="4" t="s">
        <v>10</v>
      </c>
      <c r="C22" s="33" t="n">
        <f aca="false">SUM(E22:G22)</f>
        <v>33.9</v>
      </c>
      <c r="D22" s="33" t="n">
        <f aca="false">SUM(H22:S22)</f>
        <v>135.6</v>
      </c>
      <c r="E22" s="9" t="n">
        <f aca="false">Inputs!$C$39+Inputs!$C$40+Inputs!$C$41+Inputs!$C$42+Inputs!$C$43+Inputs!$C$44</f>
        <v>11.3</v>
      </c>
      <c r="F22" s="9" t="n">
        <f aca="false">Inputs!$C$39+Inputs!$C$40+Inputs!$C$41+Inputs!$C$42+Inputs!$C$43+Inputs!$C$44</f>
        <v>11.3</v>
      </c>
      <c r="G22" s="9" t="n">
        <f aca="false">Inputs!$C$39+Inputs!$C$40+Inputs!$C$41+Inputs!$C$42+Inputs!$C$43+Inputs!$C$44</f>
        <v>11.3</v>
      </c>
      <c r="H22" s="9" t="n">
        <f aca="false">Inputs!$C$39+Inputs!$C$40+Inputs!$C$41+Inputs!$C$42+Inputs!$C$43+Inputs!$C$44</f>
        <v>11.3</v>
      </c>
      <c r="I22" s="9" t="n">
        <f aca="false">Inputs!$C$39+Inputs!$C$40+Inputs!$C$41+Inputs!$C$42+Inputs!$C$43+Inputs!$C$44</f>
        <v>11.3</v>
      </c>
      <c r="J22" s="9" t="n">
        <f aca="false">Inputs!$C$39+Inputs!$C$40+Inputs!$C$41+Inputs!$C$42+Inputs!$C$43+Inputs!$C$44</f>
        <v>11.3</v>
      </c>
      <c r="K22" s="9" t="n">
        <f aca="false">Inputs!$C$39+Inputs!$C$40+Inputs!$C$41+Inputs!$C$42+Inputs!$C$43+Inputs!$C$44</f>
        <v>11.3</v>
      </c>
      <c r="L22" s="9" t="n">
        <f aca="false">Inputs!$C$39+Inputs!$C$40+Inputs!$C$41+Inputs!$C$42+Inputs!$C$43+Inputs!$C$44</f>
        <v>11.3</v>
      </c>
      <c r="M22" s="9" t="n">
        <f aca="false">Inputs!$C$39+Inputs!$C$40+Inputs!$C$41+Inputs!$C$42+Inputs!$C$43+Inputs!$C$44</f>
        <v>11.3</v>
      </c>
      <c r="N22" s="9" t="n">
        <f aca="false">Inputs!$C$39+Inputs!$C$40+Inputs!$C$41+Inputs!$C$42+Inputs!$C$43+Inputs!$C$44</f>
        <v>11.3</v>
      </c>
      <c r="O22" s="9" t="n">
        <f aca="false">Inputs!$C$39+Inputs!$C$40+Inputs!$C$41+Inputs!$C$42+Inputs!$C$43+Inputs!$C$44</f>
        <v>11.3</v>
      </c>
      <c r="P22" s="9" t="n">
        <f aca="false">Inputs!$C$39+Inputs!$C$40+Inputs!$C$41+Inputs!$C$42+Inputs!$C$43+Inputs!$C$44</f>
        <v>11.3</v>
      </c>
      <c r="Q22" s="9" t="n">
        <f aca="false">Inputs!$C$39+Inputs!$C$40+Inputs!$C$41+Inputs!$C$42+Inputs!$C$43+Inputs!$C$44</f>
        <v>11.3</v>
      </c>
      <c r="R22" s="9" t="n">
        <f aca="false">Inputs!$C$39+Inputs!$C$40+Inputs!$C$41+Inputs!$C$42+Inputs!$C$43+Inputs!$C$44</f>
        <v>11.3</v>
      </c>
      <c r="S22" s="9" t="n">
        <f aca="false">Inputs!$C$39+Inputs!$C$40+Inputs!$C$41+Inputs!$C$42+Inputs!$C$43+Inputs!$C$44</f>
        <v>11.3</v>
      </c>
    </row>
    <row r="23" customFormat="false" ht="15" hidden="false" customHeight="true" outlineLevel="0" collapsed="false">
      <c r="A23" s="30" t="s">
        <v>479</v>
      </c>
      <c r="B23" s="4" t="s">
        <v>10</v>
      </c>
      <c r="C23" s="33" t="n">
        <f aca="false">SUM(E23:G23)</f>
        <v>6.23975000000001</v>
      </c>
      <c r="D23" s="33" t="n">
        <f aca="false">SUM(H23:S23)</f>
        <v>24.959</v>
      </c>
      <c r="E23" s="9" t="n">
        <f aca="false">Inputs!$C$45</f>
        <v>2.07991666666667</v>
      </c>
      <c r="F23" s="9" t="n">
        <f aca="false">Inputs!$C$45</f>
        <v>2.07991666666667</v>
      </c>
      <c r="G23" s="9" t="n">
        <f aca="false">Inputs!$C$45</f>
        <v>2.07991666666667</v>
      </c>
      <c r="H23" s="9" t="n">
        <f aca="false">Inputs!$C$45</f>
        <v>2.07991666666667</v>
      </c>
      <c r="I23" s="9" t="n">
        <f aca="false">Inputs!$C$45</f>
        <v>2.07991666666667</v>
      </c>
      <c r="J23" s="9" t="n">
        <f aca="false">Inputs!$C$45</f>
        <v>2.07991666666667</v>
      </c>
      <c r="K23" s="9" t="n">
        <f aca="false">Inputs!$C$45</f>
        <v>2.07991666666667</v>
      </c>
      <c r="L23" s="9" t="n">
        <f aca="false">Inputs!$C$45</f>
        <v>2.07991666666667</v>
      </c>
      <c r="M23" s="9" t="n">
        <f aca="false">Inputs!$C$45</f>
        <v>2.07991666666667</v>
      </c>
      <c r="N23" s="9" t="n">
        <f aca="false">Inputs!$C$45</f>
        <v>2.07991666666667</v>
      </c>
      <c r="O23" s="9" t="n">
        <f aca="false">Inputs!$C$45</f>
        <v>2.07991666666667</v>
      </c>
      <c r="P23" s="9" t="n">
        <f aca="false">Inputs!$C$45</f>
        <v>2.07991666666667</v>
      </c>
      <c r="Q23" s="9" t="n">
        <f aca="false">Inputs!$C$45</f>
        <v>2.07991666666667</v>
      </c>
      <c r="R23" s="9" t="n">
        <f aca="false">Inputs!$C$45</f>
        <v>2.07991666666667</v>
      </c>
      <c r="S23" s="9" t="n">
        <f aca="false">Inputs!$C$45</f>
        <v>2.07991666666667</v>
      </c>
    </row>
    <row r="24" customFormat="false" ht="15" hidden="false" customHeight="true" outlineLevel="0" collapsed="false">
      <c r="A24" s="30" t="s">
        <v>480</v>
      </c>
      <c r="B24" s="4" t="s">
        <v>10</v>
      </c>
      <c r="C24" s="33" t="n">
        <f aca="false">SUM(E24:G24)</f>
        <v>17.4</v>
      </c>
      <c r="D24" s="33" t="n">
        <f aca="false">SUM(H24:S24)</f>
        <v>69.6</v>
      </c>
      <c r="E24" s="9" t="n">
        <f aca="false">Inputs!$C$46</f>
        <v>5.8</v>
      </c>
      <c r="F24" s="9" t="n">
        <f aca="false">Inputs!$C$46</f>
        <v>5.8</v>
      </c>
      <c r="G24" s="9" t="n">
        <f aca="false">Inputs!$C$46</f>
        <v>5.8</v>
      </c>
      <c r="H24" s="9" t="n">
        <f aca="false">Inputs!$C$46</f>
        <v>5.8</v>
      </c>
      <c r="I24" s="9" t="n">
        <f aca="false">Inputs!$C$46</f>
        <v>5.8</v>
      </c>
      <c r="J24" s="9" t="n">
        <f aca="false">Inputs!$C$46</f>
        <v>5.8</v>
      </c>
      <c r="K24" s="9" t="n">
        <f aca="false">Inputs!$C$46</f>
        <v>5.8</v>
      </c>
      <c r="L24" s="9" t="n">
        <f aca="false">Inputs!$C$46</f>
        <v>5.8</v>
      </c>
      <c r="M24" s="9" t="n">
        <f aca="false">Inputs!$C$46</f>
        <v>5.8</v>
      </c>
      <c r="N24" s="9" t="n">
        <f aca="false">Inputs!$C$46</f>
        <v>5.8</v>
      </c>
      <c r="O24" s="9" t="n">
        <f aca="false">Inputs!$C$46</f>
        <v>5.8</v>
      </c>
      <c r="P24" s="9" t="n">
        <f aca="false">Inputs!$C$46</f>
        <v>5.8</v>
      </c>
      <c r="Q24" s="9" t="n">
        <f aca="false">Inputs!$C$46</f>
        <v>5.8</v>
      </c>
      <c r="R24" s="9" t="n">
        <f aca="false">Inputs!$C$46</f>
        <v>5.8</v>
      </c>
      <c r="S24" s="9" t="n">
        <f aca="false">Inputs!$C$46</f>
        <v>5.8</v>
      </c>
    </row>
    <row r="25" customFormat="false" ht="15" hidden="false" customHeight="true" outlineLevel="0" collapsed="false">
      <c r="A25" s="30" t="s">
        <v>481</v>
      </c>
      <c r="B25" s="4" t="s">
        <v>10</v>
      </c>
      <c r="C25" s="33" t="n">
        <f aca="false">SUM(E25:G25)</f>
        <v>4.5</v>
      </c>
      <c r="D25" s="33" t="n">
        <f aca="false">SUM(H25:S25)</f>
        <v>18</v>
      </c>
      <c r="E25" s="9" t="n">
        <f aca="false">Inputs!$C$47</f>
        <v>1.5</v>
      </c>
      <c r="F25" s="9" t="n">
        <f aca="false">Inputs!$C$47</f>
        <v>1.5</v>
      </c>
      <c r="G25" s="9" t="n">
        <f aca="false">Inputs!$C$47</f>
        <v>1.5</v>
      </c>
      <c r="H25" s="9" t="n">
        <f aca="false">Inputs!$C$47</f>
        <v>1.5</v>
      </c>
      <c r="I25" s="9" t="n">
        <f aca="false">Inputs!$C$47</f>
        <v>1.5</v>
      </c>
      <c r="J25" s="9" t="n">
        <f aca="false">Inputs!$C$47</f>
        <v>1.5</v>
      </c>
      <c r="K25" s="9" t="n">
        <f aca="false">Inputs!$C$47</f>
        <v>1.5</v>
      </c>
      <c r="L25" s="9" t="n">
        <f aca="false">Inputs!$C$47</f>
        <v>1.5</v>
      </c>
      <c r="M25" s="9" t="n">
        <f aca="false">Inputs!$C$47</f>
        <v>1.5</v>
      </c>
      <c r="N25" s="9" t="n">
        <f aca="false">Inputs!$C$47</f>
        <v>1.5</v>
      </c>
      <c r="O25" s="9" t="n">
        <f aca="false">Inputs!$C$47</f>
        <v>1.5</v>
      </c>
      <c r="P25" s="9" t="n">
        <f aca="false">Inputs!$C$47</f>
        <v>1.5</v>
      </c>
      <c r="Q25" s="9" t="n">
        <f aca="false">Inputs!$C$47</f>
        <v>1.5</v>
      </c>
      <c r="R25" s="9" t="n">
        <f aca="false">Inputs!$C$47</f>
        <v>1.5</v>
      </c>
      <c r="S25" s="9" t="n">
        <f aca="false">Inputs!$C$47</f>
        <v>1.5</v>
      </c>
    </row>
    <row r="26" customFormat="false" ht="15" hidden="false" customHeight="true" outlineLevel="0" collapsed="false">
      <c r="A26" s="30" t="s">
        <v>482</v>
      </c>
      <c r="B26" s="4" t="s">
        <v>10</v>
      </c>
      <c r="C26" s="33" t="n">
        <f aca="false">SUM(E26:G26)</f>
        <v>0</v>
      </c>
      <c r="D26" s="33" t="n">
        <f aca="false">SUM(H26:S26)</f>
        <v>300</v>
      </c>
      <c r="E26" s="9" t="n">
        <f aca="false">E17*(Inputs!$C$49+Inputs!$C$50)</f>
        <v>0</v>
      </c>
      <c r="F26" s="9" t="n">
        <f aca="false">F17*(Inputs!$C$49+Inputs!$C$50)</f>
        <v>0</v>
      </c>
      <c r="G26" s="9" t="n">
        <f aca="false">G17*(Inputs!$C$49+Inputs!$C$50)</f>
        <v>0</v>
      </c>
      <c r="H26" s="9" t="n">
        <f aca="false">H17*(Inputs!$C$49+Inputs!$C$50)</f>
        <v>25</v>
      </c>
      <c r="I26" s="9" t="n">
        <f aca="false">I17*(Inputs!$C$49+Inputs!$C$50)</f>
        <v>25</v>
      </c>
      <c r="J26" s="9" t="n">
        <f aca="false">J17*(Inputs!$C$49+Inputs!$C$50)</f>
        <v>25</v>
      </c>
      <c r="K26" s="9" t="n">
        <f aca="false">K17*(Inputs!$C$49+Inputs!$C$50)</f>
        <v>25</v>
      </c>
      <c r="L26" s="9" t="n">
        <f aca="false">L17*(Inputs!$C$49+Inputs!$C$50)</f>
        <v>25</v>
      </c>
      <c r="M26" s="9" t="n">
        <f aca="false">M17*(Inputs!$C$49+Inputs!$C$50)</f>
        <v>25</v>
      </c>
      <c r="N26" s="9" t="n">
        <f aca="false">N17*(Inputs!$C$49+Inputs!$C$50)</f>
        <v>25</v>
      </c>
      <c r="O26" s="9" t="n">
        <f aca="false">O17*(Inputs!$C$49+Inputs!$C$50)</f>
        <v>25</v>
      </c>
      <c r="P26" s="9" t="n">
        <f aca="false">P17*(Inputs!$C$49+Inputs!$C$50)</f>
        <v>25</v>
      </c>
      <c r="Q26" s="9" t="n">
        <f aca="false">Q17*(Inputs!$C$49+Inputs!$C$50)</f>
        <v>25</v>
      </c>
      <c r="R26" s="9" t="n">
        <f aca="false">R17*(Inputs!$C$49+Inputs!$C$50)</f>
        <v>25</v>
      </c>
      <c r="S26" s="9" t="n">
        <f aca="false">S17*(Inputs!$C$49+Inputs!$C$50)</f>
        <v>25</v>
      </c>
    </row>
    <row r="27" customFormat="false" ht="15" hidden="false" customHeight="true" outlineLevel="0" collapsed="false">
      <c r="A27" s="30" t="s">
        <v>483</v>
      </c>
      <c r="B27" s="4" t="s">
        <v>10</v>
      </c>
      <c r="C27" s="33" t="n">
        <f aca="false">SUM(E27:G27)</f>
        <v>0</v>
      </c>
      <c r="D27" s="33" t="n">
        <f aca="false">SUM(H27:S27)</f>
        <v>0</v>
      </c>
      <c r="E27" s="9" t="n">
        <f aca="false">E16*Inputs!$C$53</f>
        <v>0</v>
      </c>
      <c r="F27" s="9" t="n">
        <f aca="false">F16*Inputs!$C$53</f>
        <v>0</v>
      </c>
      <c r="G27" s="9" t="n">
        <f aca="false">G16*Inputs!$C$53</f>
        <v>0</v>
      </c>
      <c r="H27" s="9" t="n">
        <f aca="false">H16*Inputs!$C$53</f>
        <v>0</v>
      </c>
      <c r="I27" s="9" t="n">
        <f aca="false">I16*Inputs!$C$53</f>
        <v>0</v>
      </c>
      <c r="J27" s="9" t="n">
        <f aca="false">J16*Inputs!$C$53</f>
        <v>0</v>
      </c>
      <c r="K27" s="9" t="n">
        <f aca="false">K16*Inputs!$C$53</f>
        <v>0</v>
      </c>
      <c r="L27" s="9" t="n">
        <f aca="false">L16*Inputs!$C$53</f>
        <v>0</v>
      </c>
      <c r="M27" s="9" t="n">
        <f aca="false">M16*Inputs!$C$53</f>
        <v>0</v>
      </c>
      <c r="N27" s="9" t="n">
        <f aca="false">N16*Inputs!$C$53</f>
        <v>0</v>
      </c>
      <c r="O27" s="9" t="n">
        <f aca="false">O16*Inputs!$C$53</f>
        <v>0</v>
      </c>
      <c r="P27" s="9" t="n">
        <f aca="false">P16*Inputs!$C$53</f>
        <v>0</v>
      </c>
      <c r="Q27" s="9" t="n">
        <f aca="false">Q16*Inputs!$C$53</f>
        <v>0</v>
      </c>
      <c r="R27" s="9" t="n">
        <f aca="false">R16*Inputs!$C$53</f>
        <v>0</v>
      </c>
      <c r="S27" s="9" t="n">
        <f aca="false">S16*Inputs!$C$53</f>
        <v>0</v>
      </c>
    </row>
    <row r="28" customFormat="false" ht="15" hidden="false" customHeight="true" outlineLevel="0" collapsed="false">
      <c r="A28" s="30" t="s">
        <v>484</v>
      </c>
      <c r="B28" s="4" t="s">
        <v>10</v>
      </c>
      <c r="C28" s="33" t="n">
        <f aca="false">SUM(E28:G28)</f>
        <v>0</v>
      </c>
      <c r="D28" s="33" t="n">
        <f aca="false">SUM(H28:S28)</f>
        <v>24</v>
      </c>
      <c r="E28" s="9" t="n">
        <f aca="false">IF(Volume!E6&gt;=IFERROR(MATCH(Inputs!$C$54,Volume!$E$4:$S$4,0),99),Inputs!$C$55,0)</f>
        <v>0</v>
      </c>
      <c r="F28" s="9" t="n">
        <f aca="false">IF(Volume!F6&gt;=IFERROR(MATCH(Inputs!$C$54,Volume!$E$4:$S$4,0),99),Inputs!$C$55,0)</f>
        <v>0</v>
      </c>
      <c r="G28" s="9" t="n">
        <f aca="false">IF(Volume!G6&gt;=IFERROR(MATCH(Inputs!$C$54,Volume!$E$4:$S$4,0),99),Inputs!$C$55,0)</f>
        <v>0</v>
      </c>
      <c r="H28" s="9" t="n">
        <f aca="false">IF(Volume!H6&gt;=IFERROR(MATCH(Inputs!$C$54,Volume!$E$4:$S$4,0),99),Inputs!$C$55,0)</f>
        <v>2</v>
      </c>
      <c r="I28" s="9" t="n">
        <f aca="false">IF(Volume!I6&gt;=IFERROR(MATCH(Inputs!$C$54,Volume!$E$4:$S$4,0),99),Inputs!$C$55,0)</f>
        <v>2</v>
      </c>
      <c r="J28" s="9" t="n">
        <f aca="false">IF(Volume!J6&gt;=IFERROR(MATCH(Inputs!$C$54,Volume!$E$4:$S$4,0),99),Inputs!$C$55,0)</f>
        <v>2</v>
      </c>
      <c r="K28" s="9" t="n">
        <f aca="false">IF(Volume!K6&gt;=IFERROR(MATCH(Inputs!$C$54,Volume!$E$4:$S$4,0),99),Inputs!$C$55,0)</f>
        <v>2</v>
      </c>
      <c r="L28" s="9" t="n">
        <f aca="false">IF(Volume!L6&gt;=IFERROR(MATCH(Inputs!$C$54,Volume!$E$4:$S$4,0),99),Inputs!$C$55,0)</f>
        <v>2</v>
      </c>
      <c r="M28" s="9" t="n">
        <f aca="false">IF(Volume!M6&gt;=IFERROR(MATCH(Inputs!$C$54,Volume!$E$4:$S$4,0),99),Inputs!$C$55,0)</f>
        <v>2</v>
      </c>
      <c r="N28" s="9" t="n">
        <f aca="false">IF(Volume!N6&gt;=IFERROR(MATCH(Inputs!$C$54,Volume!$E$4:$S$4,0),99),Inputs!$C$55,0)</f>
        <v>2</v>
      </c>
      <c r="O28" s="9" t="n">
        <f aca="false">IF(Volume!O6&gt;=IFERROR(MATCH(Inputs!$C$54,Volume!$E$4:$S$4,0),99),Inputs!$C$55,0)</f>
        <v>2</v>
      </c>
      <c r="P28" s="9" t="n">
        <f aca="false">IF(Volume!P6&gt;=IFERROR(MATCH(Inputs!$C$54,Volume!$E$4:$S$4,0),99),Inputs!$C$55,0)</f>
        <v>2</v>
      </c>
      <c r="Q28" s="9" t="n">
        <f aca="false">IF(Volume!Q6&gt;=IFERROR(MATCH(Inputs!$C$54,Volume!$E$4:$S$4,0),99),Inputs!$C$55,0)</f>
        <v>2</v>
      </c>
      <c r="R28" s="9" t="n">
        <f aca="false">IF(Volume!R6&gt;=IFERROR(MATCH(Inputs!$C$54,Volume!$E$4:$S$4,0),99),Inputs!$C$55,0)</f>
        <v>2</v>
      </c>
      <c r="S28" s="9" t="n">
        <f aca="false">IF(Volume!S6&gt;=IFERROR(MATCH(Inputs!$C$54,Volume!$E$4:$S$4,0),99),Inputs!$C$55,0)</f>
        <v>2</v>
      </c>
    </row>
    <row r="29" customFormat="false" ht="15" hidden="false" customHeight="true" outlineLevel="0" collapsed="false">
      <c r="A29" s="30" t="s">
        <v>485</v>
      </c>
      <c r="B29" s="4" t="s">
        <v>10</v>
      </c>
      <c r="C29" s="33" t="n">
        <f aca="false">SUM(E29:G29)</f>
        <v>5</v>
      </c>
      <c r="D29" s="33" t="n">
        <f aca="false">SUM(H29:S29)</f>
        <v>60</v>
      </c>
      <c r="E29" s="9" t="n">
        <f aca="false">E15*Inputs!$C$56</f>
        <v>0</v>
      </c>
      <c r="F29" s="9" t="n">
        <f aca="false">F15*Inputs!$C$56</f>
        <v>0</v>
      </c>
      <c r="G29" s="9" t="n">
        <f aca="false">G15*Inputs!$C$56</f>
        <v>5</v>
      </c>
      <c r="H29" s="9" t="n">
        <f aca="false">H15*Inputs!$C$56</f>
        <v>5</v>
      </c>
      <c r="I29" s="9" t="n">
        <f aca="false">I15*Inputs!$C$56</f>
        <v>5</v>
      </c>
      <c r="J29" s="9" t="n">
        <f aca="false">J15*Inputs!$C$56</f>
        <v>5</v>
      </c>
      <c r="K29" s="9" t="n">
        <f aca="false">K15*Inputs!$C$56</f>
        <v>5</v>
      </c>
      <c r="L29" s="9" t="n">
        <f aca="false">L15*Inputs!$C$56</f>
        <v>5</v>
      </c>
      <c r="M29" s="9" t="n">
        <f aca="false">M15*Inputs!$C$56</f>
        <v>5</v>
      </c>
      <c r="N29" s="9" t="n">
        <f aca="false">N15*Inputs!$C$56</f>
        <v>5</v>
      </c>
      <c r="O29" s="9" t="n">
        <f aca="false">O15*Inputs!$C$56</f>
        <v>5</v>
      </c>
      <c r="P29" s="9" t="n">
        <f aca="false">P15*Inputs!$C$56</f>
        <v>5</v>
      </c>
      <c r="Q29" s="9" t="n">
        <f aca="false">Q15*Inputs!$C$56</f>
        <v>5</v>
      </c>
      <c r="R29" s="9" t="n">
        <f aca="false">R15*Inputs!$C$56</f>
        <v>5</v>
      </c>
      <c r="S29" s="9" t="n">
        <f aca="false">S15*Inputs!$C$56</f>
        <v>5</v>
      </c>
    </row>
    <row r="30" customFormat="false" ht="15" hidden="false" customHeight="true" outlineLevel="0" collapsed="false">
      <c r="A30" s="30" t="s">
        <v>486</v>
      </c>
      <c r="B30" s="4" t="s">
        <v>10</v>
      </c>
      <c r="C30" s="33" t="n">
        <f aca="false">SUM(E30:G30)</f>
        <v>0</v>
      </c>
      <c r="D30" s="33" t="n">
        <f aca="false">SUM(H30:S30)</f>
        <v>0</v>
      </c>
      <c r="E30" s="9" t="n">
        <f aca="false">E19*Inputs!$C$43</f>
        <v>0</v>
      </c>
      <c r="F30" s="9" t="n">
        <f aca="false">F19*Inputs!$C$43</f>
        <v>0</v>
      </c>
      <c r="G30" s="9" t="n">
        <f aca="false">G19*Inputs!$C$43</f>
        <v>0</v>
      </c>
      <c r="H30" s="9" t="n">
        <f aca="false">H19*Inputs!$C$43</f>
        <v>0</v>
      </c>
      <c r="I30" s="9" t="n">
        <f aca="false">I19*Inputs!$C$43</f>
        <v>0</v>
      </c>
      <c r="J30" s="9" t="n">
        <f aca="false">J19*Inputs!$C$43</f>
        <v>0</v>
      </c>
      <c r="K30" s="9" t="n">
        <f aca="false">K19*Inputs!$C$43</f>
        <v>0</v>
      </c>
      <c r="L30" s="9" t="n">
        <f aca="false">L19*Inputs!$C$43</f>
        <v>0</v>
      </c>
      <c r="M30" s="9" t="n">
        <f aca="false">M19*Inputs!$C$43</f>
        <v>0</v>
      </c>
      <c r="N30" s="9" t="n">
        <f aca="false">N19*Inputs!$C$43</f>
        <v>0</v>
      </c>
      <c r="O30" s="9" t="n">
        <f aca="false">O19*Inputs!$C$43</f>
        <v>0</v>
      </c>
      <c r="P30" s="9" t="n">
        <f aca="false">P19*Inputs!$C$43</f>
        <v>0</v>
      </c>
      <c r="Q30" s="9" t="n">
        <f aca="false">Q19*Inputs!$C$43</f>
        <v>0</v>
      </c>
      <c r="R30" s="9" t="n">
        <f aca="false">R19*Inputs!$C$43</f>
        <v>0</v>
      </c>
      <c r="S30" s="9" t="n">
        <f aca="false">S19*Inputs!$C$43</f>
        <v>0</v>
      </c>
    </row>
    <row r="31" customFormat="false" ht="15" hidden="false" customHeight="true" outlineLevel="0" collapsed="false">
      <c r="A31" s="30" t="s">
        <v>487</v>
      </c>
      <c r="B31" s="4" t="s">
        <v>10</v>
      </c>
      <c r="C31" s="33" t="n">
        <f aca="false">SUM(E31:G31)</f>
        <v>12.5</v>
      </c>
      <c r="D31" s="33" t="n">
        <f aca="false">SUM(H31:S31)</f>
        <v>0</v>
      </c>
      <c r="E31" s="9" t="n">
        <f aca="false">E10*Inputs!$C$37</f>
        <v>5</v>
      </c>
      <c r="F31" s="9" t="n">
        <f aca="false">F10*Inputs!$C$37</f>
        <v>7.5</v>
      </c>
      <c r="G31" s="9" t="n">
        <f aca="false">G10*Inputs!$C$37</f>
        <v>0</v>
      </c>
      <c r="H31" s="9" t="n">
        <f aca="false">H10*Inputs!$C$37</f>
        <v>0</v>
      </c>
      <c r="I31" s="9" t="n">
        <f aca="false">I10*Inputs!$C$37</f>
        <v>0</v>
      </c>
      <c r="J31" s="9" t="n">
        <f aca="false">J10*Inputs!$C$37</f>
        <v>0</v>
      </c>
      <c r="K31" s="9" t="n">
        <f aca="false">K10*Inputs!$C$37</f>
        <v>0</v>
      </c>
      <c r="L31" s="9" t="n">
        <f aca="false">L10*Inputs!$C$37</f>
        <v>0</v>
      </c>
      <c r="M31" s="9" t="n">
        <f aca="false">M10*Inputs!$C$37</f>
        <v>0</v>
      </c>
      <c r="N31" s="9" t="n">
        <f aca="false">N10*Inputs!$C$37</f>
        <v>0</v>
      </c>
      <c r="O31" s="9" t="n">
        <f aca="false">O10*Inputs!$C$37</f>
        <v>0</v>
      </c>
      <c r="P31" s="9" t="n">
        <f aca="false">P10*Inputs!$C$37</f>
        <v>0</v>
      </c>
      <c r="Q31" s="9" t="n">
        <f aca="false">Q10*Inputs!$C$37</f>
        <v>0</v>
      </c>
      <c r="R31" s="9" t="n">
        <f aca="false">R10*Inputs!$C$37</f>
        <v>0</v>
      </c>
      <c r="S31" s="9" t="n">
        <f aca="false">S10*Inputs!$C$37</f>
        <v>0</v>
      </c>
    </row>
    <row r="32" customFormat="false" ht="15" hidden="false" customHeight="true" outlineLevel="0" collapsed="false">
      <c r="A32" s="12" t="s">
        <v>488</v>
      </c>
      <c r="B32" s="4" t="s">
        <v>10</v>
      </c>
      <c r="C32" s="33" t="n">
        <f aca="false">SUM(E32:G32)</f>
        <v>79.53975</v>
      </c>
      <c r="D32" s="33" t="n">
        <f aca="false">SUM(H32:S32)</f>
        <v>632.159</v>
      </c>
      <c r="E32" s="34" t="n">
        <f aca="false">SUM(E22:E31)</f>
        <v>25.6799166666667</v>
      </c>
      <c r="F32" s="34" t="n">
        <f aca="false">SUM(F22:F31)</f>
        <v>28.1799166666667</v>
      </c>
      <c r="G32" s="34" t="n">
        <f aca="false">SUM(G22:G31)</f>
        <v>25.6799166666667</v>
      </c>
      <c r="H32" s="34" t="n">
        <f aca="false">SUM(H22:H31)</f>
        <v>52.6799166666667</v>
      </c>
      <c r="I32" s="34" t="n">
        <f aca="false">SUM(I22:I31)</f>
        <v>52.6799166666667</v>
      </c>
      <c r="J32" s="34" t="n">
        <f aca="false">SUM(J22:J31)</f>
        <v>52.6799166666667</v>
      </c>
      <c r="K32" s="34" t="n">
        <f aca="false">SUM(K22:K31)</f>
        <v>52.6799166666667</v>
      </c>
      <c r="L32" s="34" t="n">
        <f aca="false">SUM(L22:L31)</f>
        <v>52.6799166666667</v>
      </c>
      <c r="M32" s="34" t="n">
        <f aca="false">SUM(M22:M31)</f>
        <v>52.6799166666667</v>
      </c>
      <c r="N32" s="34" t="n">
        <f aca="false">SUM(N22:N31)</f>
        <v>52.6799166666667</v>
      </c>
      <c r="O32" s="34" t="n">
        <f aca="false">SUM(O22:O31)</f>
        <v>52.6799166666667</v>
      </c>
      <c r="P32" s="34" t="n">
        <f aca="false">SUM(P22:P31)</f>
        <v>52.6799166666667</v>
      </c>
      <c r="Q32" s="34" t="n">
        <f aca="false">SUM(Q22:Q31)</f>
        <v>52.6799166666667</v>
      </c>
      <c r="R32" s="34" t="n">
        <f aca="false">SUM(R22:R31)</f>
        <v>52.6799166666667</v>
      </c>
      <c r="S32" s="34" t="n">
        <f aca="false">SUM(S22:S31)</f>
        <v>52.6799166666667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19" min="3" style="1" width="10.51"/>
  </cols>
  <sheetData>
    <row r="1" customFormat="false" ht="17.25" hidden="false" customHeight="true" outlineLevel="0" collapsed="false">
      <c r="A1" s="2" t="s">
        <v>489</v>
      </c>
      <c r="B1" s="3"/>
      <c r="C1" s="3"/>
      <c r="D1" s="3"/>
      <c r="E1" s="3"/>
      <c r="F1" s="3"/>
      <c r="G1" s="3"/>
      <c r="H1" s="3"/>
      <c r="I1" s="3"/>
      <c r="J1" s="3"/>
      <c r="K1" s="3"/>
      <c r="L1" s="3"/>
      <c r="M1" s="3"/>
      <c r="N1" s="3"/>
      <c r="O1" s="3"/>
      <c r="P1" s="3"/>
      <c r="Q1" s="3"/>
      <c r="R1" s="3"/>
      <c r="S1" s="3"/>
    </row>
    <row r="2" customFormat="false" ht="15" hidden="false" customHeight="true" outlineLevel="0" collapsed="false">
      <c r="A2" s="4" t="s">
        <v>336</v>
      </c>
      <c r="B2" s="3"/>
      <c r="C2" s="3"/>
      <c r="D2" s="3"/>
      <c r="E2" s="3"/>
      <c r="F2" s="3"/>
      <c r="G2" s="3"/>
      <c r="H2" s="3"/>
      <c r="I2" s="3"/>
      <c r="J2" s="3"/>
      <c r="K2" s="3"/>
      <c r="L2" s="3"/>
      <c r="M2" s="3"/>
      <c r="N2" s="3"/>
      <c r="O2" s="3"/>
      <c r="P2" s="3"/>
      <c r="Q2" s="3"/>
      <c r="R2" s="3"/>
      <c r="S2" s="3"/>
    </row>
    <row r="3" customFormat="false" ht="15" hidden="false" customHeight="true" outlineLevel="0" collapsed="false">
      <c r="A3" s="3"/>
      <c r="B3" s="3"/>
      <c r="C3" s="3"/>
      <c r="D3" s="3"/>
      <c r="E3" s="3"/>
      <c r="F3" s="3"/>
      <c r="G3" s="3"/>
      <c r="H3" s="3"/>
      <c r="I3" s="3"/>
      <c r="J3" s="3"/>
      <c r="K3" s="3"/>
      <c r="L3" s="3"/>
      <c r="M3" s="3"/>
      <c r="N3" s="3"/>
      <c r="O3" s="3"/>
      <c r="P3" s="3"/>
      <c r="Q3" s="3"/>
      <c r="R3" s="3"/>
      <c r="S3" s="3"/>
    </row>
    <row r="4" customFormat="false" ht="15" hidden="false" customHeight="true" outlineLevel="0" collapsed="false">
      <c r="A4" s="29" t="s">
        <v>337</v>
      </c>
      <c r="B4" s="29" t="s">
        <v>6</v>
      </c>
      <c r="C4" s="29" t="s">
        <v>338</v>
      </c>
      <c r="D4" s="29" t="s">
        <v>339</v>
      </c>
      <c r="E4" s="29" t="s">
        <v>66</v>
      </c>
      <c r="F4" s="29" t="s">
        <v>340</v>
      </c>
      <c r="G4" s="29" t="s">
        <v>341</v>
      </c>
      <c r="H4" s="29" t="s">
        <v>201</v>
      </c>
      <c r="I4" s="29" t="s">
        <v>342</v>
      </c>
      <c r="J4" s="29" t="s">
        <v>343</v>
      </c>
      <c r="K4" s="29" t="s">
        <v>344</v>
      </c>
      <c r="L4" s="29" t="s">
        <v>345</v>
      </c>
      <c r="M4" s="29" t="s">
        <v>346</v>
      </c>
      <c r="N4" s="29" t="s">
        <v>67</v>
      </c>
      <c r="O4" s="29" t="s">
        <v>347</v>
      </c>
      <c r="P4" s="29" t="s">
        <v>348</v>
      </c>
      <c r="Q4" s="29" t="s">
        <v>349</v>
      </c>
      <c r="R4" s="29" t="s">
        <v>350</v>
      </c>
      <c r="S4" s="29" t="s">
        <v>351</v>
      </c>
    </row>
    <row r="5" customFormat="false" ht="15" hidden="false" customHeight="true" outlineLevel="0" collapsed="false">
      <c r="A5" s="7" t="s">
        <v>490</v>
      </c>
      <c r="B5" s="8"/>
      <c r="C5" s="8"/>
      <c r="D5" s="8"/>
      <c r="E5" s="8"/>
      <c r="F5" s="8"/>
      <c r="G5" s="8"/>
      <c r="H5" s="8"/>
      <c r="I5" s="8"/>
      <c r="J5" s="8"/>
      <c r="K5" s="8"/>
      <c r="L5" s="8"/>
      <c r="M5" s="8"/>
      <c r="N5" s="8"/>
      <c r="O5" s="8"/>
      <c r="P5" s="8"/>
      <c r="Q5" s="8"/>
      <c r="R5" s="8"/>
      <c r="S5" s="8"/>
    </row>
    <row r="6" customFormat="false" ht="15" hidden="false" customHeight="true" outlineLevel="0" collapsed="false">
      <c r="A6" s="30" t="s">
        <v>363</v>
      </c>
      <c r="B6" s="4" t="s">
        <v>10</v>
      </c>
      <c r="C6" s="33" t="n">
        <f aca="false">SUM(E6:G6)</f>
        <v>85</v>
      </c>
      <c r="D6" s="33" t="n">
        <f aca="false">SUM(H6:S6)</f>
        <v>500</v>
      </c>
      <c r="E6" s="9" t="n">
        <f aca="false">Volume!E23*IF(Volume!E11=1,Unit_Economics!$B$4,Unit_Economics!$N$4)</f>
        <v>0</v>
      </c>
      <c r="F6" s="9" t="n">
        <f aca="false">Volume!F23*IF(Volume!F11=1,Unit_Economics!$B$4,Unit_Economics!$N$4)</f>
        <v>85</v>
      </c>
      <c r="G6" s="9" t="n">
        <f aca="false">Volume!G23*IF(Volume!G11=1,Unit_Economics!$B$4,Unit_Economics!$N$4)</f>
        <v>0</v>
      </c>
      <c r="H6" s="9" t="n">
        <f aca="false">Volume!H23*IF(Volume!H11=1,Unit_Economics!$B$4,Unit_Economics!$N$4)</f>
        <v>0</v>
      </c>
      <c r="I6" s="9" t="n">
        <f aca="false">Volume!I23*IF(Volume!I11=1,Unit_Economics!$B$4,Unit_Economics!$N$4)</f>
        <v>0</v>
      </c>
      <c r="J6" s="9" t="n">
        <f aca="false">Volume!J23*IF(Volume!J11=1,Unit_Economics!$B$4,Unit_Economics!$N$4)</f>
        <v>100</v>
      </c>
      <c r="K6" s="9" t="n">
        <f aca="false">Volume!K23*IF(Volume!K11=1,Unit_Economics!$B$4,Unit_Economics!$N$4)</f>
        <v>0</v>
      </c>
      <c r="L6" s="9" t="n">
        <f aca="false">Volume!L23*IF(Volume!L11=1,Unit_Economics!$B$4,Unit_Economics!$N$4)</f>
        <v>100</v>
      </c>
      <c r="M6" s="9" t="n">
        <f aca="false">Volume!M23*IF(Volume!M11=1,Unit_Economics!$B$4,Unit_Economics!$N$4)</f>
        <v>0</v>
      </c>
      <c r="N6" s="9" t="n">
        <f aca="false">Volume!N23*IF(Volume!N11=1,Unit_Economics!$B$4,Unit_Economics!$N$4)</f>
        <v>100</v>
      </c>
      <c r="O6" s="9" t="n">
        <f aca="false">Volume!O23*IF(Volume!O11=1,Unit_Economics!$B$4,Unit_Economics!$N$4)</f>
        <v>0</v>
      </c>
      <c r="P6" s="9" t="n">
        <f aca="false">Volume!P23*IF(Volume!P11=1,Unit_Economics!$B$4,Unit_Economics!$N$4)</f>
        <v>100</v>
      </c>
      <c r="Q6" s="9" t="n">
        <f aca="false">Volume!Q23*IF(Volume!Q11=1,Unit_Economics!$B$4,Unit_Economics!$N$4)</f>
        <v>0</v>
      </c>
      <c r="R6" s="9" t="n">
        <f aca="false">Volume!R23*IF(Volume!R11=1,Unit_Economics!$B$4,Unit_Economics!$N$4)</f>
        <v>100</v>
      </c>
      <c r="S6" s="9" t="n">
        <f aca="false">Volume!S23*IF(Volume!S11=1,Unit_Economics!$B$4,Unit_Economics!$N$4)</f>
        <v>0</v>
      </c>
    </row>
    <row r="7" customFormat="false" ht="15" hidden="false" customHeight="true" outlineLevel="0" collapsed="false">
      <c r="A7" s="30" t="s">
        <v>364</v>
      </c>
      <c r="B7" s="4" t="s">
        <v>10</v>
      </c>
      <c r="C7" s="33" t="n">
        <f aca="false">SUM(E7:G7)</f>
        <v>200</v>
      </c>
      <c r="D7" s="33" t="n">
        <f aca="false">SUM(H7:S7)</f>
        <v>484.5</v>
      </c>
      <c r="E7" s="9" t="n">
        <f aca="false">Volume!E24*IF(Volume!E11=1,Unit_Economics!$B$5,Unit_Economics!$N$5)</f>
        <v>40</v>
      </c>
      <c r="F7" s="9" t="n">
        <f aca="false">Volume!F24*IF(Volume!F11=1,Unit_Economics!$B$5,Unit_Economics!$N$5)</f>
        <v>60</v>
      </c>
      <c r="G7" s="9" t="n">
        <f aca="false">Volume!G24*IF(Volume!G11=1,Unit_Economics!$B$5,Unit_Economics!$N$5)</f>
        <v>100</v>
      </c>
      <c r="H7" s="9" t="n">
        <f aca="false">Volume!H24*IF(Volume!H11=1,Unit_Economics!$B$5,Unit_Economics!$N$5)</f>
        <v>0</v>
      </c>
      <c r="I7" s="9" t="n">
        <f aca="false">Volume!I24*IF(Volume!I11=1,Unit_Economics!$B$5,Unit_Economics!$N$5)</f>
        <v>0</v>
      </c>
      <c r="J7" s="9" t="n">
        <f aca="false">Volume!J24*IF(Volume!J11=1,Unit_Economics!$B$5,Unit_Economics!$N$5)</f>
        <v>28.5</v>
      </c>
      <c r="K7" s="9" t="n">
        <f aca="false">Volume!K24*IF(Volume!K11=1,Unit_Economics!$B$5,Unit_Economics!$N$5)</f>
        <v>0</v>
      </c>
      <c r="L7" s="9" t="n">
        <f aca="false">Volume!L24*IF(Volume!L11=1,Unit_Economics!$B$5,Unit_Economics!$N$5)</f>
        <v>28.5</v>
      </c>
      <c r="M7" s="9" t="n">
        <f aca="false">Volume!M24*IF(Volume!M11=1,Unit_Economics!$B$5,Unit_Economics!$N$5)</f>
        <v>28.5</v>
      </c>
      <c r="N7" s="9" t="n">
        <f aca="false">Volume!N24*IF(Volume!N11=1,Unit_Economics!$B$5,Unit_Economics!$N$5)</f>
        <v>28.5</v>
      </c>
      <c r="O7" s="9" t="n">
        <f aca="false">Volume!O24*IF(Volume!O11=1,Unit_Economics!$B$5,Unit_Economics!$N$5)</f>
        <v>28.5</v>
      </c>
      <c r="P7" s="9" t="n">
        <f aca="false">Volume!P24*IF(Volume!P11=1,Unit_Economics!$B$5,Unit_Economics!$N$5)</f>
        <v>57</v>
      </c>
      <c r="Q7" s="9" t="n">
        <f aca="false">Volume!Q24*IF(Volume!Q11=1,Unit_Economics!$B$5,Unit_Economics!$N$5)</f>
        <v>57</v>
      </c>
      <c r="R7" s="9" t="n">
        <f aca="false">Volume!R24*IF(Volume!R11=1,Unit_Economics!$B$5,Unit_Economics!$N$5)</f>
        <v>85.5</v>
      </c>
      <c r="S7" s="9" t="n">
        <f aca="false">Volume!S24*IF(Volume!S11=1,Unit_Economics!$B$5,Unit_Economics!$N$5)</f>
        <v>142.5</v>
      </c>
    </row>
    <row r="8" customFormat="false" ht="15" hidden="false" customHeight="true" outlineLevel="0" collapsed="false">
      <c r="A8" s="30" t="s">
        <v>365</v>
      </c>
      <c r="B8" s="4" t="s">
        <v>10</v>
      </c>
      <c r="C8" s="33" t="n">
        <f aca="false">SUM(E8:G8)</f>
        <v>70</v>
      </c>
      <c r="D8" s="33" t="n">
        <f aca="false">SUM(H8:S8)</f>
        <v>214</v>
      </c>
      <c r="E8" s="9" t="n">
        <f aca="false">Volume!E25*IF(Volume!E11=1,Unit_Economics!$B$6,Unit_Economics!$N$6)</f>
        <v>35</v>
      </c>
      <c r="F8" s="9" t="n">
        <f aca="false">Volume!F25*IF(Volume!F11=1,Unit_Economics!$B$6,Unit_Economics!$N$6)</f>
        <v>35</v>
      </c>
      <c r="G8" s="9" t="n">
        <f aca="false">Volume!G25*IF(Volume!G11=1,Unit_Economics!$B$6,Unit_Economics!$N$6)</f>
        <v>0</v>
      </c>
      <c r="H8" s="9" t="n">
        <f aca="false">Volume!H25*IF(Volume!H11=1,Unit_Economics!$B$6,Unit_Economics!$N$6)</f>
        <v>0</v>
      </c>
      <c r="I8" s="9" t="n">
        <f aca="false">Volume!I25*IF(Volume!I11=1,Unit_Economics!$B$6,Unit_Economics!$N$6)</f>
        <v>0</v>
      </c>
      <c r="J8" s="9" t="n">
        <f aca="false">Volume!J25*IF(Volume!J11=1,Unit_Economics!$B$6,Unit_Economics!$N$6)</f>
        <v>0</v>
      </c>
      <c r="K8" s="9" t="n">
        <f aca="false">Volume!K25*IF(Volume!K11=1,Unit_Economics!$B$6,Unit_Economics!$N$6)</f>
        <v>53.5</v>
      </c>
      <c r="L8" s="9" t="n">
        <f aca="false">Volume!L25*IF(Volume!L11=1,Unit_Economics!$B$6,Unit_Economics!$N$6)</f>
        <v>0</v>
      </c>
      <c r="M8" s="9" t="n">
        <f aca="false">Volume!M25*IF(Volume!M11=1,Unit_Economics!$B$6,Unit_Economics!$N$6)</f>
        <v>0</v>
      </c>
      <c r="N8" s="9" t="n">
        <f aca="false">Volume!N25*IF(Volume!N11=1,Unit_Economics!$B$6,Unit_Economics!$N$6)</f>
        <v>53.5</v>
      </c>
      <c r="O8" s="9" t="n">
        <f aca="false">Volume!O25*IF(Volume!O11=1,Unit_Economics!$B$6,Unit_Economics!$N$6)</f>
        <v>0</v>
      </c>
      <c r="P8" s="9" t="n">
        <f aca="false">Volume!P25*IF(Volume!P11=1,Unit_Economics!$B$6,Unit_Economics!$N$6)</f>
        <v>0</v>
      </c>
      <c r="Q8" s="9" t="n">
        <f aca="false">Volume!Q25*IF(Volume!Q11=1,Unit_Economics!$B$6,Unit_Economics!$N$6)</f>
        <v>53.5</v>
      </c>
      <c r="R8" s="9" t="n">
        <f aca="false">Volume!R25*IF(Volume!R11=1,Unit_Economics!$B$6,Unit_Economics!$N$6)</f>
        <v>53.5</v>
      </c>
      <c r="S8" s="9" t="n">
        <f aca="false">Volume!S25*IF(Volume!S11=1,Unit_Economics!$B$6,Unit_Economics!$N$6)</f>
        <v>0</v>
      </c>
    </row>
    <row r="9" customFormat="false" ht="15" hidden="false" customHeight="true" outlineLevel="0" collapsed="false">
      <c r="A9" s="30" t="s">
        <v>491</v>
      </c>
      <c r="B9" s="4" t="s">
        <v>10</v>
      </c>
      <c r="C9" s="33" t="n">
        <f aca="false">SUM(E9:G9)</f>
        <v>45</v>
      </c>
      <c r="D9" s="33" t="n">
        <f aca="false">SUM(H9:S9)</f>
        <v>180</v>
      </c>
      <c r="E9" s="9" t="n">
        <f aca="false">Volume!E26*IF(Volume!E11=1,Unit_Economics!$B$7,Unit_Economics!$N$7)</f>
        <v>15</v>
      </c>
      <c r="F9" s="9" t="n">
        <f aca="false">Volume!F26*IF(Volume!F11=1,Unit_Economics!$B$7,Unit_Economics!$N$7)</f>
        <v>15</v>
      </c>
      <c r="G9" s="9" t="n">
        <f aca="false">Volume!G26*IF(Volume!G11=1,Unit_Economics!$B$7,Unit_Economics!$N$7)</f>
        <v>15</v>
      </c>
      <c r="H9" s="9" t="n">
        <f aca="false">Volume!H26*IF(Volume!H11=1,Unit_Economics!$B$7,Unit_Economics!$N$7)</f>
        <v>15</v>
      </c>
      <c r="I9" s="9" t="n">
        <f aca="false">Volume!I26*IF(Volume!I11=1,Unit_Economics!$B$7,Unit_Economics!$N$7)</f>
        <v>15</v>
      </c>
      <c r="J9" s="9" t="n">
        <f aca="false">Volume!J26*IF(Volume!J11=1,Unit_Economics!$B$7,Unit_Economics!$N$7)</f>
        <v>15</v>
      </c>
      <c r="K9" s="9" t="n">
        <f aca="false">Volume!K26*IF(Volume!K11=1,Unit_Economics!$B$7,Unit_Economics!$N$7)</f>
        <v>15</v>
      </c>
      <c r="L9" s="9" t="n">
        <f aca="false">Volume!L26*IF(Volume!L11=1,Unit_Economics!$B$7,Unit_Economics!$N$7)</f>
        <v>15</v>
      </c>
      <c r="M9" s="9" t="n">
        <f aca="false">Volume!M26*IF(Volume!M11=1,Unit_Economics!$B$7,Unit_Economics!$N$7)</f>
        <v>15</v>
      </c>
      <c r="N9" s="9" t="n">
        <f aca="false">Volume!N26*IF(Volume!N11=1,Unit_Economics!$B$7,Unit_Economics!$N$7)</f>
        <v>15</v>
      </c>
      <c r="O9" s="9" t="n">
        <f aca="false">Volume!O26*IF(Volume!O11=1,Unit_Economics!$B$7,Unit_Economics!$N$7)</f>
        <v>15</v>
      </c>
      <c r="P9" s="9" t="n">
        <f aca="false">Volume!P26*IF(Volume!P11=1,Unit_Economics!$B$7,Unit_Economics!$N$7)</f>
        <v>15</v>
      </c>
      <c r="Q9" s="9" t="n">
        <f aca="false">Volume!Q26*IF(Volume!Q11=1,Unit_Economics!$B$7,Unit_Economics!$N$7)</f>
        <v>15</v>
      </c>
      <c r="R9" s="9" t="n">
        <f aca="false">Volume!R26*IF(Volume!R11=1,Unit_Economics!$B$7,Unit_Economics!$N$7)</f>
        <v>15</v>
      </c>
      <c r="S9" s="9" t="n">
        <f aca="false">Volume!S26*IF(Volume!S11=1,Unit_Economics!$B$7,Unit_Economics!$N$7)</f>
        <v>15</v>
      </c>
    </row>
    <row r="10" customFormat="false" ht="15" hidden="false" customHeight="true" outlineLevel="0" collapsed="false">
      <c r="A10" s="30" t="s">
        <v>368</v>
      </c>
      <c r="B10" s="4" t="s">
        <v>10</v>
      </c>
      <c r="C10" s="33" t="n">
        <f aca="false">SUM(E10:G10)</f>
        <v>60</v>
      </c>
      <c r="D10" s="33" t="n">
        <f aca="false">SUM(H10:S10)</f>
        <v>100</v>
      </c>
      <c r="E10" s="9" t="n">
        <f aca="false">Volume!E27*IF(Volume!E11=1,Unit_Economics!$B$8,Unit_Economics!$N$8)</f>
        <v>20</v>
      </c>
      <c r="F10" s="9" t="n">
        <f aca="false">Volume!F27*IF(Volume!F11=1,Unit_Economics!$B$8,Unit_Economics!$N$8)</f>
        <v>20</v>
      </c>
      <c r="G10" s="9" t="n">
        <f aca="false">Volume!G27*IF(Volume!G11=1,Unit_Economics!$B$8,Unit_Economics!$N$8)</f>
        <v>20</v>
      </c>
      <c r="H10" s="9" t="n">
        <f aca="false">Volume!H27*IF(Volume!H11=1,Unit_Economics!$B$8,Unit_Economics!$N$8)</f>
        <v>20</v>
      </c>
      <c r="I10" s="9" t="n">
        <f aca="false">Volume!I27*IF(Volume!I11=1,Unit_Economics!$B$8,Unit_Economics!$N$8)</f>
        <v>20</v>
      </c>
      <c r="J10" s="9" t="n">
        <f aca="false">Volume!J27*IF(Volume!J11=1,Unit_Economics!$B$8,Unit_Economics!$N$8)</f>
        <v>0</v>
      </c>
      <c r="K10" s="9" t="n">
        <f aca="false">Volume!K27*IF(Volume!K11=1,Unit_Economics!$B$8,Unit_Economics!$N$8)</f>
        <v>0</v>
      </c>
      <c r="L10" s="9" t="n">
        <f aca="false">Volume!L27*IF(Volume!L11=1,Unit_Economics!$B$8,Unit_Economics!$N$8)</f>
        <v>0</v>
      </c>
      <c r="M10" s="9" t="n">
        <f aca="false">Volume!M27*IF(Volume!M11=1,Unit_Economics!$B$8,Unit_Economics!$N$8)</f>
        <v>0</v>
      </c>
      <c r="N10" s="9" t="n">
        <f aca="false">Volume!N27*IF(Volume!N11=1,Unit_Economics!$B$8,Unit_Economics!$N$8)</f>
        <v>0</v>
      </c>
      <c r="O10" s="9" t="n">
        <f aca="false">Volume!O27*IF(Volume!O11=1,Unit_Economics!$B$8,Unit_Economics!$N$8)</f>
        <v>0</v>
      </c>
      <c r="P10" s="9" t="n">
        <f aca="false">Volume!P27*IF(Volume!P11=1,Unit_Economics!$B$8,Unit_Economics!$N$8)</f>
        <v>0</v>
      </c>
      <c r="Q10" s="9" t="n">
        <f aca="false">Volume!Q27*IF(Volume!Q11=1,Unit_Economics!$B$8,Unit_Economics!$N$8)</f>
        <v>20</v>
      </c>
      <c r="R10" s="9" t="n">
        <f aca="false">Volume!R27*IF(Volume!R11=1,Unit_Economics!$B$8,Unit_Economics!$N$8)</f>
        <v>20</v>
      </c>
      <c r="S10" s="9" t="n">
        <f aca="false">Volume!S27*IF(Volume!S11=1,Unit_Economics!$B$8,Unit_Economics!$N$8)</f>
        <v>20</v>
      </c>
    </row>
    <row r="11" customFormat="false" ht="15" hidden="false" customHeight="true" outlineLevel="0" collapsed="false">
      <c r="A11" s="30" t="s">
        <v>492</v>
      </c>
      <c r="B11" s="4" t="s">
        <v>10</v>
      </c>
      <c r="C11" s="33" t="n">
        <f aca="false">SUM(E11:G11)</f>
        <v>6</v>
      </c>
      <c r="D11" s="33" t="n">
        <f aca="false">SUM(H11:S11)</f>
        <v>23</v>
      </c>
      <c r="E11" s="9" t="n">
        <f aca="false">Volume!E28*Inputs!$C$14</f>
        <v>2</v>
      </c>
      <c r="F11" s="9" t="n">
        <f aca="false">Volume!F28*Inputs!$C$14</f>
        <v>2</v>
      </c>
      <c r="G11" s="9" t="n">
        <f aca="false">Volume!G28*Inputs!$C$14</f>
        <v>2</v>
      </c>
      <c r="H11" s="9" t="n">
        <f aca="false">Volume!H28*Inputs!$C$14</f>
        <v>3</v>
      </c>
      <c r="I11" s="9" t="n">
        <f aca="false">Volume!I28*Inputs!$C$14</f>
        <v>2</v>
      </c>
      <c r="J11" s="9" t="n">
        <f aca="false">Volume!J28*Inputs!$C$14</f>
        <v>1</v>
      </c>
      <c r="K11" s="9" t="n">
        <f aca="false">Volume!K28*Inputs!$C$14</f>
        <v>1</v>
      </c>
      <c r="L11" s="9" t="n">
        <f aca="false">Volume!L28*Inputs!$C$14</f>
        <v>0</v>
      </c>
      <c r="M11" s="9" t="n">
        <f aca="false">Volume!M28*Inputs!$C$14</f>
        <v>2</v>
      </c>
      <c r="N11" s="9" t="n">
        <f aca="false">Volume!N28*Inputs!$C$14</f>
        <v>1</v>
      </c>
      <c r="O11" s="9" t="n">
        <f aca="false">Volume!O28*Inputs!$C$14</f>
        <v>3</v>
      </c>
      <c r="P11" s="9" t="n">
        <f aca="false">Volume!P28*Inputs!$C$14</f>
        <v>4</v>
      </c>
      <c r="Q11" s="9" t="n">
        <f aca="false">Volume!Q28*Inputs!$C$14</f>
        <v>2</v>
      </c>
      <c r="R11" s="9" t="n">
        <f aca="false">Volume!R28*Inputs!$C$14</f>
        <v>2</v>
      </c>
      <c r="S11" s="9" t="n">
        <f aca="false">Volume!S28*Inputs!$C$14</f>
        <v>2</v>
      </c>
    </row>
    <row r="12" customFormat="false" ht="15" hidden="false" customHeight="true" outlineLevel="0" collapsed="false">
      <c r="A12" s="12" t="s">
        <v>493</v>
      </c>
      <c r="B12" s="4" t="s">
        <v>10</v>
      </c>
      <c r="C12" s="33" t="n">
        <f aca="false">SUM(E12:G12)</f>
        <v>466</v>
      </c>
      <c r="D12" s="33" t="n">
        <f aca="false">SUM(H12:S12)</f>
        <v>1501.5</v>
      </c>
      <c r="E12" s="34" t="n">
        <f aca="false">SUM(E6:E11)</f>
        <v>112</v>
      </c>
      <c r="F12" s="34" t="n">
        <f aca="false">SUM(F6:F11)</f>
        <v>217</v>
      </c>
      <c r="G12" s="34" t="n">
        <f aca="false">SUM(G6:G11)</f>
        <v>137</v>
      </c>
      <c r="H12" s="34" t="n">
        <f aca="false">SUM(H6:H11)</f>
        <v>38</v>
      </c>
      <c r="I12" s="34" t="n">
        <f aca="false">SUM(I6:I11)</f>
        <v>37</v>
      </c>
      <c r="J12" s="34" t="n">
        <f aca="false">SUM(J6:J11)</f>
        <v>144.5</v>
      </c>
      <c r="K12" s="34" t="n">
        <f aca="false">SUM(K6:K11)</f>
        <v>69.5</v>
      </c>
      <c r="L12" s="34" t="n">
        <f aca="false">SUM(L6:L11)</f>
        <v>143.5</v>
      </c>
      <c r="M12" s="34" t="n">
        <f aca="false">SUM(M6:M11)</f>
        <v>45.5</v>
      </c>
      <c r="N12" s="34" t="n">
        <f aca="false">SUM(N6:N11)</f>
        <v>198</v>
      </c>
      <c r="O12" s="34" t="n">
        <f aca="false">SUM(O6:O11)</f>
        <v>46.5</v>
      </c>
      <c r="P12" s="34" t="n">
        <f aca="false">SUM(P6:P11)</f>
        <v>176</v>
      </c>
      <c r="Q12" s="34" t="n">
        <f aca="false">SUM(Q6:Q11)</f>
        <v>147.5</v>
      </c>
      <c r="R12" s="34" t="n">
        <f aca="false">SUM(R6:R11)</f>
        <v>276</v>
      </c>
      <c r="S12" s="34" t="n">
        <f aca="false">SUM(S6:S11)</f>
        <v>179.5</v>
      </c>
    </row>
    <row r="13" customFormat="false" ht="15" hidden="false" customHeight="true" outlineLevel="0" collapsed="false">
      <c r="A13" s="3"/>
      <c r="B13" s="3"/>
      <c r="C13" s="3"/>
      <c r="D13" s="3"/>
      <c r="E13" s="3"/>
      <c r="F13" s="3"/>
      <c r="G13" s="3"/>
      <c r="H13" s="3"/>
      <c r="I13" s="3"/>
      <c r="J13" s="3"/>
      <c r="K13" s="3"/>
      <c r="L13" s="3"/>
      <c r="M13" s="3"/>
      <c r="N13" s="3"/>
      <c r="O13" s="3"/>
      <c r="P13" s="3"/>
      <c r="Q13" s="3"/>
      <c r="R13" s="3"/>
      <c r="S13" s="3"/>
    </row>
    <row r="14" customFormat="false" ht="15" hidden="false" customHeight="true" outlineLevel="0" collapsed="false">
      <c r="A14" s="7" t="s">
        <v>377</v>
      </c>
      <c r="B14" s="8"/>
      <c r="C14" s="8"/>
      <c r="D14" s="8"/>
      <c r="E14" s="8"/>
      <c r="F14" s="8"/>
      <c r="G14" s="8"/>
      <c r="H14" s="8"/>
      <c r="I14" s="8"/>
      <c r="J14" s="8"/>
      <c r="K14" s="8"/>
      <c r="L14" s="8"/>
      <c r="M14" s="8"/>
      <c r="N14" s="8"/>
      <c r="O14" s="8"/>
      <c r="P14" s="8"/>
      <c r="Q14" s="8"/>
      <c r="R14" s="8"/>
      <c r="S14" s="8"/>
    </row>
    <row r="15" customFormat="false" ht="15" hidden="false" customHeight="true" outlineLevel="0" collapsed="false">
      <c r="A15" s="30" t="s">
        <v>494</v>
      </c>
      <c r="B15" s="4" t="s">
        <v>10</v>
      </c>
      <c r="C15" s="33" t="n">
        <f aca="false">SUM(E15:G15)</f>
        <v>25</v>
      </c>
      <c r="D15" s="33" t="n">
        <f aca="false">SUM(H15:S15)</f>
        <v>140</v>
      </c>
      <c r="E15" s="9" t="n">
        <f aca="false">Volume!E23*IF(Volume!E11=1,Unit_Economics!$F$4,Unit_Economics!$O$4)</f>
        <v>0</v>
      </c>
      <c r="F15" s="9" t="n">
        <f aca="false">Volume!F23*IF(Volume!F11=1,Unit_Economics!$F$4,Unit_Economics!$O$4)</f>
        <v>25</v>
      </c>
      <c r="G15" s="9" t="n">
        <f aca="false">Volume!G23*IF(Volume!G11=1,Unit_Economics!$F$4,Unit_Economics!$O$4)</f>
        <v>0</v>
      </c>
      <c r="H15" s="9" t="n">
        <f aca="false">Volume!H23*IF(Volume!H11=1,Unit_Economics!$F$4,Unit_Economics!$O$4)</f>
        <v>0</v>
      </c>
      <c r="I15" s="9" t="n">
        <f aca="false">Volume!I23*IF(Volume!I11=1,Unit_Economics!$F$4,Unit_Economics!$O$4)</f>
        <v>0</v>
      </c>
      <c r="J15" s="9" t="n">
        <f aca="false">Volume!J23*IF(Volume!J11=1,Unit_Economics!$F$4,Unit_Economics!$O$4)</f>
        <v>28</v>
      </c>
      <c r="K15" s="9" t="n">
        <f aca="false">Volume!K23*IF(Volume!K11=1,Unit_Economics!$F$4,Unit_Economics!$O$4)</f>
        <v>0</v>
      </c>
      <c r="L15" s="9" t="n">
        <f aca="false">Volume!L23*IF(Volume!L11=1,Unit_Economics!$F$4,Unit_Economics!$O$4)</f>
        <v>28</v>
      </c>
      <c r="M15" s="9" t="n">
        <f aca="false">Volume!M23*IF(Volume!M11=1,Unit_Economics!$F$4,Unit_Economics!$O$4)</f>
        <v>0</v>
      </c>
      <c r="N15" s="9" t="n">
        <f aca="false">Volume!N23*IF(Volume!N11=1,Unit_Economics!$F$4,Unit_Economics!$O$4)</f>
        <v>28</v>
      </c>
      <c r="O15" s="9" t="n">
        <f aca="false">Volume!O23*IF(Volume!O11=1,Unit_Economics!$F$4,Unit_Economics!$O$4)</f>
        <v>0</v>
      </c>
      <c r="P15" s="9" t="n">
        <f aca="false">Volume!P23*IF(Volume!P11=1,Unit_Economics!$F$4,Unit_Economics!$O$4)</f>
        <v>28</v>
      </c>
      <c r="Q15" s="9" t="n">
        <f aca="false">Volume!Q23*IF(Volume!Q11=1,Unit_Economics!$F$4,Unit_Economics!$O$4)</f>
        <v>0</v>
      </c>
      <c r="R15" s="9" t="n">
        <f aca="false">Volume!R23*IF(Volume!R11=1,Unit_Economics!$F$4,Unit_Economics!$O$4)</f>
        <v>28</v>
      </c>
      <c r="S15" s="9" t="n">
        <f aca="false">Volume!S23*IF(Volume!S11=1,Unit_Economics!$F$4,Unit_Economics!$O$4)</f>
        <v>0</v>
      </c>
    </row>
    <row r="16" customFormat="false" ht="15" hidden="false" customHeight="true" outlineLevel="0" collapsed="false">
      <c r="A16" s="30" t="s">
        <v>495</v>
      </c>
      <c r="B16" s="4" t="s">
        <v>10</v>
      </c>
      <c r="C16" s="33" t="n">
        <f aca="false">SUM(E16:G16)</f>
        <v>80</v>
      </c>
      <c r="D16" s="33" t="n">
        <f aca="false">SUM(H16:S16)</f>
        <v>174.25</v>
      </c>
      <c r="E16" s="9" t="n">
        <f aca="false">Volume!E24*IF(Volume!E11=1,Unit_Economics!$F$5,Unit_Economics!$O$5)</f>
        <v>16</v>
      </c>
      <c r="F16" s="9" t="n">
        <f aca="false">Volume!F24*IF(Volume!F11=1,Unit_Economics!$F$5,Unit_Economics!$O$5)</f>
        <v>24</v>
      </c>
      <c r="G16" s="9" t="n">
        <f aca="false">Volume!G24*IF(Volume!G11=1,Unit_Economics!$F$5,Unit_Economics!$O$5)</f>
        <v>40</v>
      </c>
      <c r="H16" s="9" t="n">
        <f aca="false">Volume!H24*IF(Volume!H11=1,Unit_Economics!$F$5,Unit_Economics!$O$5)</f>
        <v>0</v>
      </c>
      <c r="I16" s="9" t="n">
        <f aca="false">Volume!I24*IF(Volume!I11=1,Unit_Economics!$F$5,Unit_Economics!$O$5)</f>
        <v>0</v>
      </c>
      <c r="J16" s="9" t="n">
        <f aca="false">Volume!J24*IF(Volume!J11=1,Unit_Economics!$F$5,Unit_Economics!$O$5)</f>
        <v>10.25</v>
      </c>
      <c r="K16" s="9" t="n">
        <f aca="false">Volume!K24*IF(Volume!K11=1,Unit_Economics!$F$5,Unit_Economics!$O$5)</f>
        <v>0</v>
      </c>
      <c r="L16" s="9" t="n">
        <f aca="false">Volume!L24*IF(Volume!L11=1,Unit_Economics!$F$5,Unit_Economics!$O$5)</f>
        <v>10.25</v>
      </c>
      <c r="M16" s="9" t="n">
        <f aca="false">Volume!M24*IF(Volume!M11=1,Unit_Economics!$F$5,Unit_Economics!$O$5)</f>
        <v>10.25</v>
      </c>
      <c r="N16" s="9" t="n">
        <f aca="false">Volume!N24*IF(Volume!N11=1,Unit_Economics!$F$5,Unit_Economics!$O$5)</f>
        <v>10.25</v>
      </c>
      <c r="O16" s="9" t="n">
        <f aca="false">Volume!O24*IF(Volume!O11=1,Unit_Economics!$F$5,Unit_Economics!$O$5)</f>
        <v>10.25</v>
      </c>
      <c r="P16" s="9" t="n">
        <f aca="false">Volume!P24*IF(Volume!P11=1,Unit_Economics!$F$5,Unit_Economics!$O$5)</f>
        <v>20.5</v>
      </c>
      <c r="Q16" s="9" t="n">
        <f aca="false">Volume!Q24*IF(Volume!Q11=1,Unit_Economics!$F$5,Unit_Economics!$O$5)</f>
        <v>20.5</v>
      </c>
      <c r="R16" s="9" t="n">
        <f aca="false">Volume!R24*IF(Volume!R11=1,Unit_Economics!$F$5,Unit_Economics!$O$5)</f>
        <v>30.75</v>
      </c>
      <c r="S16" s="9" t="n">
        <f aca="false">Volume!S24*IF(Volume!S11=1,Unit_Economics!$F$5,Unit_Economics!$O$5)</f>
        <v>51.25</v>
      </c>
    </row>
    <row r="17" customFormat="false" ht="15" hidden="false" customHeight="true" outlineLevel="0" collapsed="false">
      <c r="A17" s="30" t="s">
        <v>496</v>
      </c>
      <c r="B17" s="4" t="s">
        <v>10</v>
      </c>
      <c r="C17" s="33" t="n">
        <f aca="false">SUM(E17:G17)</f>
        <v>24</v>
      </c>
      <c r="D17" s="33" t="n">
        <f aca="false">SUM(H17:S17)</f>
        <v>60</v>
      </c>
      <c r="E17" s="9" t="n">
        <f aca="false">Volume!E25*IF(Volume!E11=1,Unit_Economics!$F$6,Unit_Economics!$O$6)</f>
        <v>12</v>
      </c>
      <c r="F17" s="9" t="n">
        <f aca="false">Volume!F25*IF(Volume!F11=1,Unit_Economics!$F$6,Unit_Economics!$O$6)</f>
        <v>12</v>
      </c>
      <c r="G17" s="9" t="n">
        <f aca="false">Volume!G25*IF(Volume!G11=1,Unit_Economics!$F$6,Unit_Economics!$O$6)</f>
        <v>0</v>
      </c>
      <c r="H17" s="9" t="n">
        <f aca="false">Volume!H25*IF(Volume!H11=1,Unit_Economics!$F$6,Unit_Economics!$O$6)</f>
        <v>0</v>
      </c>
      <c r="I17" s="9" t="n">
        <f aca="false">Volume!I25*IF(Volume!I11=1,Unit_Economics!$F$6,Unit_Economics!$O$6)</f>
        <v>0</v>
      </c>
      <c r="J17" s="9" t="n">
        <f aca="false">Volume!J25*IF(Volume!J11=1,Unit_Economics!$F$6,Unit_Economics!$O$6)</f>
        <v>0</v>
      </c>
      <c r="K17" s="9" t="n">
        <f aca="false">Volume!K25*IF(Volume!K11=1,Unit_Economics!$F$6,Unit_Economics!$O$6)</f>
        <v>15</v>
      </c>
      <c r="L17" s="9" t="n">
        <f aca="false">Volume!L25*IF(Volume!L11=1,Unit_Economics!$F$6,Unit_Economics!$O$6)</f>
        <v>0</v>
      </c>
      <c r="M17" s="9" t="n">
        <f aca="false">Volume!M25*IF(Volume!M11=1,Unit_Economics!$F$6,Unit_Economics!$O$6)</f>
        <v>0</v>
      </c>
      <c r="N17" s="9" t="n">
        <f aca="false">Volume!N25*IF(Volume!N11=1,Unit_Economics!$F$6,Unit_Economics!$O$6)</f>
        <v>15</v>
      </c>
      <c r="O17" s="9" t="n">
        <f aca="false">Volume!O25*IF(Volume!O11=1,Unit_Economics!$F$6,Unit_Economics!$O$6)</f>
        <v>0</v>
      </c>
      <c r="P17" s="9" t="n">
        <f aca="false">Volume!P25*IF(Volume!P11=1,Unit_Economics!$F$6,Unit_Economics!$O$6)</f>
        <v>0</v>
      </c>
      <c r="Q17" s="9" t="n">
        <f aca="false">Volume!Q25*IF(Volume!Q11=1,Unit_Economics!$F$6,Unit_Economics!$O$6)</f>
        <v>15</v>
      </c>
      <c r="R17" s="9" t="n">
        <f aca="false">Volume!R25*IF(Volume!R11=1,Unit_Economics!$F$6,Unit_Economics!$O$6)</f>
        <v>15</v>
      </c>
      <c r="S17" s="9" t="n">
        <f aca="false">Volume!S25*IF(Volume!S11=1,Unit_Economics!$F$6,Unit_Economics!$O$6)</f>
        <v>0</v>
      </c>
    </row>
    <row r="18" customFormat="false" ht="15" hidden="false" customHeight="true" outlineLevel="0" collapsed="false">
      <c r="A18" s="30" t="s">
        <v>491</v>
      </c>
      <c r="B18" s="4" t="s">
        <v>10</v>
      </c>
      <c r="C18" s="33" t="n">
        <f aca="false">SUM(E18:G18)</f>
        <v>15</v>
      </c>
      <c r="D18" s="33" t="n">
        <f aca="false">SUM(H18:S18)</f>
        <v>60</v>
      </c>
      <c r="E18" s="9" t="n">
        <f aca="false">Volume!E26*IF(Volume!E11=1,Unit_Economics!$F$7,Unit_Economics!$O$7)</f>
        <v>5</v>
      </c>
      <c r="F18" s="9" t="n">
        <f aca="false">Volume!F26*IF(Volume!F11=1,Unit_Economics!$F$7,Unit_Economics!$O$7)</f>
        <v>5</v>
      </c>
      <c r="G18" s="9" t="n">
        <f aca="false">Volume!G26*IF(Volume!G11=1,Unit_Economics!$F$7,Unit_Economics!$O$7)</f>
        <v>5</v>
      </c>
      <c r="H18" s="9" t="n">
        <f aca="false">Volume!H26*IF(Volume!H11=1,Unit_Economics!$F$7,Unit_Economics!$O$7)</f>
        <v>5</v>
      </c>
      <c r="I18" s="9" t="n">
        <f aca="false">Volume!I26*IF(Volume!I11=1,Unit_Economics!$F$7,Unit_Economics!$O$7)</f>
        <v>5</v>
      </c>
      <c r="J18" s="9" t="n">
        <f aca="false">Volume!J26*IF(Volume!J11=1,Unit_Economics!$F$7,Unit_Economics!$O$7)</f>
        <v>5</v>
      </c>
      <c r="K18" s="9" t="n">
        <f aca="false">Volume!K26*IF(Volume!K11=1,Unit_Economics!$F$7,Unit_Economics!$O$7)</f>
        <v>5</v>
      </c>
      <c r="L18" s="9" t="n">
        <f aca="false">Volume!L26*IF(Volume!L11=1,Unit_Economics!$F$7,Unit_Economics!$O$7)</f>
        <v>5</v>
      </c>
      <c r="M18" s="9" t="n">
        <f aca="false">Volume!M26*IF(Volume!M11=1,Unit_Economics!$F$7,Unit_Economics!$O$7)</f>
        <v>5</v>
      </c>
      <c r="N18" s="9" t="n">
        <f aca="false">Volume!N26*IF(Volume!N11=1,Unit_Economics!$F$7,Unit_Economics!$O$7)</f>
        <v>5</v>
      </c>
      <c r="O18" s="9" t="n">
        <f aca="false">Volume!O26*IF(Volume!O11=1,Unit_Economics!$F$7,Unit_Economics!$O$7)</f>
        <v>5</v>
      </c>
      <c r="P18" s="9" t="n">
        <f aca="false">Volume!P26*IF(Volume!P11=1,Unit_Economics!$F$7,Unit_Economics!$O$7)</f>
        <v>5</v>
      </c>
      <c r="Q18" s="9" t="n">
        <f aca="false">Volume!Q26*IF(Volume!Q11=1,Unit_Economics!$F$7,Unit_Economics!$O$7)</f>
        <v>5</v>
      </c>
      <c r="R18" s="9" t="n">
        <f aca="false">Volume!R26*IF(Volume!R11=1,Unit_Economics!$F$7,Unit_Economics!$O$7)</f>
        <v>5</v>
      </c>
      <c r="S18" s="9" t="n">
        <f aca="false">Volume!S26*IF(Volume!S11=1,Unit_Economics!$F$7,Unit_Economics!$O$7)</f>
        <v>5</v>
      </c>
    </row>
    <row r="19" customFormat="false" ht="15" hidden="false" customHeight="true" outlineLevel="0" collapsed="false">
      <c r="A19" s="30" t="s">
        <v>497</v>
      </c>
      <c r="B19" s="4" t="s">
        <v>10</v>
      </c>
      <c r="C19" s="33" t="n">
        <f aca="false">SUM(E19:G19)</f>
        <v>24</v>
      </c>
      <c r="D19" s="33" t="n">
        <f aca="false">SUM(H19:S19)</f>
        <v>40</v>
      </c>
      <c r="E19" s="9" t="n">
        <f aca="false">Volume!E27*IF(Volume!E11=1,Unit_Economics!$F$8,Unit_Economics!$O$8)</f>
        <v>8</v>
      </c>
      <c r="F19" s="9" t="n">
        <f aca="false">Volume!F27*IF(Volume!F11=1,Unit_Economics!$F$8,Unit_Economics!$O$8)</f>
        <v>8</v>
      </c>
      <c r="G19" s="9" t="n">
        <f aca="false">Volume!G27*IF(Volume!G11=1,Unit_Economics!$F$8,Unit_Economics!$O$8)</f>
        <v>8</v>
      </c>
      <c r="H19" s="9" t="n">
        <f aca="false">Volume!H27*IF(Volume!H11=1,Unit_Economics!$F$8,Unit_Economics!$O$8)</f>
        <v>8</v>
      </c>
      <c r="I19" s="9" t="n">
        <f aca="false">Volume!I27*IF(Volume!I11=1,Unit_Economics!$F$8,Unit_Economics!$O$8)</f>
        <v>8</v>
      </c>
      <c r="J19" s="9" t="n">
        <f aca="false">Volume!J27*IF(Volume!J11=1,Unit_Economics!$F$8,Unit_Economics!$O$8)</f>
        <v>0</v>
      </c>
      <c r="K19" s="9" t="n">
        <f aca="false">Volume!K27*IF(Volume!K11=1,Unit_Economics!$F$8,Unit_Economics!$O$8)</f>
        <v>0</v>
      </c>
      <c r="L19" s="9" t="n">
        <f aca="false">Volume!L27*IF(Volume!L11=1,Unit_Economics!$F$8,Unit_Economics!$O$8)</f>
        <v>0</v>
      </c>
      <c r="M19" s="9" t="n">
        <f aca="false">Volume!M27*IF(Volume!M11=1,Unit_Economics!$F$8,Unit_Economics!$O$8)</f>
        <v>0</v>
      </c>
      <c r="N19" s="9" t="n">
        <f aca="false">Volume!N27*IF(Volume!N11=1,Unit_Economics!$F$8,Unit_Economics!$O$8)</f>
        <v>0</v>
      </c>
      <c r="O19" s="9" t="n">
        <f aca="false">Volume!O27*IF(Volume!O11=1,Unit_Economics!$F$8,Unit_Economics!$O$8)</f>
        <v>0</v>
      </c>
      <c r="P19" s="9" t="n">
        <f aca="false">Volume!P27*IF(Volume!P11=1,Unit_Economics!$F$8,Unit_Economics!$O$8)</f>
        <v>0</v>
      </c>
      <c r="Q19" s="9" t="n">
        <f aca="false">Volume!Q27*IF(Volume!Q11=1,Unit_Economics!$F$8,Unit_Economics!$O$8)</f>
        <v>8</v>
      </c>
      <c r="R19" s="9" t="n">
        <f aca="false">Volume!R27*IF(Volume!R11=1,Unit_Economics!$F$8,Unit_Economics!$O$8)</f>
        <v>8</v>
      </c>
      <c r="S19" s="9" t="n">
        <f aca="false">Volume!S27*IF(Volume!S11=1,Unit_Economics!$F$8,Unit_Economics!$O$8)</f>
        <v>8</v>
      </c>
    </row>
    <row r="20" customFormat="false" ht="15" hidden="false" customHeight="true" outlineLevel="0" collapsed="false">
      <c r="A20" s="30" t="s">
        <v>492</v>
      </c>
      <c r="B20" s="4" t="s">
        <v>10</v>
      </c>
      <c r="C20" s="33" t="n">
        <f aca="false">SUM(E20:G20)</f>
        <v>2.4</v>
      </c>
      <c r="D20" s="33" t="n">
        <f aca="false">SUM(H20:S20)</f>
        <v>9.2</v>
      </c>
      <c r="E20" s="9" t="n">
        <f aca="false">E11*Inputs!$C$21</f>
        <v>0.8</v>
      </c>
      <c r="F20" s="9" t="n">
        <f aca="false">F11*Inputs!$C$21</f>
        <v>0.8</v>
      </c>
      <c r="G20" s="9" t="n">
        <f aca="false">G11*Inputs!$C$21</f>
        <v>0.8</v>
      </c>
      <c r="H20" s="9" t="n">
        <f aca="false">H11*Inputs!$C$21</f>
        <v>1.2</v>
      </c>
      <c r="I20" s="9" t="n">
        <f aca="false">I11*Inputs!$C$21</f>
        <v>0.8</v>
      </c>
      <c r="J20" s="9" t="n">
        <f aca="false">J11*Inputs!$C$21</f>
        <v>0.4</v>
      </c>
      <c r="K20" s="9" t="n">
        <f aca="false">K11*Inputs!$C$21</f>
        <v>0.4</v>
      </c>
      <c r="L20" s="9" t="n">
        <f aca="false">L11*Inputs!$C$21</f>
        <v>0</v>
      </c>
      <c r="M20" s="9" t="n">
        <f aca="false">M11*Inputs!$C$21</f>
        <v>0.8</v>
      </c>
      <c r="N20" s="9" t="n">
        <f aca="false">N11*Inputs!$C$21</f>
        <v>0.4</v>
      </c>
      <c r="O20" s="9" t="n">
        <f aca="false">O11*Inputs!$C$21</f>
        <v>1.2</v>
      </c>
      <c r="P20" s="9" t="n">
        <f aca="false">P11*Inputs!$C$21</f>
        <v>1.6</v>
      </c>
      <c r="Q20" s="9" t="n">
        <f aca="false">Q11*Inputs!$C$21</f>
        <v>0.8</v>
      </c>
      <c r="R20" s="9" t="n">
        <f aca="false">R11*Inputs!$C$21</f>
        <v>0.8</v>
      </c>
      <c r="S20" s="9" t="n">
        <f aca="false">S11*Inputs!$C$21</f>
        <v>0.8</v>
      </c>
    </row>
    <row r="21" customFormat="false" ht="15" hidden="false" customHeight="true" outlineLevel="0" collapsed="false">
      <c r="A21" s="12" t="s">
        <v>380</v>
      </c>
      <c r="B21" s="4" t="s">
        <v>10</v>
      </c>
      <c r="C21" s="33" t="n">
        <f aca="false">SUM(E21:G21)</f>
        <v>170.4</v>
      </c>
      <c r="D21" s="33" t="n">
        <f aca="false">SUM(H21:S21)</f>
        <v>483.45</v>
      </c>
      <c r="E21" s="34" t="n">
        <f aca="false">SUM(E15:E20)</f>
        <v>41.8</v>
      </c>
      <c r="F21" s="34" t="n">
        <f aca="false">SUM(F15:F20)</f>
        <v>74.8</v>
      </c>
      <c r="G21" s="34" t="n">
        <f aca="false">SUM(G15:G20)</f>
        <v>53.8</v>
      </c>
      <c r="H21" s="34" t="n">
        <f aca="false">SUM(H15:H20)</f>
        <v>14.2</v>
      </c>
      <c r="I21" s="34" t="n">
        <f aca="false">SUM(I15:I20)</f>
        <v>13.8</v>
      </c>
      <c r="J21" s="34" t="n">
        <f aca="false">SUM(J15:J20)</f>
        <v>43.65</v>
      </c>
      <c r="K21" s="34" t="n">
        <f aca="false">SUM(K15:K20)</f>
        <v>20.4</v>
      </c>
      <c r="L21" s="34" t="n">
        <f aca="false">SUM(L15:L20)</f>
        <v>43.25</v>
      </c>
      <c r="M21" s="34" t="n">
        <f aca="false">SUM(M15:M20)</f>
        <v>16.05</v>
      </c>
      <c r="N21" s="34" t="n">
        <f aca="false">SUM(N15:N20)</f>
        <v>58.65</v>
      </c>
      <c r="O21" s="34" t="n">
        <f aca="false">SUM(O15:O20)</f>
        <v>16.45</v>
      </c>
      <c r="P21" s="34" t="n">
        <f aca="false">SUM(P15:P20)</f>
        <v>55.1</v>
      </c>
      <c r="Q21" s="34" t="n">
        <f aca="false">SUM(Q15:Q20)</f>
        <v>49.3</v>
      </c>
      <c r="R21" s="34" t="n">
        <f aca="false">SUM(R15:R20)</f>
        <v>87.55</v>
      </c>
      <c r="S21" s="34" t="n">
        <f aca="false">SUM(S15:S20)</f>
        <v>65.05</v>
      </c>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row>
    <row r="23" customFormat="false" ht="15" hidden="false" customHeight="true" outlineLevel="0" collapsed="false">
      <c r="A23" s="12" t="s">
        <v>498</v>
      </c>
      <c r="B23" s="4" t="s">
        <v>10</v>
      </c>
      <c r="C23" s="33" t="n">
        <f aca="false">SUM(E23:G23)</f>
        <v>295.6</v>
      </c>
      <c r="D23" s="33" t="n">
        <f aca="false">SUM(H23:S23)</f>
        <v>1018.05</v>
      </c>
      <c r="E23" s="34" t="n">
        <f aca="false">E12-E21</f>
        <v>70.2</v>
      </c>
      <c r="F23" s="34" t="n">
        <f aca="false">F12-F21</f>
        <v>142.2</v>
      </c>
      <c r="G23" s="34" t="n">
        <f aca="false">G12-G21</f>
        <v>83.2</v>
      </c>
      <c r="H23" s="34" t="n">
        <f aca="false">H12-H21</f>
        <v>23.8</v>
      </c>
      <c r="I23" s="34" t="n">
        <f aca="false">I12-I21</f>
        <v>23.2</v>
      </c>
      <c r="J23" s="34" t="n">
        <f aca="false">J12-J21</f>
        <v>100.85</v>
      </c>
      <c r="K23" s="34" t="n">
        <f aca="false">K12-K21</f>
        <v>49.1</v>
      </c>
      <c r="L23" s="34" t="n">
        <f aca="false">L12-L21</f>
        <v>100.25</v>
      </c>
      <c r="M23" s="34" t="n">
        <f aca="false">M12-M21</f>
        <v>29.45</v>
      </c>
      <c r="N23" s="34" t="n">
        <f aca="false">N12-N21</f>
        <v>139.35</v>
      </c>
      <c r="O23" s="34" t="n">
        <f aca="false">O12-O21</f>
        <v>30.05</v>
      </c>
      <c r="P23" s="34" t="n">
        <f aca="false">P12-P21</f>
        <v>120.9</v>
      </c>
      <c r="Q23" s="34" t="n">
        <f aca="false">Q12-Q21</f>
        <v>98.2</v>
      </c>
      <c r="R23" s="34" t="n">
        <f aca="false">R12-R21</f>
        <v>188.45</v>
      </c>
      <c r="S23" s="34" t="n">
        <f aca="false">S12-S21</f>
        <v>114.45</v>
      </c>
    </row>
    <row r="24" customFormat="false" ht="15" hidden="false" customHeight="true" outlineLevel="0" collapsed="false">
      <c r="A24" s="30" t="s">
        <v>499</v>
      </c>
      <c r="B24" s="4" t="s">
        <v>21</v>
      </c>
      <c r="C24" s="32" t="n">
        <f aca="false">IF(C12=0,0,C23/C12)</f>
        <v>0.634334763948498</v>
      </c>
      <c r="D24" s="32" t="n">
        <f aca="false">IF(D12=0,0,D23/D12)</f>
        <v>0.678021978021978</v>
      </c>
      <c r="E24" s="10" t="n">
        <f aca="false">IF(E12=0,0,E23/E12)</f>
        <v>0.626785714285714</v>
      </c>
      <c r="F24" s="10" t="n">
        <f aca="false">IF(F12=0,0,F23/F12)</f>
        <v>0.655299539170507</v>
      </c>
      <c r="G24" s="10" t="n">
        <f aca="false">IF(G12=0,0,G23/G12)</f>
        <v>0.607299270072993</v>
      </c>
      <c r="H24" s="10" t="n">
        <f aca="false">IF(H12=0,0,H23/H12)</f>
        <v>0.626315789473684</v>
      </c>
      <c r="I24" s="10" t="n">
        <f aca="false">IF(I12=0,0,I23/I12)</f>
        <v>0.627027027027027</v>
      </c>
      <c r="J24" s="10" t="n">
        <f aca="false">IF(J12=0,0,J23/J12)</f>
        <v>0.697923875432526</v>
      </c>
      <c r="K24" s="10" t="n">
        <f aca="false">IF(K12=0,0,K23/K12)</f>
        <v>0.706474820143885</v>
      </c>
      <c r="L24" s="10" t="n">
        <f aca="false">IF(L12=0,0,L23/L12)</f>
        <v>0.698606271777004</v>
      </c>
      <c r="M24" s="10" t="n">
        <f aca="false">IF(M12=0,0,M23/M12)</f>
        <v>0.647252747252747</v>
      </c>
      <c r="N24" s="10" t="n">
        <f aca="false">IF(N12=0,0,N23/N12)</f>
        <v>0.703787878787879</v>
      </c>
      <c r="O24" s="10" t="n">
        <f aca="false">IF(O12=0,0,O23/O12)</f>
        <v>0.646236559139785</v>
      </c>
      <c r="P24" s="10" t="n">
        <f aca="false">IF(P12=0,0,P23/P12)</f>
        <v>0.686931818181818</v>
      </c>
      <c r="Q24" s="10" t="n">
        <f aca="false">IF(Q12=0,0,Q23/Q12)</f>
        <v>0.665762711864407</v>
      </c>
      <c r="R24" s="10" t="n">
        <f aca="false">IF(R12=0,0,R23/R12)</f>
        <v>0.682789855072464</v>
      </c>
      <c r="S24" s="10" t="n">
        <f aca="false">IF(S12=0,0,S23/S12)</f>
        <v>0.637604456824513</v>
      </c>
    </row>
    <row r="25" customFormat="false" ht="15" hidden="false" customHeight="true" outlineLevel="0" collapsed="false">
      <c r="A25" s="3"/>
      <c r="B25" s="3"/>
      <c r="C25" s="3"/>
      <c r="D25" s="3"/>
      <c r="E25" s="3"/>
      <c r="F25" s="3"/>
      <c r="G25" s="3"/>
      <c r="H25" s="3"/>
      <c r="I25" s="3"/>
      <c r="J25" s="3"/>
      <c r="K25" s="3"/>
      <c r="L25" s="3"/>
      <c r="M25" s="3"/>
      <c r="N25" s="3"/>
      <c r="O25" s="3"/>
      <c r="P25" s="3"/>
      <c r="Q25" s="3"/>
      <c r="R25" s="3"/>
      <c r="S25" s="3"/>
    </row>
    <row r="26" customFormat="false" ht="15" hidden="false" customHeight="true" outlineLevel="0" collapsed="false">
      <c r="A26" s="7" t="s">
        <v>500</v>
      </c>
      <c r="B26" s="8"/>
      <c r="C26" s="8"/>
      <c r="D26" s="8"/>
      <c r="E26" s="8"/>
      <c r="F26" s="8"/>
      <c r="G26" s="8"/>
      <c r="H26" s="8"/>
      <c r="I26" s="8"/>
      <c r="J26" s="8"/>
      <c r="K26" s="8"/>
      <c r="L26" s="8"/>
      <c r="M26" s="8"/>
      <c r="N26" s="8"/>
      <c r="O26" s="8"/>
      <c r="P26" s="8"/>
      <c r="Q26" s="8"/>
      <c r="R26" s="8"/>
      <c r="S26" s="8"/>
    </row>
    <row r="27" customFormat="false" ht="15" hidden="false" customHeight="true" outlineLevel="0" collapsed="false">
      <c r="A27" s="30" t="s">
        <v>501</v>
      </c>
      <c r="B27" s="4" t="s">
        <v>10</v>
      </c>
      <c r="C27" s="33" t="n">
        <f aca="false">SUM(E27:G27)</f>
        <v>62.03975</v>
      </c>
      <c r="D27" s="33" t="n">
        <f aca="false">SUM(H27:S27)</f>
        <v>248.159</v>
      </c>
      <c r="E27" s="36" t="n">
        <f aca="false">Capacity_OPEX!E22+Capacity_OPEX!E23+Capacity_OPEX!E24+Capacity_OPEX!E25</f>
        <v>20.6799166666667</v>
      </c>
      <c r="F27" s="36" t="n">
        <f aca="false">Capacity_OPEX!F22+Capacity_OPEX!F23+Capacity_OPEX!F24+Capacity_OPEX!F25</f>
        <v>20.6799166666667</v>
      </c>
      <c r="G27" s="36" t="n">
        <f aca="false">Capacity_OPEX!G22+Capacity_OPEX!G23+Capacity_OPEX!G24+Capacity_OPEX!G25</f>
        <v>20.6799166666667</v>
      </c>
      <c r="H27" s="36" t="n">
        <f aca="false">Capacity_OPEX!H22+Capacity_OPEX!H23+Capacity_OPEX!H24+Capacity_OPEX!H25</f>
        <v>20.6799166666667</v>
      </c>
      <c r="I27" s="36" t="n">
        <f aca="false">Capacity_OPEX!I22+Capacity_OPEX!I23+Capacity_OPEX!I24+Capacity_OPEX!I25</f>
        <v>20.6799166666667</v>
      </c>
      <c r="J27" s="36" t="n">
        <f aca="false">Capacity_OPEX!J22+Capacity_OPEX!J23+Capacity_OPEX!J24+Capacity_OPEX!J25</f>
        <v>20.6799166666667</v>
      </c>
      <c r="K27" s="36" t="n">
        <f aca="false">Capacity_OPEX!K22+Capacity_OPEX!K23+Capacity_OPEX!K24+Capacity_OPEX!K25</f>
        <v>20.6799166666667</v>
      </c>
      <c r="L27" s="36" t="n">
        <f aca="false">Capacity_OPEX!L22+Capacity_OPEX!L23+Capacity_OPEX!L24+Capacity_OPEX!L25</f>
        <v>20.6799166666667</v>
      </c>
      <c r="M27" s="36" t="n">
        <f aca="false">Capacity_OPEX!M22+Capacity_OPEX!M23+Capacity_OPEX!M24+Capacity_OPEX!M25</f>
        <v>20.6799166666667</v>
      </c>
      <c r="N27" s="36" t="n">
        <f aca="false">Capacity_OPEX!N22+Capacity_OPEX!N23+Capacity_OPEX!N24+Capacity_OPEX!N25</f>
        <v>20.6799166666667</v>
      </c>
      <c r="O27" s="36" t="n">
        <f aca="false">Capacity_OPEX!O22+Capacity_OPEX!O23+Capacity_OPEX!O24+Capacity_OPEX!O25</f>
        <v>20.6799166666667</v>
      </c>
      <c r="P27" s="36" t="n">
        <f aca="false">Capacity_OPEX!P22+Capacity_OPEX!P23+Capacity_OPEX!P24+Capacity_OPEX!P25</f>
        <v>20.6799166666667</v>
      </c>
      <c r="Q27" s="36" t="n">
        <f aca="false">Capacity_OPEX!Q22+Capacity_OPEX!Q23+Capacity_OPEX!Q24+Capacity_OPEX!Q25</f>
        <v>20.6799166666667</v>
      </c>
      <c r="R27" s="36" t="n">
        <f aca="false">Capacity_OPEX!R22+Capacity_OPEX!R23+Capacity_OPEX!R24+Capacity_OPEX!R25</f>
        <v>20.6799166666667</v>
      </c>
      <c r="S27" s="36" t="n">
        <f aca="false">Capacity_OPEX!S22+Capacity_OPEX!S23+Capacity_OPEX!S24+Capacity_OPEX!S25</f>
        <v>20.6799166666667</v>
      </c>
    </row>
    <row r="28" customFormat="false" ht="15" hidden="false" customHeight="true" outlineLevel="0" collapsed="false">
      <c r="A28" s="30" t="s">
        <v>482</v>
      </c>
      <c r="B28" s="4" t="s">
        <v>10</v>
      </c>
      <c r="C28" s="33" t="n">
        <f aca="false">SUM(E28:G28)</f>
        <v>0</v>
      </c>
      <c r="D28" s="33" t="n">
        <f aca="false">SUM(H28:S28)</f>
        <v>300</v>
      </c>
      <c r="E28" s="36" t="n">
        <f aca="false">Capacity_OPEX!E26</f>
        <v>0</v>
      </c>
      <c r="F28" s="36" t="n">
        <f aca="false">Capacity_OPEX!F26</f>
        <v>0</v>
      </c>
      <c r="G28" s="36" t="n">
        <f aca="false">Capacity_OPEX!G26</f>
        <v>0</v>
      </c>
      <c r="H28" s="36" t="n">
        <f aca="false">Capacity_OPEX!H26</f>
        <v>25</v>
      </c>
      <c r="I28" s="36" t="n">
        <f aca="false">Capacity_OPEX!I26</f>
        <v>25</v>
      </c>
      <c r="J28" s="36" t="n">
        <f aca="false">Capacity_OPEX!J26</f>
        <v>25</v>
      </c>
      <c r="K28" s="36" t="n">
        <f aca="false">Capacity_OPEX!K26</f>
        <v>25</v>
      </c>
      <c r="L28" s="36" t="n">
        <f aca="false">Capacity_OPEX!L26</f>
        <v>25</v>
      </c>
      <c r="M28" s="36" t="n">
        <f aca="false">Capacity_OPEX!M26</f>
        <v>25</v>
      </c>
      <c r="N28" s="36" t="n">
        <f aca="false">Capacity_OPEX!N26</f>
        <v>25</v>
      </c>
      <c r="O28" s="36" t="n">
        <f aca="false">Capacity_OPEX!O26</f>
        <v>25</v>
      </c>
      <c r="P28" s="36" t="n">
        <f aca="false">Capacity_OPEX!P26</f>
        <v>25</v>
      </c>
      <c r="Q28" s="36" t="n">
        <f aca="false">Capacity_OPEX!Q26</f>
        <v>25</v>
      </c>
      <c r="R28" s="36" t="n">
        <f aca="false">Capacity_OPEX!R26</f>
        <v>25</v>
      </c>
      <c r="S28" s="36" t="n">
        <f aca="false">Capacity_OPEX!S26</f>
        <v>25</v>
      </c>
    </row>
    <row r="29" customFormat="false" ht="15" hidden="false" customHeight="true" outlineLevel="0" collapsed="false">
      <c r="A29" s="30" t="s">
        <v>502</v>
      </c>
      <c r="B29" s="4" t="s">
        <v>10</v>
      </c>
      <c r="C29" s="33" t="n">
        <f aca="false">SUM(E29:G29)</f>
        <v>0</v>
      </c>
      <c r="D29" s="33" t="n">
        <f aca="false">SUM(H29:S29)</f>
        <v>24</v>
      </c>
      <c r="E29" s="36" t="n">
        <f aca="false">Capacity_OPEX!E27+Capacity_OPEX!E28</f>
        <v>0</v>
      </c>
      <c r="F29" s="36" t="n">
        <f aca="false">Capacity_OPEX!F27+Capacity_OPEX!F28</f>
        <v>0</v>
      </c>
      <c r="G29" s="36" t="n">
        <f aca="false">Capacity_OPEX!G27+Capacity_OPEX!G28</f>
        <v>0</v>
      </c>
      <c r="H29" s="36" t="n">
        <f aca="false">Capacity_OPEX!H27+Capacity_OPEX!H28</f>
        <v>2</v>
      </c>
      <c r="I29" s="36" t="n">
        <f aca="false">Capacity_OPEX!I27+Capacity_OPEX!I28</f>
        <v>2</v>
      </c>
      <c r="J29" s="36" t="n">
        <f aca="false">Capacity_OPEX!J27+Capacity_OPEX!J28</f>
        <v>2</v>
      </c>
      <c r="K29" s="36" t="n">
        <f aca="false">Capacity_OPEX!K27+Capacity_OPEX!K28</f>
        <v>2</v>
      </c>
      <c r="L29" s="36" t="n">
        <f aca="false">Capacity_OPEX!L27+Capacity_OPEX!L28</f>
        <v>2</v>
      </c>
      <c r="M29" s="36" t="n">
        <f aca="false">Capacity_OPEX!M27+Capacity_OPEX!M28</f>
        <v>2</v>
      </c>
      <c r="N29" s="36" t="n">
        <f aca="false">Capacity_OPEX!N27+Capacity_OPEX!N28</f>
        <v>2</v>
      </c>
      <c r="O29" s="36" t="n">
        <f aca="false">Capacity_OPEX!O27+Capacity_OPEX!O28</f>
        <v>2</v>
      </c>
      <c r="P29" s="36" t="n">
        <f aca="false">Capacity_OPEX!P27+Capacity_OPEX!P28</f>
        <v>2</v>
      </c>
      <c r="Q29" s="36" t="n">
        <f aca="false">Capacity_OPEX!Q27+Capacity_OPEX!Q28</f>
        <v>2</v>
      </c>
      <c r="R29" s="36" t="n">
        <f aca="false">Capacity_OPEX!R27+Capacity_OPEX!R28</f>
        <v>2</v>
      </c>
      <c r="S29" s="36" t="n">
        <f aca="false">Capacity_OPEX!S27+Capacity_OPEX!S28</f>
        <v>2</v>
      </c>
    </row>
    <row r="30" customFormat="false" ht="15" hidden="false" customHeight="true" outlineLevel="0" collapsed="false">
      <c r="A30" s="30" t="s">
        <v>503</v>
      </c>
      <c r="B30" s="4" t="s">
        <v>10</v>
      </c>
      <c r="C30" s="33" t="n">
        <f aca="false">SUM(E30:G30)</f>
        <v>17.5</v>
      </c>
      <c r="D30" s="33" t="n">
        <f aca="false">SUM(H30:S30)</f>
        <v>60</v>
      </c>
      <c r="E30" s="36" t="n">
        <f aca="false">Capacity_OPEX!E29+Capacity_OPEX!E30+Capacity_OPEX!E31</f>
        <v>5</v>
      </c>
      <c r="F30" s="36" t="n">
        <f aca="false">Capacity_OPEX!F29+Capacity_OPEX!F30+Capacity_OPEX!F31</f>
        <v>7.5</v>
      </c>
      <c r="G30" s="36" t="n">
        <f aca="false">Capacity_OPEX!G29+Capacity_OPEX!G30+Capacity_OPEX!G31</f>
        <v>5</v>
      </c>
      <c r="H30" s="36" t="n">
        <f aca="false">Capacity_OPEX!H29+Capacity_OPEX!H30+Capacity_OPEX!H31</f>
        <v>5</v>
      </c>
      <c r="I30" s="36" t="n">
        <f aca="false">Capacity_OPEX!I29+Capacity_OPEX!I30+Capacity_OPEX!I31</f>
        <v>5</v>
      </c>
      <c r="J30" s="36" t="n">
        <f aca="false">Capacity_OPEX!J29+Capacity_OPEX!J30+Capacity_OPEX!J31</f>
        <v>5</v>
      </c>
      <c r="K30" s="36" t="n">
        <f aca="false">Capacity_OPEX!K29+Capacity_OPEX!K30+Capacity_OPEX!K31</f>
        <v>5</v>
      </c>
      <c r="L30" s="36" t="n">
        <f aca="false">Capacity_OPEX!L29+Capacity_OPEX!L30+Capacity_OPEX!L31</f>
        <v>5</v>
      </c>
      <c r="M30" s="36" t="n">
        <f aca="false">Capacity_OPEX!M29+Capacity_OPEX!M30+Capacity_OPEX!M31</f>
        <v>5</v>
      </c>
      <c r="N30" s="36" t="n">
        <f aca="false">Capacity_OPEX!N29+Capacity_OPEX!N30+Capacity_OPEX!N31</f>
        <v>5</v>
      </c>
      <c r="O30" s="36" t="n">
        <f aca="false">Capacity_OPEX!O29+Capacity_OPEX!O30+Capacity_OPEX!O31</f>
        <v>5</v>
      </c>
      <c r="P30" s="36" t="n">
        <f aca="false">Capacity_OPEX!P29+Capacity_OPEX!P30+Capacity_OPEX!P31</f>
        <v>5</v>
      </c>
      <c r="Q30" s="36" t="n">
        <f aca="false">Capacity_OPEX!Q29+Capacity_OPEX!Q30+Capacity_OPEX!Q31</f>
        <v>5</v>
      </c>
      <c r="R30" s="36" t="n">
        <f aca="false">Capacity_OPEX!R29+Capacity_OPEX!R30+Capacity_OPEX!R31</f>
        <v>5</v>
      </c>
      <c r="S30" s="36" t="n">
        <f aca="false">Capacity_OPEX!S29+Capacity_OPEX!S30+Capacity_OPEX!S31</f>
        <v>5</v>
      </c>
    </row>
    <row r="31" customFormat="false" ht="15" hidden="false" customHeight="true" outlineLevel="0" collapsed="false">
      <c r="A31" s="12" t="s">
        <v>488</v>
      </c>
      <c r="B31" s="4" t="s">
        <v>10</v>
      </c>
      <c r="C31" s="33" t="n">
        <f aca="false">SUM(E31:G31)</f>
        <v>79.53975</v>
      </c>
      <c r="D31" s="33" t="n">
        <f aca="false">SUM(H31:S31)</f>
        <v>632.159</v>
      </c>
      <c r="E31" s="34" t="n">
        <f aca="false">SUM(E27:E30)</f>
        <v>25.6799166666667</v>
      </c>
      <c r="F31" s="34" t="n">
        <f aca="false">SUM(F27:F30)</f>
        <v>28.1799166666667</v>
      </c>
      <c r="G31" s="34" t="n">
        <f aca="false">SUM(G27:G30)</f>
        <v>25.6799166666667</v>
      </c>
      <c r="H31" s="34" t="n">
        <f aca="false">SUM(H27:H30)</f>
        <v>52.6799166666667</v>
      </c>
      <c r="I31" s="34" t="n">
        <f aca="false">SUM(I27:I30)</f>
        <v>52.6799166666667</v>
      </c>
      <c r="J31" s="34" t="n">
        <f aca="false">SUM(J27:J30)</f>
        <v>52.6799166666667</v>
      </c>
      <c r="K31" s="34" t="n">
        <f aca="false">SUM(K27:K30)</f>
        <v>52.6799166666667</v>
      </c>
      <c r="L31" s="34" t="n">
        <f aca="false">SUM(L27:L30)</f>
        <v>52.6799166666667</v>
      </c>
      <c r="M31" s="34" t="n">
        <f aca="false">SUM(M27:M30)</f>
        <v>52.6799166666667</v>
      </c>
      <c r="N31" s="34" t="n">
        <f aca="false">SUM(N27:N30)</f>
        <v>52.6799166666667</v>
      </c>
      <c r="O31" s="34" t="n">
        <f aca="false">SUM(O27:O30)</f>
        <v>52.6799166666667</v>
      </c>
      <c r="P31" s="34" t="n">
        <f aca="false">SUM(P27:P30)</f>
        <v>52.6799166666667</v>
      </c>
      <c r="Q31" s="34" t="n">
        <f aca="false">SUM(Q27:Q30)</f>
        <v>52.6799166666667</v>
      </c>
      <c r="R31" s="34" t="n">
        <f aca="false">SUM(R27:R30)</f>
        <v>52.6799166666667</v>
      </c>
      <c r="S31" s="34" t="n">
        <f aca="false">SUM(S27:S30)</f>
        <v>52.6799166666667</v>
      </c>
    </row>
    <row r="32" customFormat="false" ht="15" hidden="false" customHeight="true" outlineLevel="0" collapsed="false">
      <c r="A32" s="3"/>
      <c r="B32" s="3"/>
      <c r="C32" s="3"/>
      <c r="D32" s="3"/>
      <c r="E32" s="3"/>
      <c r="F32" s="3"/>
      <c r="G32" s="3"/>
      <c r="H32" s="3"/>
      <c r="I32" s="3"/>
      <c r="J32" s="3"/>
      <c r="K32" s="3"/>
      <c r="L32" s="3"/>
      <c r="M32" s="3"/>
      <c r="N32" s="3"/>
      <c r="O32" s="3"/>
      <c r="P32" s="3"/>
      <c r="Q32" s="3"/>
      <c r="R32" s="3"/>
      <c r="S32" s="3"/>
    </row>
    <row r="33" customFormat="false" ht="15" hidden="false" customHeight="true" outlineLevel="0" collapsed="false">
      <c r="A33" s="12" t="s">
        <v>504</v>
      </c>
      <c r="B33" s="4" t="s">
        <v>10</v>
      </c>
      <c r="C33" s="33" t="n">
        <f aca="false">SUM(E33:G33)</f>
        <v>216.06025</v>
      </c>
      <c r="D33" s="33" t="n">
        <f aca="false">SUM(H33:S33)</f>
        <v>385.891</v>
      </c>
      <c r="E33" s="34" t="n">
        <f aca="false">E23-E31</f>
        <v>44.5200833333333</v>
      </c>
      <c r="F33" s="34" t="n">
        <f aca="false">F23-F31</f>
        <v>114.020083333333</v>
      </c>
      <c r="G33" s="34" t="n">
        <f aca="false">G23-G31</f>
        <v>57.5200833333333</v>
      </c>
      <c r="H33" s="34" t="n">
        <f aca="false">H23-H31</f>
        <v>-28.8799166666667</v>
      </c>
      <c r="I33" s="34" t="n">
        <f aca="false">I23-I31</f>
        <v>-29.4799166666667</v>
      </c>
      <c r="J33" s="34" t="n">
        <f aca="false">J23-J31</f>
        <v>48.1700833333333</v>
      </c>
      <c r="K33" s="34" t="n">
        <f aca="false">K23-K31</f>
        <v>-3.57991666666667</v>
      </c>
      <c r="L33" s="34" t="n">
        <f aca="false">L23-L31</f>
        <v>47.5700833333333</v>
      </c>
      <c r="M33" s="34" t="n">
        <f aca="false">M23-M31</f>
        <v>-23.2299166666667</v>
      </c>
      <c r="N33" s="34" t="n">
        <f aca="false">N23-N31</f>
        <v>86.6700833333333</v>
      </c>
      <c r="O33" s="34" t="n">
        <f aca="false">O23-O31</f>
        <v>-22.6299166666667</v>
      </c>
      <c r="P33" s="34" t="n">
        <f aca="false">P23-P31</f>
        <v>68.2200833333333</v>
      </c>
      <c r="Q33" s="34" t="n">
        <f aca="false">Q23-Q31</f>
        <v>45.5200833333333</v>
      </c>
      <c r="R33" s="34" t="n">
        <f aca="false">R23-R31</f>
        <v>135.770083333333</v>
      </c>
      <c r="S33" s="34" t="n">
        <f aca="false">S23-S31</f>
        <v>61.7700833333333</v>
      </c>
    </row>
    <row r="34" customFormat="false" ht="15" hidden="false" customHeight="true" outlineLevel="0" collapsed="false">
      <c r="A34" s="30" t="s">
        <v>505</v>
      </c>
      <c r="B34" s="4" t="s">
        <v>10</v>
      </c>
      <c r="C34" s="33" t="n">
        <f aca="false">SUM(E34:G34)</f>
        <v>2.33</v>
      </c>
      <c r="D34" s="33" t="n">
        <f aca="false">SUM(H34:S34)</f>
        <v>7.5075</v>
      </c>
      <c r="E34" s="9" t="n">
        <f aca="false">E12*Inputs!$C$80</f>
        <v>0.56</v>
      </c>
      <c r="F34" s="9" t="n">
        <f aca="false">F12*Inputs!$C$80</f>
        <v>1.085</v>
      </c>
      <c r="G34" s="9" t="n">
        <f aca="false">G12*Inputs!$C$80</f>
        <v>0.685</v>
      </c>
      <c r="H34" s="9" t="n">
        <f aca="false">H12*Inputs!$C$80</f>
        <v>0.19</v>
      </c>
      <c r="I34" s="9" t="n">
        <f aca="false">I12*Inputs!$C$80</f>
        <v>0.185</v>
      </c>
      <c r="J34" s="9" t="n">
        <f aca="false">J12*Inputs!$C$80</f>
        <v>0.7225</v>
      </c>
      <c r="K34" s="9" t="n">
        <f aca="false">K12*Inputs!$C$80</f>
        <v>0.3475</v>
      </c>
      <c r="L34" s="9" t="n">
        <f aca="false">L12*Inputs!$C$80</f>
        <v>0.7175</v>
      </c>
      <c r="M34" s="9" t="n">
        <f aca="false">M12*Inputs!$C$80</f>
        <v>0.2275</v>
      </c>
      <c r="N34" s="9" t="n">
        <f aca="false">N12*Inputs!$C$80</f>
        <v>0.99</v>
      </c>
      <c r="O34" s="9" t="n">
        <f aca="false">O12*Inputs!$C$80</f>
        <v>0.2325</v>
      </c>
      <c r="P34" s="9" t="n">
        <f aca="false">P12*Inputs!$C$80</f>
        <v>0.88</v>
      </c>
      <c r="Q34" s="9" t="n">
        <f aca="false">Q12*Inputs!$C$80</f>
        <v>0.7375</v>
      </c>
      <c r="R34" s="9" t="n">
        <f aca="false">R12*Inputs!$C$80</f>
        <v>1.38</v>
      </c>
      <c r="S34" s="9" t="n">
        <f aca="false">S12*Inputs!$C$80</f>
        <v>0.8975</v>
      </c>
    </row>
    <row r="35" customFormat="false" ht="15" hidden="false" customHeight="true" outlineLevel="0" collapsed="false">
      <c r="A35" s="12" t="s">
        <v>506</v>
      </c>
      <c r="B35" s="4" t="s">
        <v>10</v>
      </c>
      <c r="C35" s="33" t="n">
        <f aca="false">SUM(E35:G35)</f>
        <v>213.73025</v>
      </c>
      <c r="D35" s="33" t="n">
        <f aca="false">SUM(H35:S35)</f>
        <v>378.3835</v>
      </c>
      <c r="E35" s="34" t="n">
        <f aca="false">E33-E34</f>
        <v>43.9600833333333</v>
      </c>
      <c r="F35" s="34" t="n">
        <f aca="false">F33-F34</f>
        <v>112.935083333333</v>
      </c>
      <c r="G35" s="34" t="n">
        <f aca="false">G33-G34</f>
        <v>56.8350833333333</v>
      </c>
      <c r="H35" s="34" t="n">
        <f aca="false">H33-H34</f>
        <v>-29.0699166666667</v>
      </c>
      <c r="I35" s="34" t="n">
        <f aca="false">I33-I34</f>
        <v>-29.6649166666667</v>
      </c>
      <c r="J35" s="34" t="n">
        <f aca="false">J33-J34</f>
        <v>47.4475833333333</v>
      </c>
      <c r="K35" s="34" t="n">
        <f aca="false">K33-K34</f>
        <v>-3.92741666666667</v>
      </c>
      <c r="L35" s="34" t="n">
        <f aca="false">L33-L34</f>
        <v>46.8525833333333</v>
      </c>
      <c r="M35" s="34" t="n">
        <f aca="false">M33-M34</f>
        <v>-23.4574166666667</v>
      </c>
      <c r="N35" s="34" t="n">
        <f aca="false">N33-N34</f>
        <v>85.6800833333333</v>
      </c>
      <c r="O35" s="34" t="n">
        <f aca="false">O33-O34</f>
        <v>-22.8624166666667</v>
      </c>
      <c r="P35" s="34" t="n">
        <f aca="false">P33-P34</f>
        <v>67.3400833333333</v>
      </c>
      <c r="Q35" s="34" t="n">
        <f aca="false">Q33-Q34</f>
        <v>44.7825833333333</v>
      </c>
      <c r="R35" s="34" t="n">
        <f aca="false">R33-R34</f>
        <v>134.390083333333</v>
      </c>
      <c r="S35" s="34" t="n">
        <f aca="false">S33-S34</f>
        <v>60.8725833333333</v>
      </c>
    </row>
    <row r="36" customFormat="false" ht="15" hidden="false" customHeight="true" outlineLevel="0" collapsed="false">
      <c r="A36" s="30" t="s">
        <v>507</v>
      </c>
      <c r="B36" s="4" t="s">
        <v>21</v>
      </c>
      <c r="C36" s="32" t="n">
        <f aca="false">IF(C12=0,0,C35/C12)</f>
        <v>0.458648605150215</v>
      </c>
      <c r="D36" s="32" t="n">
        <f aca="false">IF(D12=0,0,D35/D12)</f>
        <v>0.252003663003663</v>
      </c>
      <c r="E36" s="10" t="n">
        <f aca="false">IF(E12=0,0,E35/E12)</f>
        <v>0.392500744047619</v>
      </c>
      <c r="F36" s="10" t="n">
        <f aca="false">IF(F12=0,0,F35/F12)</f>
        <v>0.520438172043011</v>
      </c>
      <c r="G36" s="10" t="n">
        <f aca="false">IF(G12=0,0,G35/G12)</f>
        <v>0.414854622871046</v>
      </c>
      <c r="H36" s="10" t="n">
        <f aca="false">IF(H12=0,0,H35/H12)</f>
        <v>-0.764997807017544</v>
      </c>
      <c r="I36" s="10" t="n">
        <f aca="false">IF(I12=0,0,I35/I12)</f>
        <v>-0.801754504504505</v>
      </c>
      <c r="J36" s="10" t="n">
        <f aca="false">IF(J12=0,0,J35/J12)</f>
        <v>0.328356978085352</v>
      </c>
      <c r="K36" s="10" t="n">
        <f aca="false">IF(K12=0,0,K35/K12)</f>
        <v>-0.0565095923261391</v>
      </c>
      <c r="L36" s="10" t="n">
        <f aca="false">IF(L12=0,0,L35/L12)</f>
        <v>0.326498838559814</v>
      </c>
      <c r="M36" s="10" t="n">
        <f aca="false">IF(M12=0,0,M35/M12)</f>
        <v>-0.515547619047619</v>
      </c>
      <c r="N36" s="10" t="n">
        <f aca="false">IF(N12=0,0,N35/N12)</f>
        <v>0.432727693602694</v>
      </c>
      <c r="O36" s="10" t="n">
        <f aca="false">IF(O12=0,0,O35/O12)</f>
        <v>-0.491664874551971</v>
      </c>
      <c r="P36" s="10" t="n">
        <f aca="false">IF(P12=0,0,P35/P12)</f>
        <v>0.382614109848485</v>
      </c>
      <c r="Q36" s="10" t="n">
        <f aca="false">IF(Q12=0,0,Q35/Q12)</f>
        <v>0.303610734463277</v>
      </c>
      <c r="R36" s="10" t="n">
        <f aca="false">IF(R12=0,0,R35/R12)</f>
        <v>0.48692059178744</v>
      </c>
      <c r="S36" s="10" t="n">
        <f aca="false">IF(S12=0,0,S35/S12)</f>
        <v>0.339123026926648</v>
      </c>
    </row>
    <row r="37" customFormat="false" ht="15" hidden="false" customHeight="true" outlineLevel="0" collapsed="false">
      <c r="A37" s="30" t="s">
        <v>508</v>
      </c>
      <c r="B37" s="4" t="s">
        <v>10</v>
      </c>
      <c r="C37" s="33" t="n">
        <f aca="false">SUM(E37:G37)</f>
        <v>213.73025</v>
      </c>
      <c r="D37" s="33" t="n">
        <f aca="false">SUM(H37:S37)</f>
        <v>678.3835</v>
      </c>
      <c r="E37" s="9" t="n">
        <f aca="false">E35+E28</f>
        <v>43.9600833333333</v>
      </c>
      <c r="F37" s="9" t="n">
        <f aca="false">F35+F28</f>
        <v>112.935083333333</v>
      </c>
      <c r="G37" s="9" t="n">
        <f aca="false">G35+G28</f>
        <v>56.8350833333333</v>
      </c>
      <c r="H37" s="9" t="n">
        <f aca="false">H35+H28</f>
        <v>-4.06991666666667</v>
      </c>
      <c r="I37" s="9" t="n">
        <f aca="false">I35+I28</f>
        <v>-4.66491666666667</v>
      </c>
      <c r="J37" s="9" t="n">
        <f aca="false">J35+J28</f>
        <v>72.4475833333333</v>
      </c>
      <c r="K37" s="9" t="n">
        <f aca="false">K35+K28</f>
        <v>21.0725833333333</v>
      </c>
      <c r="L37" s="9" t="n">
        <f aca="false">L35+L28</f>
        <v>71.8525833333333</v>
      </c>
      <c r="M37" s="9" t="n">
        <f aca="false">M35+M28</f>
        <v>1.54258333333333</v>
      </c>
      <c r="N37" s="9" t="n">
        <f aca="false">N35+N28</f>
        <v>110.680083333333</v>
      </c>
      <c r="O37" s="9" t="n">
        <f aca="false">O35+O28</f>
        <v>2.13758333333333</v>
      </c>
      <c r="P37" s="9" t="n">
        <f aca="false">P35+P28</f>
        <v>92.3400833333333</v>
      </c>
      <c r="Q37" s="9" t="n">
        <f aca="false">Q35+Q28</f>
        <v>69.7825833333333</v>
      </c>
      <c r="R37" s="9" t="n">
        <f aca="false">R35+R28</f>
        <v>159.390083333333</v>
      </c>
      <c r="S37" s="9" t="n">
        <f aca="false">S35+S28</f>
        <v>85.8725833333333</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row>
    <row r="39" customFormat="false" ht="15" hidden="false" customHeight="true" outlineLevel="0" collapsed="false">
      <c r="A39" s="7" t="s">
        <v>509</v>
      </c>
      <c r="B39" s="8"/>
      <c r="C39" s="8"/>
      <c r="D39" s="8"/>
      <c r="E39" s="8"/>
      <c r="F39" s="8"/>
      <c r="G39" s="8"/>
      <c r="H39" s="8"/>
      <c r="I39" s="8"/>
      <c r="J39" s="8"/>
      <c r="K39" s="8"/>
      <c r="L39" s="8"/>
      <c r="M39" s="8"/>
      <c r="N39" s="8"/>
      <c r="O39" s="8"/>
      <c r="P39" s="8"/>
      <c r="Q39" s="8"/>
      <c r="R39" s="8"/>
      <c r="S39" s="8"/>
    </row>
    <row r="40" customFormat="false" ht="15" hidden="false" customHeight="true" outlineLevel="0" collapsed="false">
      <c r="A40" s="30" t="s">
        <v>510</v>
      </c>
      <c r="B40" s="4" t="s">
        <v>10</v>
      </c>
      <c r="C40" s="33" t="n">
        <f aca="false">SUM(E40:G40)</f>
        <v>255</v>
      </c>
      <c r="D40" s="33" t="n">
        <f aca="false">SUM(H40:S40)</f>
        <v>911.825</v>
      </c>
      <c r="E40" s="9" t="n">
        <f aca="false">E6+E7*Inputs!$C$83</f>
        <v>34</v>
      </c>
      <c r="F40" s="9" t="n">
        <f aca="false">F6+F7*Inputs!$C$83</f>
        <v>136</v>
      </c>
      <c r="G40" s="9" t="n">
        <f aca="false">G6+G7*Inputs!$C$83</f>
        <v>85</v>
      </c>
      <c r="H40" s="9" t="n">
        <f aca="false">H6+H7*Inputs!$C$83</f>
        <v>0</v>
      </c>
      <c r="I40" s="9" t="n">
        <f aca="false">I6+I7*Inputs!$C$83</f>
        <v>0</v>
      </c>
      <c r="J40" s="9" t="n">
        <f aca="false">J6+J7*Inputs!$C$83</f>
        <v>124.225</v>
      </c>
      <c r="K40" s="9" t="n">
        <f aca="false">K6+K7*Inputs!$C$83</f>
        <v>0</v>
      </c>
      <c r="L40" s="9" t="n">
        <f aca="false">L6+L7*Inputs!$C$83</f>
        <v>124.225</v>
      </c>
      <c r="M40" s="9" t="n">
        <f aca="false">M6+M7*Inputs!$C$83</f>
        <v>24.225</v>
      </c>
      <c r="N40" s="9" t="n">
        <f aca="false">N6+N7*Inputs!$C$83</f>
        <v>124.225</v>
      </c>
      <c r="O40" s="9" t="n">
        <f aca="false">O6+O7*Inputs!$C$83</f>
        <v>24.225</v>
      </c>
      <c r="P40" s="9" t="n">
        <f aca="false">P6+P7*Inputs!$C$83</f>
        <v>148.45</v>
      </c>
      <c r="Q40" s="9" t="n">
        <f aca="false">Q6+Q7*Inputs!$C$83</f>
        <v>48.45</v>
      </c>
      <c r="R40" s="9" t="n">
        <f aca="false">R6+R7*Inputs!$C$83</f>
        <v>172.675</v>
      </c>
      <c r="S40" s="9" t="n">
        <f aca="false">S6+S7*Inputs!$C$83</f>
        <v>121.125</v>
      </c>
    </row>
    <row r="41" customFormat="false" ht="15" hidden="false" customHeight="true" outlineLevel="0" collapsed="false">
      <c r="A41" s="30" t="s">
        <v>511</v>
      </c>
      <c r="B41" s="4" t="s">
        <v>21</v>
      </c>
      <c r="C41" s="32" t="n">
        <f aca="false">IF(C12=0,0,C40/C12)</f>
        <v>0.547210300429185</v>
      </c>
      <c r="D41" s="32" t="n">
        <f aca="false">IF(D12=0,0,D40/D12)</f>
        <v>0.607276057276057</v>
      </c>
      <c r="E41" s="10" t="n">
        <f aca="false">IF(E12=0,0,E40/E12)</f>
        <v>0.303571428571429</v>
      </c>
      <c r="F41" s="10" t="n">
        <f aca="false">IF(F12=0,0,F40/F12)</f>
        <v>0.626728110599078</v>
      </c>
      <c r="G41" s="10" t="n">
        <f aca="false">IF(G12=0,0,G40/G12)</f>
        <v>0.62043795620438</v>
      </c>
      <c r="H41" s="10" t="n">
        <f aca="false">IF(H12=0,0,H40/H12)</f>
        <v>0</v>
      </c>
      <c r="I41" s="10" t="n">
        <f aca="false">IF(I12=0,0,I40/I12)</f>
        <v>0</v>
      </c>
      <c r="J41" s="10" t="n">
        <f aca="false">IF(J12=0,0,J40/J12)</f>
        <v>0.859688581314879</v>
      </c>
      <c r="K41" s="10" t="n">
        <f aca="false">IF(K12=0,0,K40/K12)</f>
        <v>0</v>
      </c>
      <c r="L41" s="10" t="n">
        <f aca="false">IF(L12=0,0,L40/L12)</f>
        <v>0.865679442508711</v>
      </c>
      <c r="M41" s="10" t="n">
        <f aca="false">IF(M12=0,0,M40/M12)</f>
        <v>0.532417582417582</v>
      </c>
      <c r="N41" s="10" t="n">
        <f aca="false">IF(N12=0,0,N40/N12)</f>
        <v>0.62739898989899</v>
      </c>
      <c r="O41" s="10" t="n">
        <f aca="false">IF(O12=0,0,O40/O12)</f>
        <v>0.520967741935484</v>
      </c>
      <c r="P41" s="10" t="n">
        <f aca="false">IF(P12=0,0,P40/P12)</f>
        <v>0.843465909090909</v>
      </c>
      <c r="Q41" s="10" t="n">
        <f aca="false">IF(Q12=0,0,Q40/Q12)</f>
        <v>0.328474576271186</v>
      </c>
      <c r="R41" s="10" t="n">
        <f aca="false">IF(R12=0,0,R40/R12)</f>
        <v>0.625634057971015</v>
      </c>
      <c r="S41" s="10" t="n">
        <f aca="false">IF(S12=0,0,S40/S12)</f>
        <v>0.674791086350975</v>
      </c>
    </row>
    <row r="42" customFormat="false" ht="15" hidden="false" customHeight="true" outlineLevel="0" collapsed="false">
      <c r="A42" s="30" t="s">
        <v>512</v>
      </c>
      <c r="B42" s="4" t="s">
        <v>10</v>
      </c>
      <c r="C42" s="33" t="n">
        <f aca="false">SUM(E42:G42)</f>
        <v>400</v>
      </c>
      <c r="D42" s="33" t="n">
        <f aca="false">SUM(H42:S42)</f>
        <v>1378.5</v>
      </c>
      <c r="E42" s="9" t="n">
        <f aca="false">SUM(E6:E9)</f>
        <v>90</v>
      </c>
      <c r="F42" s="9" t="n">
        <f aca="false">SUM(F6:F9)</f>
        <v>195</v>
      </c>
      <c r="G42" s="9" t="n">
        <f aca="false">SUM(G6:G9)</f>
        <v>115</v>
      </c>
      <c r="H42" s="9" t="n">
        <f aca="false">SUM(H6:H9)</f>
        <v>15</v>
      </c>
      <c r="I42" s="9" t="n">
        <f aca="false">SUM(I6:I9)</f>
        <v>15</v>
      </c>
      <c r="J42" s="9" t="n">
        <f aca="false">SUM(J6:J9)</f>
        <v>143.5</v>
      </c>
      <c r="K42" s="9" t="n">
        <f aca="false">SUM(K6:K9)</f>
        <v>68.5</v>
      </c>
      <c r="L42" s="9" t="n">
        <f aca="false">SUM(L6:L9)</f>
        <v>143.5</v>
      </c>
      <c r="M42" s="9" t="n">
        <f aca="false">SUM(M6:M9)</f>
        <v>43.5</v>
      </c>
      <c r="N42" s="9" t="n">
        <f aca="false">SUM(N6:N9)</f>
        <v>197</v>
      </c>
      <c r="O42" s="9" t="n">
        <f aca="false">SUM(O6:O9)</f>
        <v>43.5</v>
      </c>
      <c r="P42" s="9" t="n">
        <f aca="false">SUM(P6:P9)</f>
        <v>172</v>
      </c>
      <c r="Q42" s="9" t="n">
        <f aca="false">SUM(Q6:Q9)</f>
        <v>125.5</v>
      </c>
      <c r="R42" s="9" t="n">
        <f aca="false">SUM(R6:R9)</f>
        <v>254</v>
      </c>
      <c r="S42" s="9" t="n">
        <f aca="false">SUM(S6:S9)</f>
        <v>157.5</v>
      </c>
    </row>
    <row r="43" customFormat="false" ht="15" hidden="false" customHeight="true" outlineLevel="0" collapsed="false">
      <c r="A43" s="30" t="s">
        <v>513</v>
      </c>
      <c r="B43" s="4" t="s">
        <v>10</v>
      </c>
      <c r="C43" s="33" t="n">
        <f aca="false">SUM(E43:G43)</f>
        <v>42.75</v>
      </c>
      <c r="D43" s="33" t="n">
        <f aca="false">SUM(H43:S43)</f>
        <v>84</v>
      </c>
      <c r="E43" s="9" t="n">
        <f aca="false">(Volume!E23*Inputs!$C$63+Volume!E24*Inputs!$C$64+Volume!E25*Inputs!$C$65+Volume!E27*Inputs!$C$66)*Inputs!$C$62</f>
        <v>11.25</v>
      </c>
      <c r="F43" s="9" t="n">
        <f aca="false">(Volume!F23*Inputs!$C$63+Volume!F24*Inputs!$C$64+Volume!F25*Inputs!$C$65+Volume!F27*Inputs!$C$66)*Inputs!$C$62</f>
        <v>16.5</v>
      </c>
      <c r="G43" s="9" t="n">
        <f aca="false">(Volume!G23*Inputs!$C$63+Volume!G24*Inputs!$C$64+Volume!G25*Inputs!$C$65+Volume!G27*Inputs!$C$66)*Inputs!$C$62</f>
        <v>15</v>
      </c>
      <c r="H43" s="9" t="n">
        <f aca="false">(Volume!H23*Inputs!$C$63+Volume!H24*Inputs!$C$64+Volume!H25*Inputs!$C$65+Volume!H27*Inputs!$C$66)*Inputs!$C$62</f>
        <v>3.75</v>
      </c>
      <c r="I43" s="9" t="n">
        <f aca="false">(Volume!I23*Inputs!$C$63+Volume!I24*Inputs!$C$64+Volume!I25*Inputs!$C$65+Volume!I27*Inputs!$C$66)*Inputs!$C$62</f>
        <v>3.75</v>
      </c>
      <c r="J43" s="9" t="n">
        <f aca="false">(Volume!J23*Inputs!$C$63+Volume!J24*Inputs!$C$64+Volume!J25*Inputs!$C$65+Volume!J27*Inputs!$C$66)*Inputs!$C$62</f>
        <v>5.25</v>
      </c>
      <c r="K43" s="9" t="n">
        <f aca="false">(Volume!K23*Inputs!$C$63+Volume!K24*Inputs!$C$64+Volume!K25*Inputs!$C$65+Volume!K27*Inputs!$C$66)*Inputs!$C$62</f>
        <v>3</v>
      </c>
      <c r="L43" s="9" t="n">
        <f aca="false">(Volume!L23*Inputs!$C$63+Volume!L24*Inputs!$C$64+Volume!L25*Inputs!$C$65+Volume!L27*Inputs!$C$66)*Inputs!$C$62</f>
        <v>5.25</v>
      </c>
      <c r="M43" s="9" t="n">
        <f aca="false">(Volume!M23*Inputs!$C$63+Volume!M24*Inputs!$C$64+Volume!M25*Inputs!$C$65+Volume!M27*Inputs!$C$66)*Inputs!$C$62</f>
        <v>2.25</v>
      </c>
      <c r="N43" s="9" t="n">
        <f aca="false">(Volume!N23*Inputs!$C$63+Volume!N24*Inputs!$C$64+Volume!N25*Inputs!$C$65+Volume!N27*Inputs!$C$66)*Inputs!$C$62</f>
        <v>8.25</v>
      </c>
      <c r="O43" s="9" t="n">
        <f aca="false">(Volume!O23*Inputs!$C$63+Volume!O24*Inputs!$C$64+Volume!O25*Inputs!$C$65+Volume!O27*Inputs!$C$66)*Inputs!$C$62</f>
        <v>2.25</v>
      </c>
      <c r="P43" s="9" t="n">
        <f aca="false">(Volume!P23*Inputs!$C$63+Volume!P24*Inputs!$C$64+Volume!P25*Inputs!$C$65+Volume!P27*Inputs!$C$66)*Inputs!$C$62</f>
        <v>7.5</v>
      </c>
      <c r="Q43" s="9" t="n">
        <f aca="false">(Volume!Q23*Inputs!$C$63+Volume!Q24*Inputs!$C$64+Volume!Q25*Inputs!$C$65+Volume!Q27*Inputs!$C$66)*Inputs!$C$62</f>
        <v>11.25</v>
      </c>
      <c r="R43" s="9" t="n">
        <f aca="false">(Volume!R23*Inputs!$C$63+Volume!R24*Inputs!$C$64+Volume!R25*Inputs!$C$65+Volume!R27*Inputs!$C$66)*Inputs!$C$62</f>
        <v>16.5</v>
      </c>
      <c r="S43" s="9" t="n">
        <f aca="false">(Volume!S23*Inputs!$C$63+Volume!S24*Inputs!$C$64+Volume!S25*Inputs!$C$65+Volume!S27*Inputs!$C$66)*Inputs!$C$62</f>
        <v>15</v>
      </c>
    </row>
    <row r="44" customFormat="false" ht="15" hidden="false" customHeight="true" outlineLevel="0" collapsed="false">
      <c r="A44" s="30" t="s">
        <v>514</v>
      </c>
      <c r="B44" s="4" t="s">
        <v>10</v>
      </c>
      <c r="C44" s="33" t="n">
        <f aca="false">SUM(E44:G44)</f>
        <v>1.8</v>
      </c>
      <c r="D44" s="33" t="n">
        <f aca="false">SUM(H44:S44)</f>
        <v>7.15</v>
      </c>
      <c r="E44" s="9" t="n">
        <f aca="false">(Volume!E28+Volume!E26*Inputs!$C$68)*Inputs!$C$67</f>
        <v>0.6</v>
      </c>
      <c r="F44" s="9" t="n">
        <f aca="false">(Volume!F28+Volume!F26*Inputs!$C$68)*Inputs!$C$67</f>
        <v>0.6</v>
      </c>
      <c r="G44" s="9" t="n">
        <f aca="false">(Volume!G28+Volume!G26*Inputs!$C$68)*Inputs!$C$67</f>
        <v>0.6</v>
      </c>
      <c r="H44" s="9" t="n">
        <f aca="false">(Volume!H28+Volume!H26*Inputs!$C$68)*Inputs!$C$67</f>
        <v>0.65</v>
      </c>
      <c r="I44" s="9" t="n">
        <f aca="false">(Volume!I28+Volume!I26*Inputs!$C$68)*Inputs!$C$67</f>
        <v>0.6</v>
      </c>
      <c r="J44" s="9" t="n">
        <f aca="false">(Volume!J28+Volume!J26*Inputs!$C$68)*Inputs!$C$67</f>
        <v>0.55</v>
      </c>
      <c r="K44" s="9" t="n">
        <f aca="false">(Volume!K28+Volume!K26*Inputs!$C$68)*Inputs!$C$67</f>
        <v>0.55</v>
      </c>
      <c r="L44" s="9" t="n">
        <f aca="false">(Volume!L28+Volume!L26*Inputs!$C$68)*Inputs!$C$67</f>
        <v>0.5</v>
      </c>
      <c r="M44" s="9" t="n">
        <f aca="false">(Volume!M28+Volume!M26*Inputs!$C$68)*Inputs!$C$67</f>
        <v>0.6</v>
      </c>
      <c r="N44" s="9" t="n">
        <f aca="false">(Volume!N28+Volume!N26*Inputs!$C$68)*Inputs!$C$67</f>
        <v>0.55</v>
      </c>
      <c r="O44" s="9" t="n">
        <f aca="false">(Volume!O28+Volume!O26*Inputs!$C$68)*Inputs!$C$67</f>
        <v>0.65</v>
      </c>
      <c r="P44" s="9" t="n">
        <f aca="false">(Volume!P28+Volume!P26*Inputs!$C$68)*Inputs!$C$67</f>
        <v>0.7</v>
      </c>
      <c r="Q44" s="9" t="n">
        <f aca="false">(Volume!Q28+Volume!Q26*Inputs!$C$68)*Inputs!$C$67</f>
        <v>0.6</v>
      </c>
      <c r="R44" s="9" t="n">
        <f aca="false">(Volume!R28+Volume!R26*Inputs!$C$68)*Inputs!$C$67</f>
        <v>0.6</v>
      </c>
      <c r="S44" s="9" t="n">
        <f aca="false">(Volume!S28+Volume!S26*Inputs!$C$68)*Inputs!$C$67</f>
        <v>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19" min="3" style="1" width="10.51"/>
  </cols>
  <sheetData>
    <row r="1" customFormat="false" ht="17.25" hidden="false" customHeight="true" outlineLevel="0" collapsed="false">
      <c r="A1" s="2" t="s">
        <v>515</v>
      </c>
      <c r="B1" s="3"/>
      <c r="C1" s="3"/>
      <c r="D1" s="3"/>
      <c r="E1" s="3"/>
      <c r="F1" s="3"/>
      <c r="G1" s="3"/>
      <c r="H1" s="3"/>
      <c r="I1" s="3"/>
      <c r="J1" s="3"/>
      <c r="K1" s="3"/>
      <c r="L1" s="3"/>
      <c r="M1" s="3"/>
      <c r="N1" s="3"/>
      <c r="O1" s="3"/>
      <c r="P1" s="3"/>
      <c r="Q1" s="3"/>
      <c r="R1" s="3"/>
      <c r="S1" s="3"/>
    </row>
    <row r="2" customFormat="false" ht="15" hidden="false" customHeight="true" outlineLevel="0" collapsed="false">
      <c r="A2" s="4" t="s">
        <v>336</v>
      </c>
      <c r="B2" s="3"/>
      <c r="C2" s="3"/>
      <c r="D2" s="3"/>
      <c r="E2" s="3"/>
      <c r="F2" s="3"/>
      <c r="G2" s="3"/>
      <c r="H2" s="3"/>
      <c r="I2" s="3"/>
      <c r="J2" s="3"/>
      <c r="K2" s="3"/>
      <c r="L2" s="3"/>
      <c r="M2" s="3"/>
      <c r="N2" s="3"/>
      <c r="O2" s="3"/>
      <c r="P2" s="3"/>
      <c r="Q2" s="3"/>
      <c r="R2" s="3"/>
      <c r="S2" s="3"/>
    </row>
    <row r="3" customFormat="false" ht="15" hidden="false" customHeight="true" outlineLevel="0" collapsed="false">
      <c r="A3" s="3"/>
      <c r="B3" s="3"/>
      <c r="C3" s="3"/>
      <c r="D3" s="3"/>
      <c r="E3" s="3"/>
      <c r="F3" s="3"/>
      <c r="G3" s="3"/>
      <c r="H3" s="3"/>
      <c r="I3" s="3"/>
      <c r="J3" s="3"/>
      <c r="K3" s="3"/>
      <c r="L3" s="3"/>
      <c r="M3" s="3"/>
      <c r="N3" s="3"/>
      <c r="O3" s="3"/>
      <c r="P3" s="3"/>
      <c r="Q3" s="3"/>
      <c r="R3" s="3"/>
      <c r="S3" s="3"/>
    </row>
    <row r="4" customFormat="false" ht="15" hidden="false" customHeight="true" outlineLevel="0" collapsed="false">
      <c r="A4" s="29" t="s">
        <v>337</v>
      </c>
      <c r="B4" s="29" t="s">
        <v>6</v>
      </c>
      <c r="C4" s="29" t="s">
        <v>338</v>
      </c>
      <c r="D4" s="29" t="s">
        <v>339</v>
      </c>
      <c r="E4" s="29" t="s">
        <v>66</v>
      </c>
      <c r="F4" s="29" t="s">
        <v>340</v>
      </c>
      <c r="G4" s="29" t="s">
        <v>341</v>
      </c>
      <c r="H4" s="29" t="s">
        <v>201</v>
      </c>
      <c r="I4" s="29" t="s">
        <v>342</v>
      </c>
      <c r="J4" s="29" t="s">
        <v>343</v>
      </c>
      <c r="K4" s="29" t="s">
        <v>344</v>
      </c>
      <c r="L4" s="29" t="s">
        <v>345</v>
      </c>
      <c r="M4" s="29" t="s">
        <v>346</v>
      </c>
      <c r="N4" s="29" t="s">
        <v>67</v>
      </c>
      <c r="O4" s="29" t="s">
        <v>347</v>
      </c>
      <c r="P4" s="29" t="s">
        <v>348</v>
      </c>
      <c r="Q4" s="29" t="s">
        <v>349</v>
      </c>
      <c r="R4" s="29" t="s">
        <v>350</v>
      </c>
      <c r="S4" s="29" t="s">
        <v>351</v>
      </c>
    </row>
    <row r="5" customFormat="false" ht="15" hidden="false" customHeight="true" outlineLevel="0" collapsed="false">
      <c r="A5" s="7" t="s">
        <v>516</v>
      </c>
      <c r="B5" s="8"/>
      <c r="C5" s="8"/>
      <c r="D5" s="8"/>
      <c r="E5" s="8"/>
      <c r="F5" s="8"/>
      <c r="G5" s="8"/>
      <c r="H5" s="8"/>
      <c r="I5" s="8"/>
      <c r="J5" s="8"/>
      <c r="K5" s="8"/>
      <c r="L5" s="8"/>
      <c r="M5" s="8"/>
      <c r="N5" s="8"/>
      <c r="O5" s="8"/>
      <c r="P5" s="8"/>
      <c r="Q5" s="8"/>
      <c r="R5" s="8"/>
      <c r="S5" s="8"/>
    </row>
    <row r="6" customFormat="false" ht="15" hidden="false" customHeight="true" outlineLevel="0" collapsed="false">
      <c r="A6" s="30" t="s">
        <v>517</v>
      </c>
      <c r="B6" s="4" t="s">
        <v>10</v>
      </c>
      <c r="C6" s="33" t="n">
        <f aca="false">SUM(E6:G6)</f>
        <v>66</v>
      </c>
      <c r="D6" s="33" t="n">
        <f aca="false">SUM(H6:S6)</f>
        <v>123</v>
      </c>
      <c r="E6" s="9" t="n">
        <f aca="false">PnL!E10+PnL!E11</f>
        <v>22</v>
      </c>
      <c r="F6" s="9" t="n">
        <f aca="false">PnL!F10+PnL!F11</f>
        <v>22</v>
      </c>
      <c r="G6" s="9" t="n">
        <f aca="false">PnL!G10+PnL!G11</f>
        <v>22</v>
      </c>
      <c r="H6" s="9" t="n">
        <f aca="false">PnL!H10+PnL!H11</f>
        <v>23</v>
      </c>
      <c r="I6" s="9" t="n">
        <f aca="false">PnL!I10+PnL!I11</f>
        <v>22</v>
      </c>
      <c r="J6" s="9" t="n">
        <f aca="false">PnL!J10+PnL!J11</f>
        <v>1</v>
      </c>
      <c r="K6" s="9" t="n">
        <f aca="false">PnL!K10+PnL!K11</f>
        <v>1</v>
      </c>
      <c r="L6" s="9" t="n">
        <f aca="false">PnL!L10+PnL!L11</f>
        <v>0</v>
      </c>
      <c r="M6" s="9" t="n">
        <f aca="false">PnL!M10+PnL!M11</f>
        <v>2</v>
      </c>
      <c r="N6" s="9" t="n">
        <f aca="false">PnL!N10+PnL!N11</f>
        <v>1</v>
      </c>
      <c r="O6" s="9" t="n">
        <f aca="false">PnL!O10+PnL!O11</f>
        <v>3</v>
      </c>
      <c r="P6" s="9" t="n">
        <f aca="false">PnL!P10+PnL!P11</f>
        <v>4</v>
      </c>
      <c r="Q6" s="9" t="n">
        <f aca="false">PnL!Q10+PnL!Q11</f>
        <v>22</v>
      </c>
      <c r="R6" s="9" t="n">
        <f aca="false">PnL!R10+PnL!R11</f>
        <v>22</v>
      </c>
      <c r="S6" s="9" t="n">
        <f aca="false">PnL!S10+PnL!S11</f>
        <v>22</v>
      </c>
    </row>
    <row r="7" customFormat="false" ht="15" hidden="false" customHeight="true" outlineLevel="0" collapsed="false">
      <c r="A7" s="30" t="s">
        <v>518</v>
      </c>
      <c r="B7" s="4" t="s">
        <v>10</v>
      </c>
      <c r="C7" s="33" t="n">
        <f aca="false">SUM(E7:G7)</f>
        <v>76.5</v>
      </c>
      <c r="D7" s="33" t="n">
        <f aca="false">SUM(H7:S7)</f>
        <v>498.5</v>
      </c>
      <c r="E7" s="9" t="n">
        <f aca="false">PnL!E6*Inputs!$C$73</f>
        <v>0</v>
      </c>
      <c r="F7" s="9" t="n">
        <f aca="false">PnL!F6*Inputs!$C$73+PnL!E6*Inputs!$C$74</f>
        <v>51</v>
      </c>
      <c r="G7" s="9" t="n">
        <f aca="false">PnL!G6*Inputs!$C$73+PnL!F6*Inputs!$C$74+PnL!E6*Inputs!$C$75</f>
        <v>25.5</v>
      </c>
      <c r="H7" s="9" t="n">
        <f aca="false">PnL!H6*Inputs!$C$73+PnL!G6*Inputs!$C$74+PnL!F6*Inputs!$C$75</f>
        <v>8.5</v>
      </c>
      <c r="I7" s="9" t="n">
        <f aca="false">PnL!I6*Inputs!$C$73+PnL!H6*Inputs!$C$74+PnL!G6*Inputs!$C$75</f>
        <v>0</v>
      </c>
      <c r="J7" s="9" t="n">
        <f aca="false">PnL!J6*Inputs!$C$73+PnL!I6*Inputs!$C$74+PnL!H6*Inputs!$C$75</f>
        <v>60</v>
      </c>
      <c r="K7" s="9" t="n">
        <f aca="false">PnL!K6*Inputs!$C$73+PnL!J6*Inputs!$C$74+PnL!I6*Inputs!$C$75</f>
        <v>30</v>
      </c>
      <c r="L7" s="9" t="n">
        <f aca="false">PnL!L6*Inputs!$C$73+PnL!K6*Inputs!$C$74+PnL!J6*Inputs!$C$75</f>
        <v>70</v>
      </c>
      <c r="M7" s="9" t="n">
        <f aca="false">PnL!M6*Inputs!$C$73+PnL!L6*Inputs!$C$74+PnL!K6*Inputs!$C$75</f>
        <v>30</v>
      </c>
      <c r="N7" s="9" t="n">
        <f aca="false">PnL!N6*Inputs!$C$73+PnL!M6*Inputs!$C$74+PnL!L6*Inputs!$C$75</f>
        <v>70</v>
      </c>
      <c r="O7" s="9" t="n">
        <f aca="false">PnL!O6*Inputs!$C$73+PnL!N6*Inputs!$C$74+PnL!M6*Inputs!$C$75</f>
        <v>30</v>
      </c>
      <c r="P7" s="9" t="n">
        <f aca="false">PnL!P6*Inputs!$C$73+PnL!O6*Inputs!$C$74+PnL!N6*Inputs!$C$75</f>
        <v>70</v>
      </c>
      <c r="Q7" s="9" t="n">
        <f aca="false">PnL!Q6*Inputs!$C$73+PnL!P6*Inputs!$C$74+PnL!O6*Inputs!$C$75</f>
        <v>30</v>
      </c>
      <c r="R7" s="9" t="n">
        <f aca="false">PnL!R6*Inputs!$C$73+PnL!Q6*Inputs!$C$74+PnL!P6*Inputs!$C$75</f>
        <v>70</v>
      </c>
      <c r="S7" s="9" t="n">
        <f aca="false">PnL!S6*Inputs!$C$73+PnL!R6*Inputs!$C$74+PnL!Q6*Inputs!$C$75</f>
        <v>30</v>
      </c>
    </row>
    <row r="8" customFormat="false" ht="15" hidden="false" customHeight="true" outlineLevel="0" collapsed="false">
      <c r="A8" s="30" t="s">
        <v>519</v>
      </c>
      <c r="B8" s="4" t="s">
        <v>10</v>
      </c>
      <c r="C8" s="33" t="n">
        <f aca="false">SUM(E8:G8)</f>
        <v>180</v>
      </c>
      <c r="D8" s="33" t="n">
        <f aca="false">SUM(H8:S8)</f>
        <v>476</v>
      </c>
      <c r="E8" s="9" t="n">
        <f aca="false">PnL!E7*Inputs!$C$76</f>
        <v>32</v>
      </c>
      <c r="F8" s="9" t="n">
        <f aca="false">PnL!F7*Inputs!$C$76+PnL!E7*(1-Inputs!$C$76)</f>
        <v>56</v>
      </c>
      <c r="G8" s="9" t="n">
        <f aca="false">PnL!G7*Inputs!$C$76+PnL!F7*(1-Inputs!$C$76)</f>
        <v>92</v>
      </c>
      <c r="H8" s="9" t="n">
        <f aca="false">PnL!H7*Inputs!$C$76+PnL!G7*(1-Inputs!$C$76)</f>
        <v>20</v>
      </c>
      <c r="I8" s="9" t="n">
        <f aca="false">PnL!I7*Inputs!$C$76+PnL!H7*(1-Inputs!$C$76)</f>
        <v>0</v>
      </c>
      <c r="J8" s="9" t="n">
        <f aca="false">PnL!J7*Inputs!$C$76+PnL!I7*(1-Inputs!$C$76)</f>
        <v>22.8</v>
      </c>
      <c r="K8" s="9" t="n">
        <f aca="false">PnL!K7*Inputs!$C$76+PnL!J7*(1-Inputs!$C$76)</f>
        <v>5.7</v>
      </c>
      <c r="L8" s="9" t="n">
        <f aca="false">PnL!L7*Inputs!$C$76+PnL!K7*(1-Inputs!$C$76)</f>
        <v>22.8</v>
      </c>
      <c r="M8" s="9" t="n">
        <f aca="false">PnL!M7*Inputs!$C$76+PnL!L7*(1-Inputs!$C$76)</f>
        <v>28.5</v>
      </c>
      <c r="N8" s="9" t="n">
        <f aca="false">PnL!N7*Inputs!$C$76+PnL!M7*(1-Inputs!$C$76)</f>
        <v>28.5</v>
      </c>
      <c r="O8" s="9" t="n">
        <f aca="false">PnL!O7*Inputs!$C$76+PnL!N7*(1-Inputs!$C$76)</f>
        <v>28.5</v>
      </c>
      <c r="P8" s="9" t="n">
        <f aca="false">PnL!P7*Inputs!$C$76+PnL!O7*(1-Inputs!$C$76)</f>
        <v>51.3</v>
      </c>
      <c r="Q8" s="9" t="n">
        <f aca="false">PnL!Q7*Inputs!$C$76+PnL!P7*(1-Inputs!$C$76)</f>
        <v>57</v>
      </c>
      <c r="R8" s="9" t="n">
        <f aca="false">PnL!R7*Inputs!$C$76+PnL!Q7*(1-Inputs!$C$76)</f>
        <v>79.8</v>
      </c>
      <c r="S8" s="9" t="n">
        <f aca="false">PnL!S7*Inputs!$C$76+PnL!R7*(1-Inputs!$C$76)</f>
        <v>131.1</v>
      </c>
    </row>
    <row r="9" customFormat="false" ht="15" hidden="false" customHeight="true" outlineLevel="0" collapsed="false">
      <c r="A9" s="30" t="s">
        <v>520</v>
      </c>
      <c r="B9" s="4" t="s">
        <v>10</v>
      </c>
      <c r="C9" s="33" t="n">
        <f aca="false">SUM(E9:G9)</f>
        <v>59.5</v>
      </c>
      <c r="D9" s="33" t="n">
        <f aca="false">SUM(H9:S9)</f>
        <v>208.45</v>
      </c>
      <c r="E9" s="9" t="n">
        <f aca="false">PnL!E8*Inputs!$C$77</f>
        <v>7</v>
      </c>
      <c r="F9" s="9" t="n">
        <f aca="false">PnL!F8*Inputs!$C$77+PnL!E8*Inputs!$C$78</f>
        <v>24.5</v>
      </c>
      <c r="G9" s="9" t="n">
        <f aca="false">PnL!G8*Inputs!$C$77+PnL!F8*Inputs!$C$78+PnL!E8*Inputs!$C$79</f>
        <v>28</v>
      </c>
      <c r="H9" s="9" t="n">
        <f aca="false">PnL!H8*Inputs!$C$77+PnL!G8*Inputs!$C$78+PnL!F8*Inputs!$C$79</f>
        <v>10.5</v>
      </c>
      <c r="I9" s="9" t="n">
        <f aca="false">PnL!I8*Inputs!$C$77+PnL!H8*Inputs!$C$78+PnL!G8*Inputs!$C$79</f>
        <v>0</v>
      </c>
      <c r="J9" s="9" t="n">
        <f aca="false">PnL!J8*Inputs!$C$77+PnL!I8*Inputs!$C$78+PnL!H8*Inputs!$C$79</f>
        <v>0</v>
      </c>
      <c r="K9" s="9" t="n">
        <f aca="false">PnL!K8*Inputs!$C$77+PnL!J8*Inputs!$C$78+PnL!I8*Inputs!$C$79</f>
        <v>10.7</v>
      </c>
      <c r="L9" s="9" t="n">
        <f aca="false">PnL!L8*Inputs!$C$77+PnL!K8*Inputs!$C$78+PnL!J8*Inputs!$C$79</f>
        <v>26.75</v>
      </c>
      <c r="M9" s="9" t="n">
        <f aca="false">PnL!M8*Inputs!$C$77+PnL!L8*Inputs!$C$78+PnL!K8*Inputs!$C$79</f>
        <v>16.05</v>
      </c>
      <c r="N9" s="9" t="n">
        <f aca="false">PnL!N8*Inputs!$C$77+PnL!M8*Inputs!$C$78+PnL!L8*Inputs!$C$79</f>
        <v>10.7</v>
      </c>
      <c r="O9" s="9" t="n">
        <f aca="false">PnL!O8*Inputs!$C$77+PnL!N8*Inputs!$C$78+PnL!M8*Inputs!$C$79</f>
        <v>26.75</v>
      </c>
      <c r="P9" s="9" t="n">
        <f aca="false">PnL!P8*Inputs!$C$77+PnL!O8*Inputs!$C$78+PnL!N8*Inputs!$C$79</f>
        <v>16.05</v>
      </c>
      <c r="Q9" s="9" t="n">
        <f aca="false">PnL!Q8*Inputs!$C$77+PnL!P8*Inputs!$C$78+PnL!O8*Inputs!$C$79</f>
        <v>10.7</v>
      </c>
      <c r="R9" s="9" t="n">
        <f aca="false">PnL!R8*Inputs!$C$77+PnL!Q8*Inputs!$C$78+PnL!P8*Inputs!$C$79</f>
        <v>37.45</v>
      </c>
      <c r="S9" s="9" t="n">
        <f aca="false">PnL!S8*Inputs!$C$77+PnL!R8*Inputs!$C$78+PnL!Q8*Inputs!$C$79</f>
        <v>42.8</v>
      </c>
    </row>
    <row r="10" customFormat="false" ht="15" hidden="false" customHeight="true" outlineLevel="0" collapsed="false">
      <c r="A10" s="30" t="s">
        <v>521</v>
      </c>
      <c r="B10" s="4" t="s">
        <v>10</v>
      </c>
      <c r="C10" s="33" t="n">
        <f aca="false">SUM(E10:G10)</f>
        <v>30</v>
      </c>
      <c r="D10" s="33" t="n">
        <f aca="false">SUM(H10:S10)</f>
        <v>180</v>
      </c>
      <c r="E10" s="9" t="n">
        <f aca="false">PnL!E9*0</f>
        <v>0</v>
      </c>
      <c r="F10" s="9" t="n">
        <f aca="false">PnL!F9*0+PnL!E9*1</f>
        <v>15</v>
      </c>
      <c r="G10" s="9" t="n">
        <f aca="false">PnL!G9*0+PnL!F9*1</f>
        <v>15</v>
      </c>
      <c r="H10" s="9" t="n">
        <f aca="false">PnL!H9*0+PnL!G9*1</f>
        <v>15</v>
      </c>
      <c r="I10" s="9" t="n">
        <f aca="false">PnL!I9*0+PnL!H9*1</f>
        <v>15</v>
      </c>
      <c r="J10" s="9" t="n">
        <f aca="false">PnL!J9*0+PnL!I9*1</f>
        <v>15</v>
      </c>
      <c r="K10" s="9" t="n">
        <f aca="false">PnL!K9*0+PnL!J9*1</f>
        <v>15</v>
      </c>
      <c r="L10" s="9" t="n">
        <f aca="false">PnL!L9*0+PnL!K9*1</f>
        <v>15</v>
      </c>
      <c r="M10" s="9" t="n">
        <f aca="false">PnL!M9*0+PnL!L9*1</f>
        <v>15</v>
      </c>
      <c r="N10" s="9" t="n">
        <f aca="false">PnL!N9*0+PnL!M9*1</f>
        <v>15</v>
      </c>
      <c r="O10" s="9" t="n">
        <f aca="false">PnL!O9*0+PnL!N9*1</f>
        <v>15</v>
      </c>
      <c r="P10" s="9" t="n">
        <f aca="false">PnL!P9*0+PnL!O9*1</f>
        <v>15</v>
      </c>
      <c r="Q10" s="9" t="n">
        <f aca="false">PnL!Q9*0+PnL!P9*1</f>
        <v>15</v>
      </c>
      <c r="R10" s="9" t="n">
        <f aca="false">PnL!R9*0+PnL!Q9*1</f>
        <v>15</v>
      </c>
      <c r="S10" s="9" t="n">
        <f aca="false">PnL!S9*0+PnL!R9*1</f>
        <v>15</v>
      </c>
    </row>
    <row r="11" customFormat="false" ht="15" hidden="false" customHeight="true" outlineLevel="0" collapsed="false">
      <c r="A11" s="12" t="s">
        <v>522</v>
      </c>
      <c r="B11" s="4" t="s">
        <v>10</v>
      </c>
      <c r="C11" s="33" t="n">
        <f aca="false">SUM(E11:G11)</f>
        <v>412</v>
      </c>
      <c r="D11" s="33" t="n">
        <f aca="false">SUM(H11:S11)</f>
        <v>1485.95</v>
      </c>
      <c r="E11" s="34" t="n">
        <f aca="false">SUM(E6:E10)</f>
        <v>61</v>
      </c>
      <c r="F11" s="34" t="n">
        <f aca="false">SUM(F6:F10)</f>
        <v>168.5</v>
      </c>
      <c r="G11" s="34" t="n">
        <f aca="false">SUM(G6:G10)</f>
        <v>182.5</v>
      </c>
      <c r="H11" s="34" t="n">
        <f aca="false">SUM(H6:H10)</f>
        <v>77</v>
      </c>
      <c r="I11" s="34" t="n">
        <f aca="false">SUM(I6:I10)</f>
        <v>37</v>
      </c>
      <c r="J11" s="34" t="n">
        <f aca="false">SUM(J6:J10)</f>
        <v>98.8</v>
      </c>
      <c r="K11" s="34" t="n">
        <f aca="false">SUM(K6:K10)</f>
        <v>62.4</v>
      </c>
      <c r="L11" s="34" t="n">
        <f aca="false">SUM(L6:L10)</f>
        <v>134.55</v>
      </c>
      <c r="M11" s="34" t="n">
        <f aca="false">SUM(M6:M10)</f>
        <v>91.55</v>
      </c>
      <c r="N11" s="34" t="n">
        <f aca="false">SUM(N6:N10)</f>
        <v>125.2</v>
      </c>
      <c r="O11" s="34" t="n">
        <f aca="false">SUM(O6:O10)</f>
        <v>103.25</v>
      </c>
      <c r="P11" s="34" t="n">
        <f aca="false">SUM(P6:P10)</f>
        <v>156.35</v>
      </c>
      <c r="Q11" s="34" t="n">
        <f aca="false">SUM(Q6:Q10)</f>
        <v>134.7</v>
      </c>
      <c r="R11" s="34" t="n">
        <f aca="false">SUM(R6:R10)</f>
        <v>224.25</v>
      </c>
      <c r="S11" s="34" t="n">
        <f aca="false">SUM(S6:S10)</f>
        <v>240.9</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row>
    <row r="13" customFormat="false" ht="15" hidden="false" customHeight="true" outlineLevel="0" collapsed="false">
      <c r="A13" s="7" t="s">
        <v>523</v>
      </c>
      <c r="B13" s="8"/>
      <c r="C13" s="8"/>
      <c r="D13" s="8"/>
      <c r="E13" s="8"/>
      <c r="F13" s="8"/>
      <c r="G13" s="8"/>
      <c r="H13" s="8"/>
      <c r="I13" s="8"/>
      <c r="J13" s="8"/>
      <c r="K13" s="8"/>
      <c r="L13" s="8"/>
      <c r="M13" s="8"/>
      <c r="N13" s="8"/>
      <c r="O13" s="8"/>
      <c r="P13" s="8"/>
      <c r="Q13" s="8"/>
      <c r="R13" s="8"/>
      <c r="S13" s="8"/>
    </row>
    <row r="14" customFormat="false" ht="15" hidden="false" customHeight="true" outlineLevel="0" collapsed="false">
      <c r="A14" s="30" t="s">
        <v>524</v>
      </c>
      <c r="B14" s="4" t="s">
        <v>10</v>
      </c>
      <c r="C14" s="33" t="n">
        <f aca="false">SUM(E14:G14)</f>
        <v>170.4</v>
      </c>
      <c r="D14" s="33" t="n">
        <f aca="false">SUM(H14:S14)</f>
        <v>483.45</v>
      </c>
      <c r="E14" s="9" t="n">
        <f aca="false">PnL!E21</f>
        <v>41.8</v>
      </c>
      <c r="F14" s="9" t="n">
        <f aca="false">PnL!F21</f>
        <v>74.8</v>
      </c>
      <c r="G14" s="9" t="n">
        <f aca="false">PnL!G21</f>
        <v>53.8</v>
      </c>
      <c r="H14" s="9" t="n">
        <f aca="false">PnL!H21</f>
        <v>14.2</v>
      </c>
      <c r="I14" s="9" t="n">
        <f aca="false">PnL!I21</f>
        <v>13.8</v>
      </c>
      <c r="J14" s="9" t="n">
        <f aca="false">PnL!J21</f>
        <v>43.65</v>
      </c>
      <c r="K14" s="9" t="n">
        <f aca="false">PnL!K21</f>
        <v>20.4</v>
      </c>
      <c r="L14" s="9" t="n">
        <f aca="false">PnL!L21</f>
        <v>43.25</v>
      </c>
      <c r="M14" s="9" t="n">
        <f aca="false">PnL!M21</f>
        <v>16.05</v>
      </c>
      <c r="N14" s="9" t="n">
        <f aca="false">PnL!N21</f>
        <v>58.65</v>
      </c>
      <c r="O14" s="9" t="n">
        <f aca="false">PnL!O21</f>
        <v>16.45</v>
      </c>
      <c r="P14" s="9" t="n">
        <f aca="false">PnL!P21</f>
        <v>55.1</v>
      </c>
      <c r="Q14" s="9" t="n">
        <f aca="false">PnL!Q21</f>
        <v>49.3</v>
      </c>
      <c r="R14" s="9" t="n">
        <f aca="false">PnL!R21</f>
        <v>87.55</v>
      </c>
      <c r="S14" s="9" t="n">
        <f aca="false">PnL!S21</f>
        <v>65.05</v>
      </c>
    </row>
    <row r="15" customFormat="false" ht="15" hidden="false" customHeight="true" outlineLevel="0" collapsed="false">
      <c r="A15" s="30" t="s">
        <v>525</v>
      </c>
      <c r="B15" s="4" t="s">
        <v>10</v>
      </c>
      <c r="C15" s="33" t="n">
        <f aca="false">SUM(E15:G15)</f>
        <v>79.53975</v>
      </c>
      <c r="D15" s="33" t="n">
        <f aca="false">SUM(H15:S15)</f>
        <v>632.159</v>
      </c>
      <c r="E15" s="9" t="n">
        <f aca="false">PnL!E31</f>
        <v>25.6799166666667</v>
      </c>
      <c r="F15" s="9" t="n">
        <f aca="false">PnL!F31</f>
        <v>28.1799166666667</v>
      </c>
      <c r="G15" s="9" t="n">
        <f aca="false">PnL!G31</f>
        <v>25.6799166666667</v>
      </c>
      <c r="H15" s="9" t="n">
        <f aca="false">PnL!H31</f>
        <v>52.6799166666667</v>
      </c>
      <c r="I15" s="9" t="n">
        <f aca="false">PnL!I31</f>
        <v>52.6799166666667</v>
      </c>
      <c r="J15" s="9" t="n">
        <f aca="false">PnL!J31</f>
        <v>52.6799166666667</v>
      </c>
      <c r="K15" s="9" t="n">
        <f aca="false">PnL!K31</f>
        <v>52.6799166666667</v>
      </c>
      <c r="L15" s="9" t="n">
        <f aca="false">PnL!L31</f>
        <v>52.6799166666667</v>
      </c>
      <c r="M15" s="9" t="n">
        <f aca="false">PnL!M31</f>
        <v>52.6799166666667</v>
      </c>
      <c r="N15" s="9" t="n">
        <f aca="false">PnL!N31</f>
        <v>52.6799166666667</v>
      </c>
      <c r="O15" s="9" t="n">
        <f aca="false">PnL!O31</f>
        <v>52.6799166666667</v>
      </c>
      <c r="P15" s="9" t="n">
        <f aca="false">PnL!P31</f>
        <v>52.6799166666667</v>
      </c>
      <c r="Q15" s="9" t="n">
        <f aca="false">PnL!Q31</f>
        <v>52.6799166666667</v>
      </c>
      <c r="R15" s="9" t="n">
        <f aca="false">PnL!R31</f>
        <v>52.6799166666667</v>
      </c>
      <c r="S15" s="9" t="n">
        <f aca="false">PnL!S31</f>
        <v>52.6799166666667</v>
      </c>
    </row>
    <row r="16" customFormat="false" ht="15" hidden="false" customHeight="true" outlineLevel="0" collapsed="false">
      <c r="A16" s="30" t="s">
        <v>526</v>
      </c>
      <c r="B16" s="4" t="s">
        <v>10</v>
      </c>
      <c r="C16" s="33" t="n">
        <f aca="false">SUM(E16:G16)</f>
        <v>1.645</v>
      </c>
      <c r="D16" s="33" t="n">
        <f aca="false">SUM(H16:S16)</f>
        <v>7.295</v>
      </c>
      <c r="E16" s="9" t="n">
        <f aca="false">0</f>
        <v>0</v>
      </c>
      <c r="F16" s="9" t="n">
        <f aca="false">PnL!E34</f>
        <v>0.56</v>
      </c>
      <c r="G16" s="9" t="n">
        <f aca="false">PnL!F34</f>
        <v>1.085</v>
      </c>
      <c r="H16" s="9" t="n">
        <f aca="false">PnL!G34</f>
        <v>0.685</v>
      </c>
      <c r="I16" s="9" t="n">
        <f aca="false">PnL!H34</f>
        <v>0.19</v>
      </c>
      <c r="J16" s="9" t="n">
        <f aca="false">PnL!I34</f>
        <v>0.185</v>
      </c>
      <c r="K16" s="9" t="n">
        <f aca="false">PnL!J34</f>
        <v>0.7225</v>
      </c>
      <c r="L16" s="9" t="n">
        <f aca="false">PnL!K34</f>
        <v>0.3475</v>
      </c>
      <c r="M16" s="9" t="n">
        <f aca="false">PnL!L34</f>
        <v>0.7175</v>
      </c>
      <c r="N16" s="9" t="n">
        <f aca="false">PnL!M34</f>
        <v>0.2275</v>
      </c>
      <c r="O16" s="9" t="n">
        <f aca="false">PnL!N34</f>
        <v>0.99</v>
      </c>
      <c r="P16" s="9" t="n">
        <f aca="false">PnL!O34</f>
        <v>0.2325</v>
      </c>
      <c r="Q16" s="9" t="n">
        <f aca="false">PnL!P34</f>
        <v>0.88</v>
      </c>
      <c r="R16" s="9" t="n">
        <f aca="false">PnL!Q34</f>
        <v>0.7375</v>
      </c>
      <c r="S16" s="9" t="n">
        <f aca="false">PnL!R34</f>
        <v>1.38</v>
      </c>
    </row>
    <row r="17" customFormat="false" ht="15" hidden="false" customHeight="true" outlineLevel="0" collapsed="false">
      <c r="A17" s="12" t="s">
        <v>527</v>
      </c>
      <c r="B17" s="4" t="s">
        <v>10</v>
      </c>
      <c r="C17" s="33" t="n">
        <f aca="false">SUM(E17:G17)</f>
        <v>251.58475</v>
      </c>
      <c r="D17" s="33" t="n">
        <f aca="false">SUM(H17:S17)</f>
        <v>1122.904</v>
      </c>
      <c r="E17" s="34" t="n">
        <f aca="false">SUM(E14:E16)</f>
        <v>67.4799166666667</v>
      </c>
      <c r="F17" s="34" t="n">
        <f aca="false">SUM(F14:F16)</f>
        <v>103.539916666667</v>
      </c>
      <c r="G17" s="34" t="n">
        <f aca="false">SUM(G14:G16)</f>
        <v>80.5649166666667</v>
      </c>
      <c r="H17" s="34" t="n">
        <f aca="false">SUM(H14:H16)</f>
        <v>67.5649166666667</v>
      </c>
      <c r="I17" s="34" t="n">
        <f aca="false">SUM(I14:I16)</f>
        <v>66.6699166666667</v>
      </c>
      <c r="J17" s="34" t="n">
        <f aca="false">SUM(J14:J16)</f>
        <v>96.5149166666667</v>
      </c>
      <c r="K17" s="34" t="n">
        <f aca="false">SUM(K14:K16)</f>
        <v>73.8024166666667</v>
      </c>
      <c r="L17" s="34" t="n">
        <f aca="false">SUM(L14:L16)</f>
        <v>96.2774166666667</v>
      </c>
      <c r="M17" s="34" t="n">
        <f aca="false">SUM(M14:M16)</f>
        <v>69.4474166666667</v>
      </c>
      <c r="N17" s="34" t="n">
        <f aca="false">SUM(N14:N16)</f>
        <v>111.557416666667</v>
      </c>
      <c r="O17" s="34" t="n">
        <f aca="false">SUM(O14:O16)</f>
        <v>70.1199166666667</v>
      </c>
      <c r="P17" s="34" t="n">
        <f aca="false">SUM(P14:P16)</f>
        <v>108.012416666667</v>
      </c>
      <c r="Q17" s="34" t="n">
        <f aca="false">SUM(Q14:Q16)</f>
        <v>102.859916666667</v>
      </c>
      <c r="R17" s="34" t="n">
        <f aca="false">SUM(R14:R16)</f>
        <v>140.967416666667</v>
      </c>
      <c r="S17" s="34" t="n">
        <f aca="false">SUM(S14:S16)</f>
        <v>119.109916666667</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row>
    <row r="19" customFormat="false" ht="15" hidden="false" customHeight="true" outlineLevel="0" collapsed="false">
      <c r="A19" s="12" t="s">
        <v>528</v>
      </c>
      <c r="B19" s="4" t="s">
        <v>10</v>
      </c>
      <c r="C19" s="33" t="n">
        <f aca="false">SUM(E19:G19)</f>
        <v>160.41525</v>
      </c>
      <c r="D19" s="33" t="n">
        <f aca="false">SUM(H19:S19)</f>
        <v>363.046</v>
      </c>
      <c r="E19" s="34" t="n">
        <f aca="false">E11-E17</f>
        <v>-6.47991666666667</v>
      </c>
      <c r="F19" s="34" t="n">
        <f aca="false">F11-F17</f>
        <v>64.9600833333333</v>
      </c>
      <c r="G19" s="34" t="n">
        <f aca="false">G11-G17</f>
        <v>101.935083333333</v>
      </c>
      <c r="H19" s="34" t="n">
        <f aca="false">H11-H17</f>
        <v>9.43508333333332</v>
      </c>
      <c r="I19" s="34" t="n">
        <f aca="false">I11-I17</f>
        <v>-29.6699166666667</v>
      </c>
      <c r="J19" s="34" t="n">
        <f aca="false">J11-J17</f>
        <v>2.28508333333333</v>
      </c>
      <c r="K19" s="34" t="n">
        <f aca="false">K11-K17</f>
        <v>-11.4024166666667</v>
      </c>
      <c r="L19" s="34" t="n">
        <f aca="false">L11-L17</f>
        <v>38.2725833333333</v>
      </c>
      <c r="M19" s="34" t="n">
        <f aca="false">M11-M17</f>
        <v>22.1025833333333</v>
      </c>
      <c r="N19" s="34" t="n">
        <f aca="false">N11-N17</f>
        <v>13.6425833333333</v>
      </c>
      <c r="O19" s="34" t="n">
        <f aca="false">O11-O17</f>
        <v>33.1300833333333</v>
      </c>
      <c r="P19" s="34" t="n">
        <f aca="false">P11-P17</f>
        <v>48.3375833333333</v>
      </c>
      <c r="Q19" s="34" t="n">
        <f aca="false">Q11-Q17</f>
        <v>31.8400833333333</v>
      </c>
      <c r="R19" s="34" t="n">
        <f aca="false">R11-R17</f>
        <v>83.2825833333333</v>
      </c>
      <c r="S19" s="34" t="n">
        <f aca="false">S11-S17</f>
        <v>121.790083333333</v>
      </c>
    </row>
    <row r="20" customFormat="false" ht="15" hidden="false" customHeight="true" outlineLevel="0" collapsed="false">
      <c r="A20" s="30" t="s">
        <v>529</v>
      </c>
      <c r="B20" s="4" t="s">
        <v>10</v>
      </c>
      <c r="C20" s="33" t="n">
        <f aca="false">E20</f>
        <v>210</v>
      </c>
      <c r="D20" s="33" t="n">
        <f aca="false">H20</f>
        <v>370.41525</v>
      </c>
      <c r="E20" s="9" t="n">
        <f aca="false">Inputs!$C$72</f>
        <v>210</v>
      </c>
      <c r="F20" s="9" t="n">
        <f aca="false">E21</f>
        <v>203.520083333333</v>
      </c>
      <c r="G20" s="9" t="n">
        <f aca="false">F21</f>
        <v>268.480166666667</v>
      </c>
      <c r="H20" s="9" t="n">
        <f aca="false">G21</f>
        <v>370.41525</v>
      </c>
      <c r="I20" s="9" t="n">
        <f aca="false">H21</f>
        <v>379.850333333333</v>
      </c>
      <c r="J20" s="9" t="n">
        <f aca="false">I21</f>
        <v>350.180416666667</v>
      </c>
      <c r="K20" s="9" t="n">
        <f aca="false">J21</f>
        <v>352.4655</v>
      </c>
      <c r="L20" s="9" t="n">
        <f aca="false">K21</f>
        <v>341.063083333333</v>
      </c>
      <c r="M20" s="9" t="n">
        <f aca="false">L21</f>
        <v>379.335666666667</v>
      </c>
      <c r="N20" s="9" t="n">
        <f aca="false">M21</f>
        <v>401.43825</v>
      </c>
      <c r="O20" s="9" t="n">
        <f aca="false">N21</f>
        <v>415.080833333333</v>
      </c>
      <c r="P20" s="9" t="n">
        <f aca="false">O21</f>
        <v>448.210916666667</v>
      </c>
      <c r="Q20" s="9" t="n">
        <f aca="false">P21</f>
        <v>496.5485</v>
      </c>
      <c r="R20" s="9" t="n">
        <f aca="false">Q21</f>
        <v>528.388583333333</v>
      </c>
      <c r="S20" s="9" t="n">
        <f aca="false">R21</f>
        <v>611.671166666667</v>
      </c>
    </row>
    <row r="21" customFormat="false" ht="15" hidden="false" customHeight="true" outlineLevel="0" collapsed="false">
      <c r="A21" s="12" t="s">
        <v>530</v>
      </c>
      <c r="B21" s="4" t="s">
        <v>10</v>
      </c>
      <c r="C21" s="33" t="n">
        <f aca="false">G21</f>
        <v>370.41525</v>
      </c>
      <c r="D21" s="33" t="n">
        <f aca="false">S21</f>
        <v>733.46125</v>
      </c>
      <c r="E21" s="34" t="n">
        <f aca="false">E20+E19</f>
        <v>203.520083333333</v>
      </c>
      <c r="F21" s="34" t="n">
        <f aca="false">F20+F19</f>
        <v>268.480166666667</v>
      </c>
      <c r="G21" s="34" t="n">
        <f aca="false">G20+G19</f>
        <v>370.41525</v>
      </c>
      <c r="H21" s="34" t="n">
        <f aca="false">H20+H19</f>
        <v>379.850333333333</v>
      </c>
      <c r="I21" s="34" t="n">
        <f aca="false">I20+I19</f>
        <v>350.180416666667</v>
      </c>
      <c r="J21" s="34" t="n">
        <f aca="false">J20+J19</f>
        <v>352.4655</v>
      </c>
      <c r="K21" s="34" t="n">
        <f aca="false">K20+K19</f>
        <v>341.063083333333</v>
      </c>
      <c r="L21" s="34" t="n">
        <f aca="false">L20+L19</f>
        <v>379.335666666667</v>
      </c>
      <c r="M21" s="34" t="n">
        <f aca="false">M20+M19</f>
        <v>401.43825</v>
      </c>
      <c r="N21" s="34" t="n">
        <f aca="false">N20+N19</f>
        <v>415.080833333333</v>
      </c>
      <c r="O21" s="34" t="n">
        <f aca="false">O20+O19</f>
        <v>448.210916666667</v>
      </c>
      <c r="P21" s="34" t="n">
        <f aca="false">P20+P19</f>
        <v>496.5485</v>
      </c>
      <c r="Q21" s="34" t="n">
        <f aca="false">Q20+Q19</f>
        <v>528.388583333333</v>
      </c>
      <c r="R21" s="34" t="n">
        <f aca="false">R20+R19</f>
        <v>611.671166666667</v>
      </c>
      <c r="S21" s="34" t="n">
        <f aca="false">S20+S19</f>
        <v>733.46125</v>
      </c>
    </row>
    <row r="22" customFormat="false" ht="15" hidden="false" customHeight="true" outlineLevel="0" collapsed="false">
      <c r="A22" s="3"/>
      <c r="B22" s="3"/>
      <c r="C22" s="3"/>
      <c r="D22" s="3"/>
      <c r="E22" s="3"/>
      <c r="F22" s="3"/>
      <c r="G22" s="3"/>
      <c r="H22" s="3"/>
      <c r="I22" s="3"/>
      <c r="J22" s="3"/>
      <c r="K22" s="3"/>
      <c r="L22" s="3"/>
      <c r="M22" s="3"/>
      <c r="N22" s="3"/>
      <c r="O22" s="3"/>
      <c r="P22" s="3"/>
      <c r="Q22" s="3"/>
      <c r="R22" s="3"/>
      <c r="S22" s="3"/>
    </row>
    <row r="23" customFormat="false" ht="15" hidden="false" customHeight="true" outlineLevel="0" collapsed="false">
      <c r="A23" s="7" t="s">
        <v>531</v>
      </c>
      <c r="B23" s="8"/>
      <c r="C23" s="8"/>
      <c r="D23" s="8"/>
      <c r="E23" s="8"/>
      <c r="F23" s="8"/>
      <c r="G23" s="8"/>
      <c r="H23" s="8"/>
      <c r="I23" s="8"/>
      <c r="J23" s="8"/>
      <c r="K23" s="8"/>
      <c r="L23" s="8"/>
      <c r="M23" s="8"/>
      <c r="N23" s="8"/>
      <c r="O23" s="8"/>
      <c r="P23" s="8"/>
      <c r="Q23" s="8"/>
      <c r="R23" s="8"/>
      <c r="S23" s="8"/>
    </row>
    <row r="24" customFormat="false" ht="15" hidden="false" customHeight="true" outlineLevel="0" collapsed="false">
      <c r="A24" s="30" t="s">
        <v>532</v>
      </c>
      <c r="B24" s="4" t="s">
        <v>10</v>
      </c>
      <c r="C24" s="33" t="n">
        <f aca="false">MAX(E24:G24)</f>
        <v>102.979916666667</v>
      </c>
      <c r="D24" s="33" t="n">
        <f aca="false">MAX(H24:S24)</f>
        <v>140.229916666667</v>
      </c>
      <c r="E24" s="9" t="n">
        <f aca="false">E15+E14</f>
        <v>67.4799166666667</v>
      </c>
      <c r="F24" s="9" t="n">
        <f aca="false">F15+F14</f>
        <v>102.979916666667</v>
      </c>
      <c r="G24" s="9" t="n">
        <f aca="false">G15+G14</f>
        <v>79.4799166666667</v>
      </c>
      <c r="H24" s="9" t="n">
        <f aca="false">H15+H14</f>
        <v>66.8799166666667</v>
      </c>
      <c r="I24" s="9" t="n">
        <f aca="false">I15+I14</f>
        <v>66.4799166666667</v>
      </c>
      <c r="J24" s="9" t="n">
        <f aca="false">J15+J14</f>
        <v>96.3299166666667</v>
      </c>
      <c r="K24" s="9" t="n">
        <f aca="false">K15+K14</f>
        <v>73.0799166666667</v>
      </c>
      <c r="L24" s="9" t="n">
        <f aca="false">L15+L14</f>
        <v>95.9299166666667</v>
      </c>
      <c r="M24" s="9" t="n">
        <f aca="false">M15+M14</f>
        <v>68.7299166666667</v>
      </c>
      <c r="N24" s="9" t="n">
        <f aca="false">N15+N14</f>
        <v>111.329916666667</v>
      </c>
      <c r="O24" s="9" t="n">
        <f aca="false">O15+O14</f>
        <v>69.1299166666667</v>
      </c>
      <c r="P24" s="9" t="n">
        <f aca="false">P15+P14</f>
        <v>107.779916666667</v>
      </c>
      <c r="Q24" s="9" t="n">
        <f aca="false">Q15+Q14</f>
        <v>101.979916666667</v>
      </c>
      <c r="R24" s="9" t="n">
        <f aca="false">R15+R14</f>
        <v>140.229916666667</v>
      </c>
      <c r="S24" s="9" t="n">
        <f aca="false">S15+S14</f>
        <v>117.729916666667</v>
      </c>
    </row>
    <row r="25" customFormat="false" ht="15" hidden="false" customHeight="true" outlineLevel="0" collapsed="false">
      <c r="A25" s="30" t="s">
        <v>533</v>
      </c>
      <c r="B25" s="4" t="s">
        <v>356</v>
      </c>
      <c r="C25" s="31" t="n">
        <f aca="false">MIN(E25:G25)</f>
        <v>1</v>
      </c>
      <c r="D25" s="31" t="n">
        <f aca="false">MIN(H25:S25)</f>
        <v>1</v>
      </c>
      <c r="E25" s="11" t="n">
        <f aca="false">IF(E21&gt;=E24,1,0)</f>
        <v>1</v>
      </c>
      <c r="F25" s="11" t="n">
        <f aca="false">IF(F21&gt;=F24,1,0)</f>
        <v>1</v>
      </c>
      <c r="G25" s="11" t="n">
        <f aca="false">IF(G21&gt;=G24,1,0)</f>
        <v>1</v>
      </c>
      <c r="H25" s="11" t="n">
        <f aca="false">IF(H21&gt;=H24,1,0)</f>
        <v>1</v>
      </c>
      <c r="I25" s="11" t="n">
        <f aca="false">IF(I21&gt;=I24,1,0)</f>
        <v>1</v>
      </c>
      <c r="J25" s="11" t="n">
        <f aca="false">IF(J21&gt;=J24,1,0)</f>
        <v>1</v>
      </c>
      <c r="K25" s="11" t="n">
        <f aca="false">IF(K21&gt;=K24,1,0)</f>
        <v>1</v>
      </c>
      <c r="L25" s="11" t="n">
        <f aca="false">IF(L21&gt;=L24,1,0)</f>
        <v>1</v>
      </c>
      <c r="M25" s="11" t="n">
        <f aca="false">IF(M21&gt;=M24,1,0)</f>
        <v>1</v>
      </c>
      <c r="N25" s="11" t="n">
        <f aca="false">IF(N21&gt;=N24,1,0)</f>
        <v>1</v>
      </c>
      <c r="O25" s="11" t="n">
        <f aca="false">IF(O21&gt;=O24,1,0)</f>
        <v>1</v>
      </c>
      <c r="P25" s="11" t="n">
        <f aca="false">IF(P21&gt;=P24,1,0)</f>
        <v>1</v>
      </c>
      <c r="Q25" s="11" t="n">
        <f aca="false">IF(Q21&gt;=Q24,1,0)</f>
        <v>1</v>
      </c>
      <c r="R25" s="11" t="n">
        <f aca="false">IF(R21&gt;=R24,1,0)</f>
        <v>1</v>
      </c>
      <c r="S25" s="11" t="n">
        <f aca="false">IF(S21&gt;=S24,1,0)</f>
        <v>1</v>
      </c>
    </row>
    <row r="26" customFormat="false" ht="15" hidden="false" customHeight="true" outlineLevel="0" collapsed="false">
      <c r="A26" s="30" t="s">
        <v>534</v>
      </c>
      <c r="B26" s="4" t="s">
        <v>10</v>
      </c>
      <c r="C26" s="33" t="n">
        <f aca="false">MAX(E26:G26)</f>
        <v>99.5</v>
      </c>
      <c r="D26" s="33" t="n">
        <f aca="false">MAX(H26:S26)</f>
        <v>130.95</v>
      </c>
      <c r="E26" s="9" t="n">
        <f aca="false">SUM(PnL!$E$12:E12)-SUM($E$11:E11)</f>
        <v>51</v>
      </c>
      <c r="F26" s="9" t="n">
        <f aca="false">SUM(PnL!$E$12:F12)-SUM($E$11:F11)</f>
        <v>99.5</v>
      </c>
      <c r="G26" s="9" t="n">
        <f aca="false">SUM(PnL!$E$12:G12)-SUM($E$11:G11)</f>
        <v>54</v>
      </c>
      <c r="H26" s="9" t="n">
        <f aca="false">SUM(PnL!$E$12:H12)-SUM($E$11:H11)</f>
        <v>15</v>
      </c>
      <c r="I26" s="9" t="n">
        <f aca="false">SUM(PnL!$E$12:I12)-SUM($E$11:I11)</f>
        <v>15</v>
      </c>
      <c r="J26" s="9" t="n">
        <f aca="false">SUM(PnL!$E$12:J12)-SUM($E$11:J11)</f>
        <v>60.7</v>
      </c>
      <c r="K26" s="9" t="n">
        <f aca="false">SUM(PnL!$E$12:K12)-SUM($E$11:K11)</f>
        <v>67.8000000000001</v>
      </c>
      <c r="L26" s="9" t="n">
        <f aca="false">SUM(PnL!$E$12:L12)-SUM($E$11:L11)</f>
        <v>76.75</v>
      </c>
      <c r="M26" s="9" t="n">
        <f aca="false">SUM(PnL!$E$12:M12)-SUM($E$11:M11)</f>
        <v>30.7</v>
      </c>
      <c r="N26" s="9" t="n">
        <f aca="false">SUM(PnL!$E$12:N12)-SUM($E$11:N11)</f>
        <v>103.5</v>
      </c>
      <c r="O26" s="9" t="n">
        <f aca="false">SUM(PnL!$E$12:O12)-SUM($E$11:O11)</f>
        <v>46.75</v>
      </c>
      <c r="P26" s="9" t="n">
        <f aca="false">SUM(PnL!$E$12:P12)-SUM($E$11:P11)</f>
        <v>66.4000000000001</v>
      </c>
      <c r="Q26" s="9" t="n">
        <f aca="false">SUM(PnL!$E$12:Q12)-SUM($E$11:Q11)</f>
        <v>79.2000000000001</v>
      </c>
      <c r="R26" s="9" t="n">
        <f aca="false">SUM(PnL!$E$12:R12)-SUM($E$11:R11)</f>
        <v>130.95</v>
      </c>
      <c r="S26" s="9" t="n">
        <f aca="false">SUM(PnL!$E$12:S12)-SUM($E$11:S11)</f>
        <v>69.5500000000002</v>
      </c>
    </row>
    <row r="27" customFormat="false" ht="15" hidden="false" customHeight="true" outlineLevel="0" collapsed="false">
      <c r="A27" s="30" t="s">
        <v>535</v>
      </c>
      <c r="B27" s="4" t="s">
        <v>34</v>
      </c>
      <c r="C27" s="33" t="n">
        <f aca="false">MIN(E27:G27)</f>
        <v>10.4209396694814</v>
      </c>
      <c r="D27" s="33" t="n">
        <f aca="false">MIN(H27:S27)</f>
        <v>7.32997408477341</v>
      </c>
      <c r="E27" s="9" t="n">
        <f aca="false">IF(E15-((PnL!$D$10+PnL!$D$11-PnL!$D$19-PnL!$D$20)/12)&lt;=0,99,E21/(E15-((PnL!$D$10+PnL!$D$11-PnL!$D$19-PnL!$D$20)/12)))</f>
        <v>10.4209396694814</v>
      </c>
      <c r="F27" s="9" t="n">
        <f aca="false">IF(F15-((PnL!$D$10+PnL!$D$11-PnL!$D$19-PnL!$D$20)/12)&lt;=0,99,F21/(F15-((PnL!$D$10+PnL!$D$11-PnL!$D$19-PnL!$D$20)/12)))</f>
        <v>12.1870713688583</v>
      </c>
      <c r="G27" s="9" t="n">
        <f aca="false">IF(G15-((PnL!$D$10+PnL!$D$11-PnL!$D$19-PnL!$D$20)/12)&lt;=0,99,G21/(G15-((PnL!$D$10+PnL!$D$11-PnL!$D$19-PnL!$D$20)/12)))</f>
        <v>18.9665555835278</v>
      </c>
      <c r="H27" s="9" t="n">
        <f aca="false">IF(H15-((PnL!$D$10+PnL!$D$11-PnL!$D$19-PnL!$D$20)/12)&lt;=0,99,H21/(H15-((PnL!$D$10+PnL!$D$11-PnL!$D$19-PnL!$D$20)/12)))</f>
        <v>8.16357218205491</v>
      </c>
      <c r="I27" s="9" t="n">
        <f aca="false">IF(I15-((PnL!$D$10+PnL!$D$11-PnL!$D$19-PnL!$D$20)/12)&lt;=0,99,I21/(I15-((PnL!$D$10+PnL!$D$11-PnL!$D$19-PnL!$D$20)/12)))</f>
        <v>7.52591970398973</v>
      </c>
      <c r="J27" s="9" t="n">
        <f aca="false">IF(J15-((PnL!$D$10+PnL!$D$11-PnL!$D$19-PnL!$D$20)/12)&lt;=0,99,J21/(J15-((PnL!$D$10+PnL!$D$11-PnL!$D$19-PnL!$D$20)/12)))</f>
        <v>7.57502968520253</v>
      </c>
      <c r="K27" s="9" t="n">
        <f aca="false">IF(K15-((PnL!$D$10+PnL!$D$11-PnL!$D$19-PnL!$D$20)/12)&lt;=0,99,K21/(K15-((PnL!$D$10+PnL!$D$11-PnL!$D$19-PnL!$D$20)/12)))</f>
        <v>7.32997408477341</v>
      </c>
      <c r="L27" s="9" t="n">
        <f aca="false">IF(L15-((PnL!$D$10+PnL!$D$11-PnL!$D$19-PnL!$D$20)/12)&lt;=0,99,L21/(L15-((PnL!$D$10+PnL!$D$11-PnL!$D$19-PnL!$D$20)/12)))</f>
        <v>8.15251119799269</v>
      </c>
      <c r="M27" s="9" t="n">
        <f aca="false">IF(M15-((PnL!$D$10+PnL!$D$11-PnL!$D$19-PnL!$D$20)/12)&lt;=0,99,M21/(M15-((PnL!$D$10+PnL!$D$11-PnL!$D$19-PnL!$D$20)/12)))</f>
        <v>8.6275299583243</v>
      </c>
      <c r="N27" s="9" t="n">
        <f aca="false">IF(N15-((PnL!$D$10+PnL!$D$11-PnL!$D$19-PnL!$D$20)/12)&lt;=0,99,N21/(N15-((PnL!$D$10+PnL!$D$11-PnL!$D$19-PnL!$D$20)/12)))</f>
        <v>8.9207302112082</v>
      </c>
      <c r="O27" s="9" t="n">
        <f aca="false">IF(O15-((PnL!$D$10+PnL!$D$11-PnL!$D$19-PnL!$D$20)/12)&lt;=0,99,O21/(O15-((PnL!$D$10+PnL!$D$11-PnL!$D$19-PnL!$D$20)/12)))</f>
        <v>9.63274703192749</v>
      </c>
      <c r="P27" s="9" t="n">
        <f aca="false">IF(P15-((PnL!$D$10+PnL!$D$11-PnL!$D$19-PnL!$D$20)/12)&lt;=0,99,P21/(P15-((PnL!$D$10+PnL!$D$11-PnL!$D$19-PnL!$D$20)/12)))</f>
        <v>10.6715965892911</v>
      </c>
      <c r="Q27" s="9" t="n">
        <f aca="false">IF(Q15-((PnL!$D$10+PnL!$D$11-PnL!$D$19-PnL!$D$20)/12)&lt;=0,99,Q21/(Q15-((PnL!$D$10+PnL!$D$11-PnL!$D$19-PnL!$D$20)/12)))</f>
        <v>11.355889311357</v>
      </c>
      <c r="R27" s="9" t="n">
        <f aca="false">IF(R15-((PnL!$D$10+PnL!$D$11-PnL!$D$19-PnL!$D$20)/12)&lt;=0,99,R21/(R15-((PnL!$D$10+PnL!$D$11-PnL!$D$19-PnL!$D$20)/12)))</f>
        <v>13.1457610605363</v>
      </c>
      <c r="S27" s="9" t="n">
        <f aca="false">IF(S15-((PnL!$D$10+PnL!$D$11-PnL!$D$19-PnL!$D$20)/12)&lt;=0,99,S21/(S15-((PnL!$D$10+PnL!$D$11-PnL!$D$19-PnL!$D$20)/12)))</f>
        <v>15.7632186460682</v>
      </c>
    </row>
    <row r="28" customFormat="false" ht="15" hidden="false" customHeight="true" outlineLevel="0" collapsed="false">
      <c r="A28" s="3"/>
      <c r="B28" s="3"/>
      <c r="C28" s="3"/>
      <c r="D28" s="3"/>
      <c r="E28" s="3"/>
      <c r="F28" s="3"/>
      <c r="G28" s="3"/>
      <c r="H28" s="3"/>
      <c r="I28" s="3"/>
      <c r="J28" s="3"/>
      <c r="K28" s="3"/>
      <c r="L28" s="3"/>
      <c r="M28" s="3"/>
      <c r="N28" s="3"/>
      <c r="O28" s="3"/>
      <c r="P28" s="3"/>
      <c r="Q28" s="3"/>
      <c r="R28" s="3"/>
      <c r="S28" s="3"/>
    </row>
    <row r="29" customFormat="false" ht="15" hidden="false" customHeight="true" outlineLevel="0" collapsed="false">
      <c r="A29" s="4" t="s">
        <v>536</v>
      </c>
      <c r="B29" s="3"/>
      <c r="C29" s="3"/>
      <c r="D29" s="3"/>
      <c r="E29" s="3"/>
      <c r="F29" s="3"/>
      <c r="G29" s="3"/>
      <c r="H29" s="3"/>
      <c r="I29" s="3"/>
      <c r="J29" s="3"/>
      <c r="K29" s="3"/>
      <c r="L29" s="3"/>
      <c r="M29" s="3"/>
      <c r="N29" s="3"/>
      <c r="O29" s="3"/>
      <c r="P29" s="3"/>
      <c r="Q29" s="3"/>
      <c r="R29" s="3"/>
      <c r="S29"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60"/>
    <col collapsed="false" customWidth="true" hidden="false" outlineLevel="0" max="4" min="4" style="1" width="14"/>
    <col collapsed="false" customWidth="true" hidden="false" outlineLevel="0" max="5" min="5" style="1" width="16"/>
    <col collapsed="false" customWidth="true" hidden="false" outlineLevel="0" max="6" min="6" style="1" width="60"/>
    <col collapsed="false" customWidth="true" hidden="false" outlineLevel="0" max="7" min="7" style="1" width="18"/>
    <col collapsed="false" customWidth="true" hidden="false" outlineLevel="0" max="8" min="8" style="1" width="16"/>
    <col collapsed="false" customWidth="true" hidden="false" outlineLevel="0" max="9" min="9" style="1" width="10"/>
  </cols>
  <sheetData>
    <row r="1" customFormat="false" ht="17.25" hidden="false" customHeight="true" outlineLevel="0" collapsed="false">
      <c r="A1" s="2" t="s">
        <v>537</v>
      </c>
      <c r="B1" s="3"/>
      <c r="C1" s="3"/>
      <c r="D1" s="3"/>
      <c r="E1" s="3"/>
      <c r="F1" s="3"/>
      <c r="G1" s="3"/>
      <c r="H1" s="3"/>
      <c r="I1" s="3"/>
    </row>
    <row r="2" customFormat="false" ht="31.5" hidden="false" customHeight="true" outlineLevel="0" collapsed="false">
      <c r="A2" s="17" t="s">
        <v>538</v>
      </c>
      <c r="B2" s="17"/>
      <c r="C2" s="17"/>
      <c r="D2" s="17"/>
      <c r="E2" s="17"/>
      <c r="F2" s="17"/>
      <c r="G2" s="17"/>
      <c r="H2" s="17"/>
      <c r="I2" s="3"/>
    </row>
    <row r="3" customFormat="false" ht="15" hidden="false" customHeight="true" outlineLevel="0" collapsed="false">
      <c r="A3" s="3"/>
      <c r="B3" s="3"/>
      <c r="C3" s="3"/>
      <c r="D3" s="3"/>
      <c r="E3" s="3"/>
      <c r="F3" s="3"/>
      <c r="G3" s="3"/>
      <c r="H3" s="3"/>
      <c r="I3" s="3"/>
    </row>
    <row r="4" customFormat="false" ht="15" hidden="false" customHeight="true" outlineLevel="0" collapsed="false">
      <c r="A4" s="6" t="s">
        <v>354</v>
      </c>
      <c r="B4" s="6" t="s">
        <v>539</v>
      </c>
      <c r="C4" s="6" t="s">
        <v>71</v>
      </c>
      <c r="D4" s="6" t="s">
        <v>540</v>
      </c>
      <c r="E4" s="6" t="s">
        <v>6</v>
      </c>
      <c r="F4" s="6" t="s">
        <v>541</v>
      </c>
      <c r="G4" s="6" t="s">
        <v>542</v>
      </c>
      <c r="H4" s="6" t="s">
        <v>543</v>
      </c>
      <c r="I4" s="6" t="s">
        <v>73</v>
      </c>
    </row>
    <row r="5" customFormat="false" ht="15" hidden="false" customHeight="true" outlineLevel="0" collapsed="false">
      <c r="A5" s="4" t="s">
        <v>544</v>
      </c>
      <c r="B5" s="4" t="s">
        <v>545</v>
      </c>
      <c r="C5" s="4" t="s">
        <v>546</v>
      </c>
      <c r="D5" s="4" t="n">
        <v>5</v>
      </c>
      <c r="E5" s="4" t="s">
        <v>95</v>
      </c>
      <c r="F5" s="4" t="s">
        <v>547</v>
      </c>
      <c r="G5" s="4" t="s">
        <v>548</v>
      </c>
      <c r="H5" s="4" t="n">
        <v>5.5</v>
      </c>
      <c r="I5" s="4" t="s">
        <v>549</v>
      </c>
    </row>
    <row r="6" customFormat="false" ht="15" hidden="false" customHeight="true" outlineLevel="0" collapsed="false">
      <c r="A6" s="3" t="n">
        <v>1</v>
      </c>
      <c r="B6" s="3" t="s">
        <v>550</v>
      </c>
      <c r="C6" s="3" t="s">
        <v>122</v>
      </c>
      <c r="D6" s="39" t="n">
        <f aca="false">Inputs!C22</f>
        <v>1</v>
      </c>
      <c r="E6" s="3" t="s">
        <v>123</v>
      </c>
      <c r="F6" s="3" t="s">
        <v>551</v>
      </c>
      <c r="G6" s="3" t="s">
        <v>552</v>
      </c>
      <c r="H6" s="40"/>
      <c r="I6" s="3" t="s">
        <v>553</v>
      </c>
    </row>
    <row r="7" customFormat="false" ht="15" hidden="false" customHeight="true" outlineLevel="0" collapsed="false">
      <c r="A7" s="3" t="n">
        <v>2</v>
      </c>
      <c r="B7" s="3" t="s">
        <v>550</v>
      </c>
      <c r="C7" s="3" t="s">
        <v>127</v>
      </c>
      <c r="D7" s="36" t="n">
        <f aca="false">Inputs!C23</f>
        <v>3.5</v>
      </c>
      <c r="E7" s="3" t="s">
        <v>128</v>
      </c>
      <c r="F7" s="3" t="s">
        <v>554</v>
      </c>
      <c r="G7" s="3" t="s">
        <v>555</v>
      </c>
      <c r="H7" s="40"/>
      <c r="I7" s="3" t="s">
        <v>553</v>
      </c>
    </row>
    <row r="8" customFormat="false" ht="15" hidden="false" customHeight="true" outlineLevel="0" collapsed="false">
      <c r="A8" s="3" t="n">
        <v>3</v>
      </c>
      <c r="B8" s="3" t="s">
        <v>550</v>
      </c>
      <c r="C8" s="3" t="s">
        <v>131</v>
      </c>
      <c r="D8" s="41" t="n">
        <f aca="false">Inputs!C24</f>
        <v>0.8</v>
      </c>
      <c r="E8" s="3" t="s">
        <v>21</v>
      </c>
      <c r="F8" s="3" t="s">
        <v>556</v>
      </c>
      <c r="G8" s="3" t="s">
        <v>557</v>
      </c>
      <c r="H8" s="40"/>
      <c r="I8" s="3" t="s">
        <v>553</v>
      </c>
    </row>
    <row r="9" customFormat="false" ht="15" hidden="false" customHeight="true" outlineLevel="0" collapsed="false">
      <c r="A9" s="3" t="n">
        <v>4</v>
      </c>
      <c r="B9" s="3" t="s">
        <v>558</v>
      </c>
      <c r="C9" s="3" t="s">
        <v>146</v>
      </c>
      <c r="D9" s="39" t="n">
        <f aca="false">Inputs!C30</f>
        <v>3</v>
      </c>
      <c r="E9" s="3" t="s">
        <v>147</v>
      </c>
      <c r="F9" s="3" t="s">
        <v>559</v>
      </c>
      <c r="G9" s="3" t="s">
        <v>560</v>
      </c>
      <c r="H9" s="40"/>
      <c r="I9" s="3" t="s">
        <v>553</v>
      </c>
    </row>
    <row r="10" customFormat="false" ht="15" hidden="false" customHeight="true" outlineLevel="0" collapsed="false">
      <c r="A10" s="3" t="n">
        <v>5</v>
      </c>
      <c r="B10" s="3" t="s">
        <v>558</v>
      </c>
      <c r="C10" s="3" t="s">
        <v>150</v>
      </c>
      <c r="D10" s="39" t="n">
        <f aca="false">Inputs!C31</f>
        <v>1</v>
      </c>
      <c r="E10" s="3" t="s">
        <v>147</v>
      </c>
      <c r="F10" s="3" t="s">
        <v>561</v>
      </c>
      <c r="G10" s="3" t="s">
        <v>562</v>
      </c>
      <c r="H10" s="40"/>
      <c r="I10" s="3" t="s">
        <v>553</v>
      </c>
    </row>
    <row r="11" customFormat="false" ht="15" hidden="false" customHeight="true" outlineLevel="0" collapsed="false">
      <c r="A11" s="3" t="n">
        <v>6</v>
      </c>
      <c r="B11" s="3" t="s">
        <v>558</v>
      </c>
      <c r="C11" s="3" t="s">
        <v>153</v>
      </c>
      <c r="D11" s="39" t="n">
        <f aca="false">Inputs!C32</f>
        <v>1</v>
      </c>
      <c r="E11" s="3" t="s">
        <v>147</v>
      </c>
      <c r="F11" s="3" t="s">
        <v>561</v>
      </c>
      <c r="G11" s="3" t="s">
        <v>563</v>
      </c>
      <c r="H11" s="40"/>
      <c r="I11" s="3" t="s">
        <v>553</v>
      </c>
    </row>
    <row r="12" customFormat="false" ht="15" hidden="false" customHeight="true" outlineLevel="0" collapsed="false">
      <c r="A12" s="3" t="n">
        <v>7</v>
      </c>
      <c r="B12" s="3" t="s">
        <v>558</v>
      </c>
      <c r="C12" s="3" t="s">
        <v>155</v>
      </c>
      <c r="D12" s="39" t="n">
        <f aca="false">Inputs!C33</f>
        <v>1</v>
      </c>
      <c r="E12" s="3" t="s">
        <v>147</v>
      </c>
      <c r="F12" s="3" t="s">
        <v>561</v>
      </c>
      <c r="G12" s="3" t="s">
        <v>564</v>
      </c>
      <c r="H12" s="40"/>
      <c r="I12" s="3" t="s">
        <v>553</v>
      </c>
    </row>
    <row r="13" customFormat="false" ht="15" hidden="false" customHeight="true" outlineLevel="0" collapsed="false">
      <c r="A13" s="3" t="n">
        <v>8</v>
      </c>
      <c r="B13" s="3" t="s">
        <v>558</v>
      </c>
      <c r="C13" s="3" t="s">
        <v>167</v>
      </c>
      <c r="D13" s="36" t="n">
        <f aca="false">Inputs!C37</f>
        <v>2.5</v>
      </c>
      <c r="E13" s="3" t="s">
        <v>128</v>
      </c>
      <c r="F13" s="3" t="s">
        <v>565</v>
      </c>
      <c r="G13" s="3" t="s">
        <v>566</v>
      </c>
      <c r="H13" s="40"/>
      <c r="I13" s="3" t="s">
        <v>553</v>
      </c>
    </row>
    <row r="14" customFormat="false" ht="15" hidden="false" customHeight="true" outlineLevel="0" collapsed="false">
      <c r="A14" s="3" t="n">
        <v>9</v>
      </c>
      <c r="B14" s="3" t="s">
        <v>545</v>
      </c>
      <c r="C14" s="3" t="s">
        <v>191</v>
      </c>
      <c r="D14" s="36" t="n">
        <f aca="false">Inputs!C47</f>
        <v>1.5</v>
      </c>
      <c r="E14" s="3" t="s">
        <v>95</v>
      </c>
      <c r="F14" s="3" t="s">
        <v>567</v>
      </c>
      <c r="G14" s="3" t="s">
        <v>568</v>
      </c>
      <c r="H14" s="40"/>
      <c r="I14" s="3" t="s">
        <v>553</v>
      </c>
    </row>
    <row r="15" customFormat="false" ht="15" hidden="false" customHeight="true" outlineLevel="0" collapsed="false">
      <c r="A15" s="3" t="n">
        <v>10</v>
      </c>
      <c r="B15" s="3" t="s">
        <v>545</v>
      </c>
      <c r="C15" s="3" t="s">
        <v>200</v>
      </c>
      <c r="D15" s="42" t="str">
        <f aca="false">Inputs!C51</f>
        <v>Jan-27</v>
      </c>
      <c r="E15" s="3" t="s">
        <v>202</v>
      </c>
      <c r="F15" s="3" t="s">
        <v>569</v>
      </c>
      <c r="G15" s="3" t="s">
        <v>570</v>
      </c>
      <c r="H15" s="40"/>
      <c r="I15" s="3" t="s">
        <v>553</v>
      </c>
    </row>
    <row r="16" customFormat="false" ht="15" hidden="false" customHeight="true" outlineLevel="0" collapsed="false">
      <c r="A16" s="3" t="n">
        <v>11</v>
      </c>
      <c r="B16" s="3" t="s">
        <v>545</v>
      </c>
      <c r="C16" s="3" t="s">
        <v>212</v>
      </c>
      <c r="D16" s="42" t="str">
        <f aca="false">Inputs!C54</f>
        <v>Jan-27</v>
      </c>
      <c r="E16" s="3" t="s">
        <v>202</v>
      </c>
      <c r="F16" s="3" t="s">
        <v>571</v>
      </c>
      <c r="G16" s="3" t="s">
        <v>572</v>
      </c>
      <c r="H16" s="40"/>
      <c r="I16" s="3" t="s">
        <v>553</v>
      </c>
    </row>
    <row r="17" customFormat="false" ht="15" hidden="false" customHeight="true" outlineLevel="0" collapsed="false">
      <c r="A17" s="3" t="n">
        <v>12</v>
      </c>
      <c r="B17" s="3" t="s">
        <v>550</v>
      </c>
      <c r="C17" s="3" t="s">
        <v>215</v>
      </c>
      <c r="D17" s="36" t="n">
        <f aca="false">Inputs!C55</f>
        <v>2</v>
      </c>
      <c r="E17" s="3" t="s">
        <v>95</v>
      </c>
      <c r="F17" s="3" t="s">
        <v>573</v>
      </c>
      <c r="G17" s="3" t="s">
        <v>574</v>
      </c>
      <c r="H17" s="40"/>
      <c r="I17" s="3" t="s">
        <v>553</v>
      </c>
    </row>
    <row r="18" customFormat="false" ht="15" hidden="false" customHeight="true" outlineLevel="0" collapsed="false">
      <c r="A18" s="3" t="n">
        <v>13</v>
      </c>
      <c r="B18" s="3" t="s">
        <v>558</v>
      </c>
      <c r="C18" s="3" t="s">
        <v>220</v>
      </c>
      <c r="D18" s="39" t="n">
        <f aca="false">Inputs!C57</f>
        <v>4</v>
      </c>
      <c r="E18" s="3" t="s">
        <v>26</v>
      </c>
      <c r="F18" s="3" t="s">
        <v>575</v>
      </c>
      <c r="G18" s="3" t="s">
        <v>576</v>
      </c>
      <c r="H18" s="40"/>
      <c r="I18" s="3" t="s">
        <v>553</v>
      </c>
    </row>
    <row r="19" customFormat="false" ht="15" hidden="false" customHeight="true" outlineLevel="0" collapsed="false">
      <c r="A19" s="3" t="n">
        <v>14</v>
      </c>
      <c r="B19" s="3" t="s">
        <v>558</v>
      </c>
      <c r="C19" s="3" t="s">
        <v>223</v>
      </c>
      <c r="D19" s="39" t="n">
        <f aca="false">Inputs!C58</f>
        <v>12</v>
      </c>
      <c r="E19" s="3" t="s">
        <v>224</v>
      </c>
      <c r="F19" s="3" t="s">
        <v>577</v>
      </c>
      <c r="G19" s="3" t="s">
        <v>578</v>
      </c>
      <c r="H19" s="40"/>
      <c r="I19" s="3" t="s">
        <v>553</v>
      </c>
    </row>
    <row r="20" customFormat="false" ht="15" hidden="false" customHeight="true" outlineLevel="0" collapsed="false">
      <c r="A20" s="3" t="n">
        <v>15</v>
      </c>
      <c r="B20" s="3" t="s">
        <v>558</v>
      </c>
      <c r="C20" s="3" t="s">
        <v>227</v>
      </c>
      <c r="D20" s="36" t="n">
        <f aca="false">Inputs!C59</f>
        <v>1.33</v>
      </c>
      <c r="E20" s="3" t="s">
        <v>224</v>
      </c>
      <c r="F20" s="3" t="s">
        <v>579</v>
      </c>
      <c r="G20" s="3" t="s">
        <v>580</v>
      </c>
      <c r="H20" s="40"/>
      <c r="I20" s="3" t="s">
        <v>553</v>
      </c>
    </row>
    <row r="21" customFormat="false" ht="15" hidden="false" customHeight="true" outlineLevel="0" collapsed="false">
      <c r="A21" s="3" t="n">
        <v>16</v>
      </c>
      <c r="B21" s="3" t="s">
        <v>550</v>
      </c>
      <c r="C21" s="3" t="s">
        <v>231</v>
      </c>
      <c r="D21" s="39" t="n">
        <f aca="false">Inputs!C61</f>
        <v>1</v>
      </c>
      <c r="E21" s="3" t="s">
        <v>123</v>
      </c>
      <c r="F21" s="3" t="s">
        <v>581</v>
      </c>
      <c r="G21" s="3" t="s">
        <v>582</v>
      </c>
      <c r="H21" s="40"/>
      <c r="I21" s="3" t="s">
        <v>553</v>
      </c>
    </row>
    <row r="22" customFormat="false" ht="15" hidden="false" customHeight="true" outlineLevel="0" collapsed="false">
      <c r="A22" s="3" t="n">
        <v>17</v>
      </c>
      <c r="B22" s="3" t="s">
        <v>550</v>
      </c>
      <c r="C22" s="3" t="s">
        <v>234</v>
      </c>
      <c r="D22" s="36" t="n">
        <f aca="false">Inputs!C62</f>
        <v>0.075</v>
      </c>
      <c r="E22" s="3" t="s">
        <v>235</v>
      </c>
      <c r="F22" s="3" t="s">
        <v>583</v>
      </c>
      <c r="G22" s="3" t="s">
        <v>584</v>
      </c>
      <c r="H22" s="40"/>
      <c r="I22" s="3" t="s">
        <v>553</v>
      </c>
    </row>
    <row r="23" customFormat="false" ht="15" hidden="false" customHeight="true" outlineLevel="0" collapsed="false">
      <c r="A23" s="3" t="n">
        <v>18</v>
      </c>
      <c r="B23" s="3" t="s">
        <v>550</v>
      </c>
      <c r="C23" s="3" t="s">
        <v>238</v>
      </c>
      <c r="D23" s="39" t="n">
        <f aca="false">Inputs!C63</f>
        <v>40</v>
      </c>
      <c r="E23" s="3" t="s">
        <v>43</v>
      </c>
      <c r="F23" s="3" t="s">
        <v>585</v>
      </c>
      <c r="G23" s="3" t="s">
        <v>586</v>
      </c>
      <c r="H23" s="40"/>
      <c r="I23" s="3" t="s">
        <v>553</v>
      </c>
    </row>
    <row r="24" customFormat="false" ht="15" hidden="false" customHeight="true" outlineLevel="0" collapsed="false">
      <c r="A24" s="3" t="n">
        <v>19</v>
      </c>
      <c r="B24" s="3" t="s">
        <v>550</v>
      </c>
      <c r="C24" s="3" t="s">
        <v>240</v>
      </c>
      <c r="D24" s="39" t="n">
        <f aca="false">Inputs!C64</f>
        <v>30</v>
      </c>
      <c r="E24" s="3" t="s">
        <v>43</v>
      </c>
      <c r="F24" s="3" t="s">
        <v>585</v>
      </c>
      <c r="G24" s="3" t="s">
        <v>587</v>
      </c>
      <c r="H24" s="40"/>
      <c r="I24" s="3" t="s">
        <v>553</v>
      </c>
    </row>
    <row r="25" customFormat="false" ht="15" hidden="false" customHeight="true" outlineLevel="0" collapsed="false">
      <c r="A25" s="3" t="n">
        <v>20</v>
      </c>
      <c r="B25" s="3" t="s">
        <v>550</v>
      </c>
      <c r="C25" s="3" t="s">
        <v>242</v>
      </c>
      <c r="D25" s="39" t="n">
        <f aca="false">Inputs!C65</f>
        <v>40</v>
      </c>
      <c r="E25" s="3" t="s">
        <v>43</v>
      </c>
      <c r="F25" s="3" t="s">
        <v>585</v>
      </c>
      <c r="G25" s="3" t="s">
        <v>588</v>
      </c>
      <c r="H25" s="40"/>
      <c r="I25" s="3" t="s">
        <v>553</v>
      </c>
    </row>
    <row r="26" customFormat="false" ht="15" hidden="false" customHeight="true" outlineLevel="0" collapsed="false">
      <c r="A26" s="3" t="n">
        <v>21</v>
      </c>
      <c r="B26" s="3" t="s">
        <v>550</v>
      </c>
      <c r="C26" s="3" t="s">
        <v>244</v>
      </c>
      <c r="D26" s="39" t="n">
        <f aca="false">Inputs!C66</f>
        <v>50</v>
      </c>
      <c r="E26" s="3" t="s">
        <v>43</v>
      </c>
      <c r="F26" s="3" t="s">
        <v>585</v>
      </c>
      <c r="G26" s="3" t="s">
        <v>589</v>
      </c>
      <c r="H26" s="40"/>
      <c r="I26" s="3" t="s">
        <v>553</v>
      </c>
    </row>
    <row r="27" customFormat="false" ht="15" hidden="false" customHeight="true" outlineLevel="0" collapsed="false">
      <c r="A27" s="3" t="n">
        <v>22</v>
      </c>
      <c r="B27" s="3" t="s">
        <v>550</v>
      </c>
      <c r="C27" s="3" t="s">
        <v>246</v>
      </c>
      <c r="D27" s="36" t="n">
        <f aca="false">Inputs!C67</f>
        <v>0.05</v>
      </c>
      <c r="E27" s="3" t="s">
        <v>247</v>
      </c>
      <c r="F27" s="3" t="s">
        <v>590</v>
      </c>
      <c r="G27" s="3" t="s">
        <v>591</v>
      </c>
      <c r="H27" s="40"/>
      <c r="I27" s="3" t="s">
        <v>553</v>
      </c>
    </row>
    <row r="28" customFormat="false" ht="15" hidden="false" customHeight="true" outlineLevel="0" collapsed="false">
      <c r="A28" s="3" t="n">
        <v>23</v>
      </c>
      <c r="B28" s="3" t="s">
        <v>550</v>
      </c>
      <c r="C28" s="3" t="s">
        <v>250</v>
      </c>
      <c r="D28" s="39" t="n">
        <f aca="false">Inputs!C68</f>
        <v>10</v>
      </c>
      <c r="E28" s="3" t="s">
        <v>251</v>
      </c>
      <c r="F28" s="3" t="s">
        <v>592</v>
      </c>
      <c r="G28" s="3" t="s">
        <v>593</v>
      </c>
      <c r="H28" s="40"/>
      <c r="I28" s="3" t="s">
        <v>553</v>
      </c>
    </row>
    <row r="29" customFormat="false" ht="15" hidden="false" customHeight="true" outlineLevel="0" collapsed="false">
      <c r="A29" s="3" t="n">
        <v>24</v>
      </c>
      <c r="B29" s="3" t="s">
        <v>550</v>
      </c>
      <c r="C29" s="3" t="s">
        <v>254</v>
      </c>
      <c r="D29" s="39" t="n">
        <f aca="false">Inputs!C70</f>
        <v>4</v>
      </c>
      <c r="E29" s="3" t="s">
        <v>255</v>
      </c>
      <c r="F29" s="3" t="s">
        <v>594</v>
      </c>
      <c r="G29" s="3" t="s">
        <v>595</v>
      </c>
      <c r="H29" s="40"/>
      <c r="I29" s="3" t="s">
        <v>553</v>
      </c>
    </row>
    <row r="30" customFormat="false" ht="15" hidden="false" customHeight="true" outlineLevel="0" collapsed="false">
      <c r="A30" s="3" t="n">
        <v>25</v>
      </c>
      <c r="B30" s="3" t="s">
        <v>596</v>
      </c>
      <c r="C30" s="3" t="s">
        <v>262</v>
      </c>
      <c r="D30" s="41" t="n">
        <f aca="false">Inputs!C73</f>
        <v>0.6</v>
      </c>
      <c r="E30" s="3" t="s">
        <v>21</v>
      </c>
      <c r="F30" s="3" t="s">
        <v>597</v>
      </c>
      <c r="G30" s="3" t="s">
        <v>598</v>
      </c>
      <c r="H30" s="40"/>
      <c r="I30" s="3" t="s">
        <v>553</v>
      </c>
    </row>
    <row r="31" customFormat="false" ht="15" hidden="false" customHeight="true" outlineLevel="0" collapsed="false">
      <c r="A31" s="3" t="n">
        <v>26</v>
      </c>
      <c r="B31" s="3" t="s">
        <v>596</v>
      </c>
      <c r="C31" s="3" t="s">
        <v>265</v>
      </c>
      <c r="D31" s="41" t="n">
        <f aca="false">Inputs!C74</f>
        <v>0.3</v>
      </c>
      <c r="E31" s="3" t="s">
        <v>21</v>
      </c>
      <c r="F31" s="3" t="s">
        <v>597</v>
      </c>
      <c r="G31" s="3" t="s">
        <v>599</v>
      </c>
      <c r="H31" s="40"/>
      <c r="I31" s="3" t="s">
        <v>553</v>
      </c>
    </row>
    <row r="32" customFormat="false" ht="15" hidden="false" customHeight="true" outlineLevel="0" collapsed="false">
      <c r="A32" s="3" t="n">
        <v>27</v>
      </c>
      <c r="B32" s="3" t="s">
        <v>596</v>
      </c>
      <c r="C32" s="3" t="s">
        <v>268</v>
      </c>
      <c r="D32" s="41" t="n">
        <f aca="false">Inputs!C75</f>
        <v>0.1</v>
      </c>
      <c r="E32" s="3" t="s">
        <v>21</v>
      </c>
      <c r="F32" s="3" t="s">
        <v>597</v>
      </c>
      <c r="G32" s="3" t="s">
        <v>600</v>
      </c>
      <c r="H32" s="40"/>
      <c r="I32" s="3" t="s">
        <v>553</v>
      </c>
    </row>
    <row r="33" customFormat="false" ht="15" hidden="false" customHeight="true" outlineLevel="0" collapsed="false">
      <c r="A33" s="3" t="n">
        <v>28</v>
      </c>
      <c r="B33" s="3" t="s">
        <v>596</v>
      </c>
      <c r="C33" s="3" t="s">
        <v>270</v>
      </c>
      <c r="D33" s="41" t="n">
        <f aca="false">Inputs!C76</f>
        <v>0.8</v>
      </c>
      <c r="E33" s="3" t="s">
        <v>21</v>
      </c>
      <c r="F33" s="3" t="s">
        <v>601</v>
      </c>
      <c r="G33" s="3" t="s">
        <v>602</v>
      </c>
      <c r="H33" s="40"/>
      <c r="I33" s="3" t="s">
        <v>553</v>
      </c>
    </row>
    <row r="34" customFormat="false" ht="15" hidden="false" customHeight="true" outlineLevel="0" collapsed="false">
      <c r="A34" s="3" t="n">
        <v>29</v>
      </c>
      <c r="B34" s="3" t="s">
        <v>596</v>
      </c>
      <c r="C34" s="3" t="s">
        <v>273</v>
      </c>
      <c r="D34" s="41" t="n">
        <f aca="false">Inputs!C77</f>
        <v>0.2</v>
      </c>
      <c r="E34" s="3" t="s">
        <v>21</v>
      </c>
      <c r="F34" s="3" t="s">
        <v>603</v>
      </c>
      <c r="G34" s="3" t="s">
        <v>604</v>
      </c>
      <c r="H34" s="40"/>
      <c r="I34" s="3" t="s">
        <v>553</v>
      </c>
    </row>
    <row r="35" customFormat="false" ht="15" hidden="false" customHeight="true" outlineLevel="0" collapsed="false">
      <c r="A35" s="3" t="n">
        <v>30</v>
      </c>
      <c r="B35" s="3" t="s">
        <v>596</v>
      </c>
      <c r="C35" s="3" t="s">
        <v>276</v>
      </c>
      <c r="D35" s="41" t="n">
        <f aca="false">Inputs!C78</f>
        <v>0.5</v>
      </c>
      <c r="E35" s="3" t="s">
        <v>21</v>
      </c>
      <c r="F35" s="3" t="s">
        <v>603</v>
      </c>
      <c r="G35" s="3" t="s">
        <v>605</v>
      </c>
      <c r="H35" s="40"/>
      <c r="I35" s="3" t="s">
        <v>553</v>
      </c>
    </row>
    <row r="36" customFormat="false" ht="15" hidden="false" customHeight="true" outlineLevel="0" collapsed="false">
      <c r="A36" s="3" t="n">
        <v>31</v>
      </c>
      <c r="B36" s="3" t="s">
        <v>596</v>
      </c>
      <c r="C36" s="3" t="s">
        <v>278</v>
      </c>
      <c r="D36" s="41" t="n">
        <f aca="false">Inputs!C79</f>
        <v>0.3</v>
      </c>
      <c r="E36" s="3" t="s">
        <v>21</v>
      </c>
      <c r="F36" s="3" t="s">
        <v>603</v>
      </c>
      <c r="G36" s="3" t="s">
        <v>606</v>
      </c>
      <c r="H36" s="40"/>
      <c r="I36" s="3" t="s">
        <v>553</v>
      </c>
    </row>
    <row r="37" customFormat="false" ht="15" hidden="false" customHeight="true" outlineLevel="0" collapsed="false">
      <c r="A37" s="3" t="n">
        <v>32</v>
      </c>
      <c r="B37" s="3" t="s">
        <v>596</v>
      </c>
      <c r="C37" s="3" t="s">
        <v>280</v>
      </c>
      <c r="D37" s="41" t="n">
        <f aca="false">Inputs!C80</f>
        <v>0.005</v>
      </c>
      <c r="E37" s="3" t="s">
        <v>281</v>
      </c>
      <c r="F37" s="3" t="s">
        <v>607</v>
      </c>
      <c r="G37" s="3" t="s">
        <v>608</v>
      </c>
      <c r="H37" s="40"/>
      <c r="I37" s="3" t="s">
        <v>553</v>
      </c>
    </row>
    <row r="38" customFormat="false" ht="15" hidden="false" customHeight="true" outlineLevel="0" collapsed="false">
      <c r="A38" s="3" t="n">
        <v>33</v>
      </c>
      <c r="B38" s="3" t="s">
        <v>609</v>
      </c>
      <c r="C38" s="3" t="s">
        <v>285</v>
      </c>
      <c r="D38" s="41" t="n">
        <f aca="false">Inputs!C82</f>
        <v>0.15</v>
      </c>
      <c r="E38" s="3" t="s">
        <v>21</v>
      </c>
      <c r="F38" s="3" t="s">
        <v>610</v>
      </c>
      <c r="G38" s="3" t="s">
        <v>611</v>
      </c>
      <c r="H38" s="40"/>
      <c r="I38" s="3" t="s">
        <v>553</v>
      </c>
    </row>
    <row r="39" customFormat="false" ht="15" hidden="false" customHeight="true" outlineLevel="0" collapsed="false">
      <c r="A39" s="3" t="n">
        <v>34</v>
      </c>
      <c r="B39" s="3" t="s">
        <v>609</v>
      </c>
      <c r="C39" s="3" t="s">
        <v>288</v>
      </c>
      <c r="D39" s="41" t="n">
        <f aca="false">Inputs!C83</f>
        <v>0.85</v>
      </c>
      <c r="E39" s="3" t="s">
        <v>21</v>
      </c>
      <c r="F39" s="3" t="s">
        <v>612</v>
      </c>
      <c r="G39" s="3" t="s">
        <v>613</v>
      </c>
      <c r="H39" s="40"/>
      <c r="I39" s="3" t="s">
        <v>553</v>
      </c>
    </row>
    <row r="40" customFormat="false" ht="15" hidden="false" customHeight="true" outlineLevel="0" collapsed="false">
      <c r="A40" s="3" t="n">
        <v>35</v>
      </c>
      <c r="B40" s="3" t="s">
        <v>614</v>
      </c>
      <c r="C40" s="3" t="s">
        <v>295</v>
      </c>
      <c r="D40" s="42" t="str">
        <f aca="false">Inputs!C86</f>
        <v>Jan-27</v>
      </c>
      <c r="E40" s="3" t="s">
        <v>202</v>
      </c>
      <c r="F40" s="3" t="s">
        <v>615</v>
      </c>
      <c r="G40" s="3" t="s">
        <v>616</v>
      </c>
      <c r="H40" s="40"/>
      <c r="I40" s="3" t="s">
        <v>553</v>
      </c>
    </row>
    <row r="41" customFormat="false" ht="15" hidden="false" customHeight="true" outlineLevel="0" collapsed="false">
      <c r="A41" s="3" t="n">
        <v>36</v>
      </c>
      <c r="B41" s="3" t="s">
        <v>614</v>
      </c>
      <c r="C41" s="3" t="s">
        <v>298</v>
      </c>
      <c r="D41" s="36" t="n">
        <f aca="false">Inputs!C87</f>
        <v>94</v>
      </c>
      <c r="E41" s="3" t="s">
        <v>299</v>
      </c>
      <c r="F41" s="3" t="s">
        <v>617</v>
      </c>
      <c r="G41" s="3" t="s">
        <v>618</v>
      </c>
      <c r="H41" s="40"/>
      <c r="I41" s="3" t="s">
        <v>553</v>
      </c>
    </row>
    <row r="42" customFormat="false" ht="15" hidden="false" customHeight="true" outlineLevel="0" collapsed="false">
      <c r="A42" s="3" t="n">
        <v>37</v>
      </c>
      <c r="B42" s="3" t="s">
        <v>614</v>
      </c>
      <c r="C42" s="3" t="s">
        <v>302</v>
      </c>
      <c r="D42" s="36" t="n">
        <f aca="false">Inputs!C88</f>
        <v>24</v>
      </c>
      <c r="E42" s="3" t="s">
        <v>87</v>
      </c>
      <c r="F42" s="3" t="s">
        <v>619</v>
      </c>
      <c r="G42" s="3" t="s">
        <v>620</v>
      </c>
      <c r="H42" s="40"/>
      <c r="I42" s="3" t="s">
        <v>553</v>
      </c>
    </row>
    <row r="43" customFormat="false" ht="15" hidden="false" customHeight="true" outlineLevel="0" collapsed="false">
      <c r="A43" s="3" t="n">
        <v>38</v>
      </c>
      <c r="B43" s="3" t="s">
        <v>614</v>
      </c>
      <c r="C43" s="3" t="s">
        <v>305</v>
      </c>
      <c r="D43" s="36" t="n">
        <f aca="false">Inputs!C89</f>
        <v>45</v>
      </c>
      <c r="E43" s="3" t="s">
        <v>306</v>
      </c>
      <c r="F43" s="3" t="s">
        <v>621</v>
      </c>
      <c r="G43" s="3" t="s">
        <v>622</v>
      </c>
      <c r="H43" s="40"/>
      <c r="I43" s="3" t="s">
        <v>553</v>
      </c>
    </row>
    <row r="44" customFormat="false" ht="15" hidden="false" customHeight="true" outlineLevel="0" collapsed="false">
      <c r="A44" s="3" t="n">
        <v>39</v>
      </c>
      <c r="B44" s="3" t="s">
        <v>614</v>
      </c>
      <c r="C44" s="3" t="s">
        <v>309</v>
      </c>
      <c r="D44" s="36" t="n">
        <f aca="false">Inputs!C90</f>
        <v>55</v>
      </c>
      <c r="E44" s="3" t="s">
        <v>306</v>
      </c>
      <c r="F44" s="3" t="s">
        <v>623</v>
      </c>
      <c r="G44" s="3" t="s">
        <v>624</v>
      </c>
      <c r="H44" s="40"/>
      <c r="I44" s="3" t="s">
        <v>553</v>
      </c>
    </row>
    <row r="45" customFormat="false" ht="15" hidden="false" customHeight="true" outlineLevel="0" collapsed="false">
      <c r="A45" s="3" t="n">
        <v>40</v>
      </c>
      <c r="B45" s="3" t="s">
        <v>614</v>
      </c>
      <c r="C45" s="3" t="s">
        <v>312</v>
      </c>
      <c r="D45" s="41" t="n">
        <f aca="false">Inputs!C91</f>
        <v>0.25</v>
      </c>
      <c r="E45" s="3" t="s">
        <v>21</v>
      </c>
      <c r="F45" s="3" t="s">
        <v>625</v>
      </c>
      <c r="G45" s="3" t="s">
        <v>626</v>
      </c>
      <c r="H45" s="40"/>
      <c r="I45" s="3" t="s">
        <v>553</v>
      </c>
    </row>
    <row r="46" customFormat="false" ht="15" hidden="false" customHeight="true" outlineLevel="0" collapsed="false">
      <c r="A46" s="3" t="n">
        <v>41</v>
      </c>
      <c r="B46" s="3" t="s">
        <v>614</v>
      </c>
      <c r="C46" s="3" t="s">
        <v>315</v>
      </c>
      <c r="D46" s="36" t="n">
        <f aca="false">Inputs!C92</f>
        <v>0.15</v>
      </c>
      <c r="E46" s="3" t="s">
        <v>128</v>
      </c>
      <c r="F46" s="3" t="s">
        <v>627</v>
      </c>
      <c r="G46" s="3" t="s">
        <v>628</v>
      </c>
      <c r="H46" s="40"/>
      <c r="I46" s="3" t="s">
        <v>553</v>
      </c>
    </row>
    <row r="47" customFormat="false" ht="15" hidden="false" customHeight="true" outlineLevel="0" collapsed="false">
      <c r="A47" s="3" t="n">
        <v>42</v>
      </c>
      <c r="B47" s="3" t="s">
        <v>614</v>
      </c>
      <c r="C47" s="3" t="s">
        <v>323</v>
      </c>
      <c r="D47" s="39" t="n">
        <f aca="false">Inputs!C95</f>
        <v>1</v>
      </c>
      <c r="E47" s="3" t="s">
        <v>123</v>
      </c>
      <c r="F47" s="3" t="s">
        <v>629</v>
      </c>
      <c r="G47" s="3" t="s">
        <v>630</v>
      </c>
      <c r="H47" s="40"/>
      <c r="I47" s="3" t="s">
        <v>553</v>
      </c>
    </row>
    <row r="48" customFormat="false" ht="15" hidden="false" customHeight="true" outlineLevel="0" collapsed="false">
      <c r="A48" s="3" t="n">
        <v>43</v>
      </c>
      <c r="B48" s="3" t="s">
        <v>614</v>
      </c>
      <c r="C48" s="3" t="s">
        <v>330</v>
      </c>
      <c r="D48" s="41" t="n">
        <f aca="false">Inputs!C97</f>
        <v>0.3</v>
      </c>
      <c r="E48" s="3" t="s">
        <v>21</v>
      </c>
      <c r="F48" s="3" t="s">
        <v>631</v>
      </c>
      <c r="G48" s="3" t="s">
        <v>632</v>
      </c>
      <c r="H48" s="40"/>
      <c r="I48" s="3" t="s">
        <v>553</v>
      </c>
    </row>
    <row r="49" customFormat="false" ht="15" hidden="false" customHeight="true" outlineLevel="0" collapsed="false">
      <c r="A49" s="3" t="n">
        <v>44</v>
      </c>
      <c r="B49" s="3" t="s">
        <v>614</v>
      </c>
      <c r="C49" s="3" t="s">
        <v>333</v>
      </c>
      <c r="D49" s="41" t="n">
        <f aca="false">Inputs!C98</f>
        <v>1</v>
      </c>
      <c r="E49" s="3" t="s">
        <v>21</v>
      </c>
      <c r="F49" s="3" t="s">
        <v>633</v>
      </c>
      <c r="G49" s="3" t="s">
        <v>634</v>
      </c>
      <c r="H49" s="40"/>
      <c r="I49" s="3" t="s">
        <v>553</v>
      </c>
    </row>
    <row r="50" customFormat="false" ht="15" hidden="false" customHeight="true" outlineLevel="0" collapsed="false">
      <c r="A50" s="3" t="n">
        <v>45</v>
      </c>
      <c r="B50" s="3" t="s">
        <v>596</v>
      </c>
      <c r="C50" s="3" t="s">
        <v>635</v>
      </c>
      <c r="D50" s="3" t="s">
        <v>636</v>
      </c>
      <c r="E50" s="3"/>
      <c r="F50" s="3" t="s">
        <v>637</v>
      </c>
      <c r="G50" s="3" t="s">
        <v>638</v>
      </c>
      <c r="H50" s="40"/>
      <c r="I50" s="3" t="s">
        <v>553</v>
      </c>
    </row>
    <row r="51" customFormat="false" ht="15" hidden="false" customHeight="true" outlineLevel="0" collapsed="false">
      <c r="A51" s="3" t="n">
        <v>46</v>
      </c>
      <c r="B51" s="3" t="s">
        <v>639</v>
      </c>
      <c r="C51" s="3" t="s">
        <v>640</v>
      </c>
      <c r="D51" s="3" t="s">
        <v>641</v>
      </c>
      <c r="E51" s="3"/>
      <c r="F51" s="3" t="s">
        <v>642</v>
      </c>
      <c r="G51" s="3" t="s">
        <v>643</v>
      </c>
      <c r="H51" s="40"/>
      <c r="I51" s="3" t="s">
        <v>553</v>
      </c>
    </row>
    <row r="52" customFormat="false" ht="15" hidden="false" customHeight="true" outlineLevel="0" collapsed="false">
      <c r="A52" s="3" t="n">
        <v>47</v>
      </c>
      <c r="B52" s="3" t="s">
        <v>639</v>
      </c>
      <c r="C52" s="3" t="s">
        <v>644</v>
      </c>
      <c r="D52" s="3" t="s">
        <v>645</v>
      </c>
      <c r="E52" s="3"/>
      <c r="F52" s="3" t="s">
        <v>646</v>
      </c>
      <c r="G52" s="3" t="s">
        <v>647</v>
      </c>
      <c r="H52" s="40"/>
      <c r="I52" s="3" t="s">
        <v>553</v>
      </c>
    </row>
    <row r="53" customFormat="false" ht="15" hidden="false" customHeight="true" outlineLevel="0" collapsed="false">
      <c r="A53" s="3" t="n">
        <v>48</v>
      </c>
      <c r="B53" s="3" t="s">
        <v>614</v>
      </c>
      <c r="C53" s="3" t="s">
        <v>648</v>
      </c>
      <c r="D53" s="3" t="s">
        <v>649</v>
      </c>
      <c r="E53" s="3"/>
      <c r="F53" s="3" t="s">
        <v>650</v>
      </c>
      <c r="G53" s="3" t="s">
        <v>651</v>
      </c>
      <c r="H53" s="40"/>
      <c r="I53" s="3" t="s">
        <v>553</v>
      </c>
    </row>
    <row r="54" customFormat="false" ht="15" hidden="false" customHeight="true" outlineLevel="0" collapsed="false">
      <c r="A54" s="3" t="n">
        <v>49</v>
      </c>
      <c r="B54" s="3" t="s">
        <v>614</v>
      </c>
      <c r="C54" s="3" t="s">
        <v>652</v>
      </c>
      <c r="D54" s="3" t="s">
        <v>653</v>
      </c>
      <c r="E54" s="3"/>
      <c r="F54" s="3" t="s">
        <v>654</v>
      </c>
      <c r="G54" s="3" t="s">
        <v>655</v>
      </c>
      <c r="H54" s="40"/>
      <c r="I54" s="3" t="s">
        <v>553</v>
      </c>
    </row>
    <row r="55" customFormat="false" ht="15" hidden="false" customHeight="true" outlineLevel="0" collapsed="false">
      <c r="A55" s="3" t="n">
        <v>50</v>
      </c>
      <c r="B55" s="3" t="s">
        <v>639</v>
      </c>
      <c r="C55" s="3" t="s">
        <v>656</v>
      </c>
      <c r="D55" s="3" t="s">
        <v>657</v>
      </c>
      <c r="E55" s="3"/>
      <c r="F55" s="3" t="s">
        <v>658</v>
      </c>
      <c r="G55" s="3" t="s">
        <v>643</v>
      </c>
      <c r="H55" s="40"/>
      <c r="I55" s="3" t="s">
        <v>553</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2026-10-04T15:16:12Z</dcterms:created>
  <dc:creator>openpyxl</dc:creator>
  <dc:description/>
  <dc:language>en-US</dc:language>
  <cp:lastModifiedBy/>
  <dcterms:modified xsi:type="dcterms:W3CDTF">2026-10-04T15:16:27Z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