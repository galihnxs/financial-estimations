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galihmujiagung/Library/Containers/com.microsoft.Excel/Data/Documents/"/>
    </mc:Choice>
  </mc:AlternateContent>
  <xr:revisionPtr revIDLastSave="0" documentId="13_ncr:1_{2F6BB048-0607-CC41-8A21-B37433C3397B}" xr6:coauthVersionLast="47" xr6:coauthVersionMax="47" xr10:uidLastSave="{00000000-0000-0000-0000-000000000000}"/>
  <bookViews>
    <workbookView xWindow="0" yWindow="780" windowWidth="16380" windowHeight="8200" tabRatio="500" xr2:uid="{00000000-000D-0000-FFFF-FFFF00000000}"/>
  </bookViews>
  <sheets>
    <sheet name="Summary" sheetId="1" r:id="rId1"/>
    <sheet name="Outlook" sheetId="2" r:id="rId2"/>
    <sheet name="Inputs" sheetId="3" r:id="rId3"/>
    <sheet name="Volume" sheetId="4" r:id="rId4"/>
    <sheet name="Unit_Economics" sheetId="5" r:id="rId5"/>
    <sheet name="Rate_Card" sheetId="6" r:id="rId6"/>
    <sheet name="Capacity_OPEX" sheetId="7" r:id="rId7"/>
    <sheet name="PnL" sheetId="8" r:id="rId8"/>
    <sheet name="CashFlow" sheetId="9" r:id="rId9"/>
    <sheet name="To_Fill" sheetId="10" r:id="rId1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1" i="10" l="1"/>
  <c r="D60" i="10"/>
  <c r="D59" i="10"/>
  <c r="D58" i="10"/>
  <c r="D57" i="10"/>
  <c r="D56" i="10"/>
  <c r="D49" i="10"/>
  <c r="D48" i="10"/>
  <c r="D47" i="10"/>
  <c r="D46" i="10"/>
  <c r="D45" i="10"/>
  <c r="D44" i="10"/>
  <c r="D43" i="10"/>
  <c r="D42" i="10"/>
  <c r="D41" i="10"/>
  <c r="D40" i="10"/>
  <c r="D39" i="10"/>
  <c r="D38" i="10"/>
  <c r="D37" i="10"/>
  <c r="D36" i="10"/>
  <c r="D35" i="10"/>
  <c r="D34" i="10"/>
  <c r="D33" i="10"/>
  <c r="D32" i="10"/>
  <c r="D31" i="10"/>
  <c r="D30" i="10"/>
  <c r="D29" i="10"/>
  <c r="D28" i="10"/>
  <c r="D27" i="10"/>
  <c r="D26" i="10"/>
  <c r="D25" i="10"/>
  <c r="D24" i="10"/>
  <c r="D23" i="10"/>
  <c r="D22" i="10"/>
  <c r="D21" i="10"/>
  <c r="D20" i="10"/>
  <c r="D19" i="10"/>
  <c r="D18" i="10"/>
  <c r="D17" i="10"/>
  <c r="D16" i="10"/>
  <c r="D15" i="10"/>
  <c r="D14" i="10"/>
  <c r="D13" i="10"/>
  <c r="D12" i="10"/>
  <c r="D11" i="10"/>
  <c r="D10" i="10"/>
  <c r="D9" i="10"/>
  <c r="D8" i="10"/>
  <c r="D7" i="10"/>
  <c r="D6" i="10"/>
  <c r="E20" i="9"/>
  <c r="C20" i="9"/>
  <c r="E16" i="9"/>
  <c r="S40" i="7"/>
  <c r="R40" i="7"/>
  <c r="Q40" i="7"/>
  <c r="P40" i="7"/>
  <c r="O40" i="7"/>
  <c r="N40" i="7"/>
  <c r="M40" i="7"/>
  <c r="L40" i="7"/>
  <c r="K40" i="7"/>
  <c r="J40" i="7"/>
  <c r="I40" i="7"/>
  <c r="H40" i="7"/>
  <c r="G40" i="7"/>
  <c r="F40" i="7"/>
  <c r="E40" i="7"/>
  <c r="S36" i="7"/>
  <c r="S38" i="7" s="1"/>
  <c r="R36" i="7"/>
  <c r="R38" i="7" s="1"/>
  <c r="Q36" i="7"/>
  <c r="Q38" i="7" s="1"/>
  <c r="P36" i="7"/>
  <c r="P38" i="7" s="1"/>
  <c r="O36" i="7"/>
  <c r="O38" i="7" s="1"/>
  <c r="N36" i="7"/>
  <c r="N38" i="7" s="1"/>
  <c r="M36" i="7"/>
  <c r="M38" i="7" s="1"/>
  <c r="L36" i="7"/>
  <c r="L38" i="7" s="1"/>
  <c r="K36" i="7"/>
  <c r="K38" i="7" s="1"/>
  <c r="J36" i="7"/>
  <c r="J38" i="7" s="1"/>
  <c r="I36" i="7"/>
  <c r="I38" i="7" s="1"/>
  <c r="H36" i="7"/>
  <c r="G36" i="7"/>
  <c r="G38" i="7" s="1"/>
  <c r="F36" i="7"/>
  <c r="F38" i="7" s="1"/>
  <c r="E36" i="7"/>
  <c r="S35" i="7"/>
  <c r="R35" i="7"/>
  <c r="Q35" i="7"/>
  <c r="P35" i="7"/>
  <c r="O35" i="7"/>
  <c r="N35" i="7"/>
  <c r="M35" i="7"/>
  <c r="L35" i="7"/>
  <c r="K35" i="7"/>
  <c r="J35" i="7"/>
  <c r="I35" i="7"/>
  <c r="H35" i="7"/>
  <c r="G35" i="7"/>
  <c r="F35" i="7"/>
  <c r="E35" i="7"/>
  <c r="S28" i="7"/>
  <c r="R28" i="7"/>
  <c r="Q28" i="7"/>
  <c r="P28" i="7"/>
  <c r="O28" i="7"/>
  <c r="N28" i="7"/>
  <c r="M28" i="7"/>
  <c r="L28" i="7"/>
  <c r="K28" i="7"/>
  <c r="J28" i="7"/>
  <c r="I28" i="7"/>
  <c r="H28" i="7"/>
  <c r="D28" i="7" s="1"/>
  <c r="G28" i="7"/>
  <c r="F28" i="7"/>
  <c r="E28" i="7"/>
  <c r="S25" i="7"/>
  <c r="R25" i="7"/>
  <c r="Q25" i="7"/>
  <c r="P25" i="7"/>
  <c r="O25" i="7"/>
  <c r="N25" i="7"/>
  <c r="M25" i="7"/>
  <c r="L25" i="7"/>
  <c r="K25" i="7"/>
  <c r="J25" i="7"/>
  <c r="I25" i="7"/>
  <c r="H25" i="7"/>
  <c r="G25" i="7"/>
  <c r="F25" i="7"/>
  <c r="E25" i="7"/>
  <c r="C25" i="7"/>
  <c r="S24" i="7"/>
  <c r="R24" i="7"/>
  <c r="Q24" i="7"/>
  <c r="P24" i="7"/>
  <c r="O24" i="7"/>
  <c r="N24" i="7"/>
  <c r="M24" i="7"/>
  <c r="L24" i="7"/>
  <c r="K24" i="7"/>
  <c r="J24" i="7"/>
  <c r="I24" i="7"/>
  <c r="H24" i="7"/>
  <c r="G24" i="7"/>
  <c r="F24" i="7"/>
  <c r="E24" i="7"/>
  <c r="D24" i="7"/>
  <c r="C24" i="7"/>
  <c r="S23" i="7"/>
  <c r="R23" i="7"/>
  <c r="Q23" i="7"/>
  <c r="P23" i="7"/>
  <c r="O23" i="7"/>
  <c r="N23" i="7"/>
  <c r="M23" i="7"/>
  <c r="L23" i="7"/>
  <c r="K23" i="7"/>
  <c r="J23" i="7"/>
  <c r="I23" i="7"/>
  <c r="H23" i="7"/>
  <c r="G23" i="7"/>
  <c r="F23" i="7"/>
  <c r="E23" i="7"/>
  <c r="D23" i="7"/>
  <c r="C23" i="7"/>
  <c r="S22" i="7"/>
  <c r="R22" i="7"/>
  <c r="Q22" i="7"/>
  <c r="P22" i="7"/>
  <c r="O22" i="7"/>
  <c r="N22" i="7"/>
  <c r="M22" i="7"/>
  <c r="L22" i="7"/>
  <c r="K22" i="7"/>
  <c r="J22" i="7"/>
  <c r="I22" i="7"/>
  <c r="H22" i="7"/>
  <c r="G22" i="7"/>
  <c r="F22" i="7"/>
  <c r="E22" i="7"/>
  <c r="D22" i="7"/>
  <c r="C22" i="7"/>
  <c r="S17" i="7"/>
  <c r="S26" i="7" s="1"/>
  <c r="S28" i="8" s="1"/>
  <c r="R17" i="7"/>
  <c r="R26" i="7" s="1"/>
  <c r="R28" i="8" s="1"/>
  <c r="Q17" i="7"/>
  <c r="Q26" i="7" s="1"/>
  <c r="Q28" i="8" s="1"/>
  <c r="P17" i="7"/>
  <c r="P26" i="7" s="1"/>
  <c r="P28" i="8" s="1"/>
  <c r="O17" i="7"/>
  <c r="O26" i="7" s="1"/>
  <c r="O28" i="8" s="1"/>
  <c r="N17" i="7"/>
  <c r="N26" i="7" s="1"/>
  <c r="N28" i="8" s="1"/>
  <c r="M17" i="7"/>
  <c r="M26" i="7" s="1"/>
  <c r="M28" i="8" s="1"/>
  <c r="L17" i="7"/>
  <c r="L26" i="7" s="1"/>
  <c r="L28" i="8" s="1"/>
  <c r="K17" i="7"/>
  <c r="K26" i="7" s="1"/>
  <c r="K28" i="8" s="1"/>
  <c r="J17" i="7"/>
  <c r="J26" i="7" s="1"/>
  <c r="J28" i="8" s="1"/>
  <c r="I17" i="7"/>
  <c r="I26" i="7" s="1"/>
  <c r="I28" i="8" s="1"/>
  <c r="H17" i="7"/>
  <c r="H26" i="7" s="1"/>
  <c r="G17" i="7"/>
  <c r="F17" i="7"/>
  <c r="F26" i="7" s="1"/>
  <c r="F28" i="8" s="1"/>
  <c r="E17" i="7"/>
  <c r="E26" i="7" s="1"/>
  <c r="D17" i="7"/>
  <c r="S16" i="7"/>
  <c r="S27" i="7" s="1"/>
  <c r="R16" i="7"/>
  <c r="R27" i="7" s="1"/>
  <c r="Q16" i="7"/>
  <c r="Q27" i="7" s="1"/>
  <c r="P16" i="7"/>
  <c r="P27" i="7" s="1"/>
  <c r="O16" i="7"/>
  <c r="O27" i="7" s="1"/>
  <c r="N16" i="7"/>
  <c r="N27" i="7" s="1"/>
  <c r="M16" i="7"/>
  <c r="M27" i="7" s="1"/>
  <c r="L16" i="7"/>
  <c r="L27" i="7" s="1"/>
  <c r="K16" i="7"/>
  <c r="K27" i="7" s="1"/>
  <c r="J16" i="7"/>
  <c r="J27" i="7" s="1"/>
  <c r="I16" i="7"/>
  <c r="I27" i="7" s="1"/>
  <c r="H16" i="7"/>
  <c r="H27" i="7" s="1"/>
  <c r="G16" i="7"/>
  <c r="F16" i="7"/>
  <c r="F27" i="7" s="1"/>
  <c r="E16" i="7"/>
  <c r="E27" i="7" s="1"/>
  <c r="D16" i="7"/>
  <c r="E15" i="7"/>
  <c r="B22" i="6"/>
  <c r="B21" i="6"/>
  <c r="B20" i="6"/>
  <c r="B19" i="6"/>
  <c r="E9" i="6"/>
  <c r="I8" i="6"/>
  <c r="G8" i="6"/>
  <c r="F8" i="6"/>
  <c r="D8" i="6"/>
  <c r="E8" i="6" s="1"/>
  <c r="L8" i="6" s="1"/>
  <c r="C8" i="6"/>
  <c r="I7" i="6"/>
  <c r="G7" i="6"/>
  <c r="F7" i="6"/>
  <c r="D7" i="6"/>
  <c r="E7" i="6" s="1"/>
  <c r="L7" i="6" s="1"/>
  <c r="C7" i="6"/>
  <c r="I6" i="6"/>
  <c r="G6" i="6"/>
  <c r="F6" i="6"/>
  <c r="D6" i="6"/>
  <c r="C6" i="6"/>
  <c r="H6" i="6" s="1"/>
  <c r="C20" i="6" s="1"/>
  <c r="D20" i="6" s="1"/>
  <c r="E20" i="6" s="1"/>
  <c r="I5" i="6"/>
  <c r="G5" i="6"/>
  <c r="F5" i="6"/>
  <c r="D5" i="6"/>
  <c r="E5" i="6" s="1"/>
  <c r="L5" i="6" s="1"/>
  <c r="C5" i="6"/>
  <c r="B12" i="5"/>
  <c r="B11" i="5"/>
  <c r="N8" i="5"/>
  <c r="M8" i="5"/>
  <c r="K8" i="5"/>
  <c r="E8" i="5"/>
  <c r="C8" i="5"/>
  <c r="B8" i="5"/>
  <c r="N7" i="5"/>
  <c r="L7" i="5"/>
  <c r="C7" i="5"/>
  <c r="B7" i="5"/>
  <c r="N6" i="5"/>
  <c r="M6" i="5"/>
  <c r="K6" i="5"/>
  <c r="E6" i="5"/>
  <c r="C6" i="5"/>
  <c r="B6" i="5"/>
  <c r="N5" i="5"/>
  <c r="M5" i="5"/>
  <c r="K5" i="5"/>
  <c r="E5" i="5"/>
  <c r="D5" i="5"/>
  <c r="C5" i="5"/>
  <c r="B5" i="5"/>
  <c r="N4" i="5"/>
  <c r="M4" i="5"/>
  <c r="K4" i="5"/>
  <c r="E4" i="5"/>
  <c r="C4" i="5"/>
  <c r="B4" i="5"/>
  <c r="S35" i="4"/>
  <c r="S26" i="4" s="1"/>
  <c r="R35" i="4"/>
  <c r="R26" i="4" s="1"/>
  <c r="Q35" i="4"/>
  <c r="Q26" i="4" s="1"/>
  <c r="P35" i="4"/>
  <c r="O35" i="4"/>
  <c r="O26" i="4" s="1"/>
  <c r="N35" i="4"/>
  <c r="N26" i="4" s="1"/>
  <c r="M35" i="4"/>
  <c r="M26" i="4" s="1"/>
  <c r="L35" i="4"/>
  <c r="L26" i="4" s="1"/>
  <c r="K35" i="4"/>
  <c r="K26" i="4" s="1"/>
  <c r="J35" i="4"/>
  <c r="J26" i="4" s="1"/>
  <c r="I35" i="4"/>
  <c r="I26" i="4" s="1"/>
  <c r="H35" i="4"/>
  <c r="H26" i="4" s="1"/>
  <c r="G35" i="4"/>
  <c r="G26" i="4" s="1"/>
  <c r="F35" i="4"/>
  <c r="F26" i="4" s="1"/>
  <c r="E35" i="4"/>
  <c r="S34" i="4"/>
  <c r="R34" i="4"/>
  <c r="Q34" i="4"/>
  <c r="P34" i="4"/>
  <c r="O34" i="4"/>
  <c r="N34" i="4"/>
  <c r="M34" i="4"/>
  <c r="L34" i="4"/>
  <c r="K34" i="4"/>
  <c r="J34" i="4"/>
  <c r="I34" i="4"/>
  <c r="H34" i="4"/>
  <c r="G34" i="4"/>
  <c r="G36" i="4" s="1"/>
  <c r="F34" i="4"/>
  <c r="F36" i="4" s="1"/>
  <c r="E34" i="4"/>
  <c r="S28" i="4"/>
  <c r="R28" i="4"/>
  <c r="Q28" i="4"/>
  <c r="P28" i="4"/>
  <c r="O28" i="4"/>
  <c r="N28" i="4"/>
  <c r="M28" i="4"/>
  <c r="L28" i="4"/>
  <c r="K28" i="4"/>
  <c r="J28" i="4"/>
  <c r="I28" i="4"/>
  <c r="H28" i="4"/>
  <c r="G28" i="4"/>
  <c r="F28" i="4"/>
  <c r="E28" i="4"/>
  <c r="H27" i="4"/>
  <c r="G27" i="4"/>
  <c r="F27" i="4"/>
  <c r="E27" i="4"/>
  <c r="D20" i="4"/>
  <c r="C20" i="4"/>
  <c r="D19" i="4"/>
  <c r="C19" i="4"/>
  <c r="D18" i="4"/>
  <c r="C18" i="4"/>
  <c r="D17" i="4"/>
  <c r="C17" i="4"/>
  <c r="D16" i="4"/>
  <c r="C16" i="4"/>
  <c r="D15" i="4"/>
  <c r="C15" i="4"/>
  <c r="S11" i="4"/>
  <c r="S12" i="4" s="1"/>
  <c r="R11" i="4"/>
  <c r="R12" i="4" s="1"/>
  <c r="Q11" i="4"/>
  <c r="Q12" i="4" s="1"/>
  <c r="P11" i="4"/>
  <c r="P12" i="4" s="1"/>
  <c r="O11" i="4"/>
  <c r="O12" i="4" s="1"/>
  <c r="N11" i="4"/>
  <c r="N12" i="4" s="1"/>
  <c r="M11" i="4"/>
  <c r="M12" i="4" s="1"/>
  <c r="L11" i="4"/>
  <c r="L12" i="4" s="1"/>
  <c r="K11" i="4"/>
  <c r="K12" i="4" s="1"/>
  <c r="J11" i="4"/>
  <c r="J12" i="4" s="1"/>
  <c r="I11" i="4"/>
  <c r="I12" i="4" s="1"/>
  <c r="H11" i="4"/>
  <c r="H12" i="4" s="1"/>
  <c r="G11" i="4"/>
  <c r="G12" i="4" s="1"/>
  <c r="F11" i="4"/>
  <c r="F12" i="4" s="1"/>
  <c r="E11" i="4"/>
  <c r="E12" i="4" s="1"/>
  <c r="S10" i="4"/>
  <c r="R10" i="4"/>
  <c r="Q10" i="4"/>
  <c r="P10" i="4"/>
  <c r="O10" i="4"/>
  <c r="N10" i="4"/>
  <c r="M10" i="4"/>
  <c r="L10" i="4"/>
  <c r="K10" i="4"/>
  <c r="J10" i="4"/>
  <c r="I10" i="4"/>
  <c r="H10" i="4"/>
  <c r="G10" i="4"/>
  <c r="F10" i="4"/>
  <c r="E10" i="4"/>
  <c r="S9" i="4"/>
  <c r="R9" i="4"/>
  <c r="Q9" i="4"/>
  <c r="P9" i="4"/>
  <c r="O9" i="4"/>
  <c r="N9" i="4"/>
  <c r="M9" i="4"/>
  <c r="L9" i="4"/>
  <c r="K9" i="4"/>
  <c r="J9" i="4"/>
  <c r="I9" i="4"/>
  <c r="H9" i="4"/>
  <c r="G9" i="4"/>
  <c r="F9" i="4"/>
  <c r="E9" i="4"/>
  <c r="P4" i="2"/>
  <c r="O4" i="2"/>
  <c r="N4" i="2"/>
  <c r="M4" i="2"/>
  <c r="L4" i="2"/>
  <c r="K4" i="2"/>
  <c r="J4" i="2"/>
  <c r="I4" i="2"/>
  <c r="H4" i="2"/>
  <c r="G4" i="2"/>
  <c r="F4" i="2"/>
  <c r="E4" i="2"/>
  <c r="D4" i="2"/>
  <c r="C4" i="2"/>
  <c r="B4" i="2"/>
  <c r="B4" i="1"/>
  <c r="B3" i="1"/>
  <c r="D28" i="4" l="1"/>
  <c r="S36" i="4"/>
  <c r="S27" i="4"/>
  <c r="R36" i="4"/>
  <c r="R27" i="4"/>
  <c r="Q36" i="4"/>
  <c r="Q27" i="4"/>
  <c r="P36" i="4"/>
  <c r="P27" i="4"/>
  <c r="O36" i="4"/>
  <c r="O27" i="4"/>
  <c r="N36" i="4"/>
  <c r="N27" i="4"/>
  <c r="M36" i="4"/>
  <c r="M27" i="4"/>
  <c r="L36" i="4"/>
  <c r="L27" i="4"/>
  <c r="K36" i="4"/>
  <c r="K27" i="4"/>
  <c r="C28" i="7"/>
  <c r="I36" i="4"/>
  <c r="I25" i="4" s="1"/>
  <c r="I27" i="4"/>
  <c r="I10" i="8" s="1"/>
  <c r="E6" i="6"/>
  <c r="L6" i="6" s="1"/>
  <c r="D25" i="7"/>
  <c r="G27" i="7"/>
  <c r="C16" i="7"/>
  <c r="D40" i="7"/>
  <c r="H5" i="6"/>
  <c r="B13" i="5"/>
  <c r="B30" i="1" s="1"/>
  <c r="I7" i="5"/>
  <c r="J7" i="5" s="1"/>
  <c r="O7" i="5"/>
  <c r="F7" i="5"/>
  <c r="P26" i="4"/>
  <c r="D35" i="4"/>
  <c r="J36" i="4"/>
  <c r="J25" i="4" s="1"/>
  <c r="J27" i="4"/>
  <c r="E36" i="4"/>
  <c r="C34" i="4"/>
  <c r="C40" i="7"/>
  <c r="S29" i="8"/>
  <c r="R29" i="8"/>
  <c r="Q29" i="8"/>
  <c r="P29" i="8"/>
  <c r="O29" i="8"/>
  <c r="N29" i="8"/>
  <c r="M29" i="8"/>
  <c r="L29" i="8"/>
  <c r="K29" i="8"/>
  <c r="J29" i="8"/>
  <c r="I29" i="8"/>
  <c r="F29" i="8"/>
  <c r="E38" i="7"/>
  <c r="C38" i="7" s="1"/>
  <c r="C36" i="7"/>
  <c r="I37" i="7"/>
  <c r="I39" i="7"/>
  <c r="H39" i="7"/>
  <c r="H37" i="7"/>
  <c r="G39" i="7"/>
  <c r="G37" i="7"/>
  <c r="F39" i="7"/>
  <c r="F37" i="7"/>
  <c r="E39" i="7"/>
  <c r="C39" i="7" s="1"/>
  <c r="E37" i="7"/>
  <c r="C35" i="7"/>
  <c r="E26" i="4"/>
  <c r="E9" i="8" s="1"/>
  <c r="C35" i="4"/>
  <c r="H38" i="7"/>
  <c r="D36" i="7"/>
  <c r="S37" i="7"/>
  <c r="S39" i="7"/>
  <c r="R37" i="7"/>
  <c r="R39" i="7"/>
  <c r="Q39" i="7"/>
  <c r="Q37" i="7"/>
  <c r="P39" i="7"/>
  <c r="P37" i="7"/>
  <c r="O39" i="7"/>
  <c r="O37" i="7"/>
  <c r="N37" i="7"/>
  <c r="N39" i="7"/>
  <c r="M37" i="7"/>
  <c r="M39" i="7"/>
  <c r="L39" i="7"/>
  <c r="L37" i="7"/>
  <c r="K37" i="7"/>
  <c r="K39" i="7"/>
  <c r="D35" i="7"/>
  <c r="J39" i="7"/>
  <c r="J37" i="7"/>
  <c r="H28" i="8"/>
  <c r="D28" i="8" s="1"/>
  <c r="B10" i="1" s="1"/>
  <c r="D26" i="7"/>
  <c r="C17" i="7"/>
  <c r="G26" i="7"/>
  <c r="E28" i="8"/>
  <c r="H29" i="8"/>
  <c r="D27" i="7"/>
  <c r="E29" i="8"/>
  <c r="E29" i="7"/>
  <c r="H8" i="6"/>
  <c r="E13" i="6"/>
  <c r="H7" i="6"/>
  <c r="C13" i="6"/>
  <c r="O8" i="5"/>
  <c r="F8" i="5"/>
  <c r="H19" i="8" s="1"/>
  <c r="I8" i="5"/>
  <c r="J8" i="5" s="1"/>
  <c r="G8" i="5"/>
  <c r="I6" i="5"/>
  <c r="J6" i="5" s="1"/>
  <c r="F6" i="5"/>
  <c r="O6" i="5"/>
  <c r="G6" i="5"/>
  <c r="H6" i="5" s="1"/>
  <c r="F5" i="5"/>
  <c r="O5" i="5"/>
  <c r="I5" i="5"/>
  <c r="J5" i="5" s="1"/>
  <c r="G5" i="5"/>
  <c r="H5" i="5" s="1"/>
  <c r="O4" i="5"/>
  <c r="F4" i="5"/>
  <c r="G4" i="5" s="1"/>
  <c r="H4" i="5" s="1"/>
  <c r="I4" i="5"/>
  <c r="J4" i="5" s="1"/>
  <c r="H36" i="4"/>
  <c r="D34" i="4"/>
  <c r="S11" i="8"/>
  <c r="S20" i="8" s="1"/>
  <c r="S44" i="8"/>
  <c r="R11" i="8"/>
  <c r="R20" i="8" s="1"/>
  <c r="R44" i="8"/>
  <c r="Q11" i="8"/>
  <c r="Q20" i="8" s="1"/>
  <c r="Q44" i="8"/>
  <c r="P11" i="8"/>
  <c r="P20" i="8" s="1"/>
  <c r="O44" i="8"/>
  <c r="O11" i="8"/>
  <c r="O20" i="8" s="1"/>
  <c r="N44" i="8"/>
  <c r="N11" i="8"/>
  <c r="N20" i="8" s="1"/>
  <c r="M44" i="8"/>
  <c r="M11" i="8"/>
  <c r="M20" i="8" s="1"/>
  <c r="L11" i="8"/>
  <c r="L20" i="8" s="1"/>
  <c r="L44" i="8"/>
  <c r="K44" i="8"/>
  <c r="K11" i="8"/>
  <c r="K20" i="8" s="1"/>
  <c r="J44" i="8"/>
  <c r="J11" i="8"/>
  <c r="J20" i="8" s="1"/>
  <c r="I44" i="8"/>
  <c r="I11" i="8"/>
  <c r="I20" i="8" s="1"/>
  <c r="H11" i="8"/>
  <c r="H44" i="8"/>
  <c r="G44" i="8"/>
  <c r="G11" i="8"/>
  <c r="G20" i="8" s="1"/>
  <c r="F11" i="8"/>
  <c r="F20" i="8" s="1"/>
  <c r="F44" i="8"/>
  <c r="C28" i="4"/>
  <c r="E11" i="8"/>
  <c r="S10" i="8"/>
  <c r="R10" i="8"/>
  <c r="Q10" i="8"/>
  <c r="P10" i="8"/>
  <c r="O10" i="8"/>
  <c r="N10" i="8"/>
  <c r="M10" i="8"/>
  <c r="L10" i="8"/>
  <c r="K10" i="8"/>
  <c r="H10" i="8"/>
  <c r="G10" i="8"/>
  <c r="F10" i="8"/>
  <c r="C27" i="4"/>
  <c r="E10" i="8"/>
  <c r="S9" i="8"/>
  <c r="R9" i="8"/>
  <c r="Q9" i="8"/>
  <c r="Q18" i="8"/>
  <c r="O9" i="8"/>
  <c r="O18" i="8"/>
  <c r="N9" i="8"/>
  <c r="M9" i="8"/>
  <c r="L9" i="8"/>
  <c r="K9" i="8"/>
  <c r="J9" i="8"/>
  <c r="I9" i="8"/>
  <c r="H9" i="8"/>
  <c r="G9" i="8"/>
  <c r="F9" i="8"/>
  <c r="S25" i="4"/>
  <c r="S23" i="4"/>
  <c r="S24" i="4"/>
  <c r="R23" i="4"/>
  <c r="R24" i="4"/>
  <c r="R25" i="4"/>
  <c r="Q24" i="4"/>
  <c r="Q23" i="4"/>
  <c r="Q25" i="4"/>
  <c r="P25" i="4"/>
  <c r="P23" i="4"/>
  <c r="P24" i="4"/>
  <c r="O23" i="4"/>
  <c r="O25" i="4"/>
  <c r="O24" i="4"/>
  <c r="N25" i="4"/>
  <c r="N23" i="4"/>
  <c r="N24" i="4"/>
  <c r="M25" i="4"/>
  <c r="M23" i="4"/>
  <c r="M24" i="4"/>
  <c r="L23" i="4"/>
  <c r="L25" i="4"/>
  <c r="L24" i="4"/>
  <c r="K24" i="4"/>
  <c r="K23" i="4"/>
  <c r="K25" i="4"/>
  <c r="J24" i="4"/>
  <c r="J23" i="4"/>
  <c r="I24" i="4"/>
  <c r="I23" i="4"/>
  <c r="H23" i="4"/>
  <c r="H24" i="4"/>
  <c r="G25" i="4"/>
  <c r="G24" i="4"/>
  <c r="G23" i="4"/>
  <c r="F25" i="4"/>
  <c r="F24" i="4"/>
  <c r="F23" i="4"/>
  <c r="E23" i="4"/>
  <c r="E24" i="4"/>
  <c r="J6" i="6"/>
  <c r="K6" i="6" s="1"/>
  <c r="G6" i="9" l="1"/>
  <c r="F6" i="9"/>
  <c r="C27" i="7"/>
  <c r="G29" i="8"/>
  <c r="C19" i="6"/>
  <c r="D19" i="6" s="1"/>
  <c r="E19" i="6" s="1"/>
  <c r="J5" i="6"/>
  <c r="K5" i="6" s="1"/>
  <c r="H41" i="7"/>
  <c r="P44" i="8"/>
  <c r="D44" i="8" s="1"/>
  <c r="B32" i="1" s="1"/>
  <c r="P18" i="8"/>
  <c r="E27" i="8"/>
  <c r="E41" i="7"/>
  <c r="C37" i="7"/>
  <c r="I6" i="9"/>
  <c r="S18" i="8"/>
  <c r="R18" i="8"/>
  <c r="G19" i="8"/>
  <c r="F19" i="8"/>
  <c r="E19" i="8"/>
  <c r="C19" i="8" s="1"/>
  <c r="S19" i="8"/>
  <c r="R19" i="8"/>
  <c r="Q19" i="8"/>
  <c r="P19" i="8"/>
  <c r="D27" i="4"/>
  <c r="J10" i="8"/>
  <c r="C36" i="4"/>
  <c r="E25" i="4"/>
  <c r="I41" i="7"/>
  <c r="D26" i="4"/>
  <c r="P9" i="8"/>
  <c r="D39" i="7"/>
  <c r="D29" i="8"/>
  <c r="C29" i="8"/>
  <c r="F10" i="9"/>
  <c r="G18" i="8"/>
  <c r="F18" i="8"/>
  <c r="G7" i="5"/>
  <c r="N18" i="8"/>
  <c r="M18" i="8"/>
  <c r="L18" i="8"/>
  <c r="K18" i="8"/>
  <c r="J18" i="8"/>
  <c r="I18" i="8"/>
  <c r="H18" i="8"/>
  <c r="G27" i="8"/>
  <c r="G41" i="7"/>
  <c r="F27" i="8"/>
  <c r="F41" i="7"/>
  <c r="I27" i="8"/>
  <c r="D37" i="7"/>
  <c r="E44" i="8"/>
  <c r="C44" i="8" s="1"/>
  <c r="C26" i="4"/>
  <c r="E18" i="8"/>
  <c r="D36" i="4"/>
  <c r="H25" i="4"/>
  <c r="H27" i="8"/>
  <c r="D38" i="7"/>
  <c r="S27" i="8"/>
  <c r="S41" i="7"/>
  <c r="R27" i="8"/>
  <c r="R41" i="7"/>
  <c r="Q27" i="8"/>
  <c r="Q41" i="7"/>
  <c r="P27" i="8"/>
  <c r="P41" i="7"/>
  <c r="O27" i="8"/>
  <c r="O41" i="7"/>
  <c r="N27" i="8"/>
  <c r="N41" i="7"/>
  <c r="M27" i="8"/>
  <c r="M41" i="7"/>
  <c r="L27" i="8"/>
  <c r="L41" i="7"/>
  <c r="K27" i="8"/>
  <c r="K41" i="7"/>
  <c r="J27" i="8"/>
  <c r="J41" i="7"/>
  <c r="J8" i="6"/>
  <c r="K8" i="6" s="1"/>
  <c r="E14" i="6"/>
  <c r="E15" i="6"/>
  <c r="C22" i="6"/>
  <c r="D22" i="6" s="1"/>
  <c r="E22" i="6" s="1"/>
  <c r="J7" i="6"/>
  <c r="K7" i="6" s="1"/>
  <c r="C21" i="6"/>
  <c r="D21" i="6" s="1"/>
  <c r="E21" i="6" s="1"/>
  <c r="C15" i="6"/>
  <c r="C14" i="6"/>
  <c r="L6" i="5"/>
  <c r="B16" i="5"/>
  <c r="L5" i="5"/>
  <c r="B15" i="5"/>
  <c r="L4" i="5"/>
  <c r="B14" i="5"/>
  <c r="H20" i="8"/>
  <c r="D20" i="8" s="1"/>
  <c r="D11" i="8"/>
  <c r="E20" i="8"/>
  <c r="C20" i="8" s="1"/>
  <c r="C11" i="8"/>
  <c r="H6" i="9"/>
  <c r="E6" i="9"/>
  <c r="C10" i="8"/>
  <c r="H10" i="9"/>
  <c r="E10" i="9"/>
  <c r="C9" i="8"/>
  <c r="S8" i="8"/>
  <c r="S17" i="8"/>
  <c r="S6" i="8"/>
  <c r="S6" i="7"/>
  <c r="S8" i="7" s="1"/>
  <c r="S11" i="7" s="1"/>
  <c r="S7" i="7"/>
  <c r="S18" i="7"/>
  <c r="S29" i="4"/>
  <c r="S15" i="8"/>
  <c r="S43" i="8"/>
  <c r="S7" i="8"/>
  <c r="S16" i="8"/>
  <c r="R18" i="7"/>
  <c r="R6" i="8"/>
  <c r="R29" i="4"/>
  <c r="R43" i="8"/>
  <c r="R6" i="7"/>
  <c r="R8" i="7" s="1"/>
  <c r="R11" i="7" s="1"/>
  <c r="R15" i="8"/>
  <c r="R7" i="7"/>
  <c r="R7" i="8"/>
  <c r="R16" i="8"/>
  <c r="R8" i="8"/>
  <c r="R17" i="8"/>
  <c r="Q7" i="8"/>
  <c r="Q16" i="8"/>
  <c r="Q29" i="4"/>
  <c r="Q6" i="7"/>
  <c r="Q8" i="7" s="1"/>
  <c r="Q11" i="7" s="1"/>
  <c r="Q7" i="7"/>
  <c r="Q18" i="7"/>
  <c r="Q6" i="8"/>
  <c r="Q15" i="8"/>
  <c r="Q43" i="8"/>
  <c r="Q17" i="8"/>
  <c r="Q8" i="8"/>
  <c r="P8" i="8"/>
  <c r="P17" i="8"/>
  <c r="P29" i="4"/>
  <c r="P7" i="7"/>
  <c r="P18" i="7"/>
  <c r="P15" i="8"/>
  <c r="P6" i="7"/>
  <c r="P8" i="7" s="1"/>
  <c r="P11" i="7" s="1"/>
  <c r="P43" i="8"/>
  <c r="P6" i="8"/>
  <c r="P7" i="8"/>
  <c r="P16" i="8"/>
  <c r="O15" i="8"/>
  <c r="O6" i="8"/>
  <c r="O43" i="8"/>
  <c r="O29" i="4"/>
  <c r="O7" i="7"/>
  <c r="O6" i="7"/>
  <c r="O8" i="7" s="1"/>
  <c r="O11" i="7" s="1"/>
  <c r="O18" i="7"/>
  <c r="O17" i="8"/>
  <c r="O8" i="8"/>
  <c r="O16" i="8"/>
  <c r="O7" i="8"/>
  <c r="N17" i="8"/>
  <c r="N8" i="8"/>
  <c r="N29" i="4"/>
  <c r="N18" i="7"/>
  <c r="N6" i="7"/>
  <c r="N8" i="7" s="1"/>
  <c r="N11" i="7" s="1"/>
  <c r="N6" i="8"/>
  <c r="N15" i="8"/>
  <c r="N7" i="7"/>
  <c r="N43" i="8"/>
  <c r="N16" i="8"/>
  <c r="N7" i="8"/>
  <c r="M8" i="8"/>
  <c r="M17" i="8"/>
  <c r="M6" i="8"/>
  <c r="M43" i="8"/>
  <c r="M6" i="7"/>
  <c r="M8" i="7" s="1"/>
  <c r="M11" i="7" s="1"/>
  <c r="M7" i="7"/>
  <c r="M18" i="7"/>
  <c r="M15" i="8"/>
  <c r="M29" i="4"/>
  <c r="M7" i="8"/>
  <c r="M16" i="8"/>
  <c r="L6" i="7"/>
  <c r="L8" i="7" s="1"/>
  <c r="L11" i="7" s="1"/>
  <c r="L6" i="8"/>
  <c r="L7" i="7"/>
  <c r="L43" i="8"/>
  <c r="L29" i="4"/>
  <c r="L18" i="7"/>
  <c r="L15" i="8"/>
  <c r="L8" i="8"/>
  <c r="L17" i="8"/>
  <c r="L16" i="8"/>
  <c r="L7" i="8"/>
  <c r="K16" i="8"/>
  <c r="K7" i="8"/>
  <c r="K6" i="8"/>
  <c r="K15" i="8"/>
  <c r="K43" i="8"/>
  <c r="K29" i="4"/>
  <c r="K6" i="7"/>
  <c r="K8" i="7" s="1"/>
  <c r="K11" i="7" s="1"/>
  <c r="K7" i="7"/>
  <c r="K18" i="7"/>
  <c r="K8" i="8"/>
  <c r="K17" i="8"/>
  <c r="J16" i="8"/>
  <c r="J7" i="8"/>
  <c r="J17" i="8"/>
  <c r="J8" i="8"/>
  <c r="J6" i="8"/>
  <c r="J7" i="7"/>
  <c r="J18" i="7"/>
  <c r="J15" i="8"/>
  <c r="J29" i="4"/>
  <c r="J6" i="7"/>
  <c r="J8" i="7" s="1"/>
  <c r="J11" i="7" s="1"/>
  <c r="J43" i="8"/>
  <c r="I7" i="8"/>
  <c r="I16" i="8"/>
  <c r="I8" i="8"/>
  <c r="I17" i="8"/>
  <c r="I18" i="7"/>
  <c r="I6" i="7"/>
  <c r="I8" i="7" s="1"/>
  <c r="I11" i="7" s="1"/>
  <c r="I15" i="8"/>
  <c r="I29" i="4"/>
  <c r="I6" i="8"/>
  <c r="I43" i="8"/>
  <c r="I7" i="7"/>
  <c r="H15" i="8"/>
  <c r="H6" i="8"/>
  <c r="D23" i="4"/>
  <c r="H7" i="8"/>
  <c r="H16" i="8"/>
  <c r="D24" i="4"/>
  <c r="G8" i="8"/>
  <c r="G17" i="8"/>
  <c r="G16" i="8"/>
  <c r="G7" i="8"/>
  <c r="G29" i="4"/>
  <c r="G6" i="7"/>
  <c r="G8" i="7" s="1"/>
  <c r="G11" i="7" s="1"/>
  <c r="G7" i="7"/>
  <c r="G6" i="8"/>
  <c r="G43" i="8"/>
  <c r="G18" i="7"/>
  <c r="G15" i="8"/>
  <c r="F8" i="8"/>
  <c r="F17" i="8"/>
  <c r="F16" i="8"/>
  <c r="F7" i="8"/>
  <c r="F7" i="7"/>
  <c r="F6" i="7"/>
  <c r="F8" i="7" s="1"/>
  <c r="F11" i="7" s="1"/>
  <c r="F18" i="7"/>
  <c r="F6" i="8"/>
  <c r="F15" i="8"/>
  <c r="F43" i="8"/>
  <c r="F29" i="4"/>
  <c r="E15" i="8"/>
  <c r="C23" i="4"/>
  <c r="E6" i="8"/>
  <c r="C24" i="4"/>
  <c r="E7" i="8"/>
  <c r="E16" i="8"/>
  <c r="S6" i="9"/>
  <c r="R6" i="9"/>
  <c r="Q6" i="9"/>
  <c r="P6" i="9"/>
  <c r="O10" i="9"/>
  <c r="I10" i="9"/>
  <c r="O6" i="9"/>
  <c r="N6" i="9"/>
  <c r="M6" i="9"/>
  <c r="L6" i="9"/>
  <c r="K6" i="9"/>
  <c r="S10" i="9"/>
  <c r="R10" i="9"/>
  <c r="N10" i="9"/>
  <c r="M10" i="9"/>
  <c r="L10" i="9"/>
  <c r="K10" i="9"/>
  <c r="J10" i="9"/>
  <c r="G10" i="9"/>
  <c r="G28" i="8"/>
  <c r="C28" i="8" s="1"/>
  <c r="C26" i="7"/>
  <c r="O19" i="8"/>
  <c r="N19" i="8"/>
  <c r="M19" i="8"/>
  <c r="L19" i="8"/>
  <c r="K19" i="8"/>
  <c r="J19" i="8"/>
  <c r="I19" i="8"/>
  <c r="L8" i="5"/>
  <c r="H8" i="5"/>
  <c r="D18" i="8" l="1"/>
  <c r="C41" i="7"/>
  <c r="C27" i="8"/>
  <c r="C18" i="8"/>
  <c r="J6" i="9"/>
  <c r="D6" i="9" s="1"/>
  <c r="D10" i="8"/>
  <c r="E29" i="4"/>
  <c r="E6" i="7"/>
  <c r="E18" i="7"/>
  <c r="E7" i="7"/>
  <c r="C7" i="7" s="1"/>
  <c r="E43" i="8"/>
  <c r="C43" i="8" s="1"/>
  <c r="D9" i="8"/>
  <c r="P10" i="9"/>
  <c r="Q10" i="9"/>
  <c r="B17" i="5"/>
  <c r="H7" i="5"/>
  <c r="E17" i="8"/>
  <c r="E8" i="8"/>
  <c r="C25" i="4"/>
  <c r="L14" i="7"/>
  <c r="C16" i="8"/>
  <c r="D41" i="7"/>
  <c r="R14" i="7"/>
  <c r="G21" i="8"/>
  <c r="F21" i="8"/>
  <c r="H6" i="7"/>
  <c r="H8" i="8"/>
  <c r="H18" i="7"/>
  <c r="D18" i="7" s="1"/>
  <c r="H7" i="7"/>
  <c r="D7" i="7" s="1"/>
  <c r="D25" i="4"/>
  <c r="H29" i="4"/>
  <c r="H43" i="8"/>
  <c r="D43" i="8" s="1"/>
  <c r="B31" i="1" s="1"/>
  <c r="H17" i="8"/>
  <c r="O14" i="7"/>
  <c r="Q8" i="9"/>
  <c r="Q9" i="9"/>
  <c r="N14" i="7"/>
  <c r="M14" i="7"/>
  <c r="K14" i="7"/>
  <c r="D16" i="8"/>
  <c r="P9" i="9"/>
  <c r="P21" i="8"/>
  <c r="D27" i="8"/>
  <c r="C6" i="9"/>
  <c r="S12" i="8"/>
  <c r="S40" i="8"/>
  <c r="S42" i="8"/>
  <c r="S7" i="9"/>
  <c r="R12" i="8"/>
  <c r="R40" i="8"/>
  <c r="R42" i="8"/>
  <c r="R7" i="9"/>
  <c r="Q40" i="8"/>
  <c r="Q42" i="8"/>
  <c r="Q7" i="9"/>
  <c r="Q12" i="8"/>
  <c r="P12" i="8"/>
  <c r="P40" i="8"/>
  <c r="P42" i="8"/>
  <c r="P7" i="9"/>
  <c r="O40" i="8"/>
  <c r="O42" i="8"/>
  <c r="O7" i="9"/>
  <c r="O12" i="8"/>
  <c r="N12" i="8"/>
  <c r="N40" i="8"/>
  <c r="N42" i="8"/>
  <c r="N7" i="9"/>
  <c r="M40" i="8"/>
  <c r="M42" i="8"/>
  <c r="M7" i="9"/>
  <c r="M12" i="8"/>
  <c r="L40" i="8"/>
  <c r="L42" i="8"/>
  <c r="L7" i="9"/>
  <c r="L12" i="8"/>
  <c r="K12" i="8"/>
  <c r="K40" i="8"/>
  <c r="K42" i="8"/>
  <c r="K7" i="9"/>
  <c r="J12" i="8"/>
  <c r="J40" i="8"/>
  <c r="J42" i="8"/>
  <c r="J7" i="9"/>
  <c r="I40" i="8"/>
  <c r="I42" i="8"/>
  <c r="I7" i="9"/>
  <c r="I12" i="8"/>
  <c r="D15" i="8"/>
  <c r="H40" i="8"/>
  <c r="H7" i="9"/>
  <c r="D6" i="8"/>
  <c r="H8" i="9"/>
  <c r="D7" i="8"/>
  <c r="G40" i="8"/>
  <c r="G42" i="8"/>
  <c r="G7" i="9"/>
  <c r="G12" i="8"/>
  <c r="F12" i="8"/>
  <c r="F40" i="8"/>
  <c r="F42" i="8"/>
  <c r="F7" i="9"/>
  <c r="C15" i="8"/>
  <c r="E40" i="8"/>
  <c r="E7" i="9"/>
  <c r="C6" i="8"/>
  <c r="C7" i="8"/>
  <c r="E8" i="9"/>
  <c r="C10" i="9"/>
  <c r="S9" i="9"/>
  <c r="L21" i="8"/>
  <c r="K8" i="9"/>
  <c r="K21" i="8"/>
  <c r="I8" i="9"/>
  <c r="F8" i="9"/>
  <c r="D19" i="8"/>
  <c r="S21" i="8"/>
  <c r="S8" i="9"/>
  <c r="R21" i="8"/>
  <c r="R8" i="9"/>
  <c r="R9" i="9"/>
  <c r="S14" i="7"/>
  <c r="Q21" i="8"/>
  <c r="P8" i="9"/>
  <c r="O21" i="8"/>
  <c r="Q14" i="7"/>
  <c r="O9" i="9"/>
  <c r="O8" i="9"/>
  <c r="N9" i="9"/>
  <c r="P14" i="7"/>
  <c r="N21" i="8"/>
  <c r="N8" i="9"/>
  <c r="M9" i="9"/>
  <c r="M8" i="9"/>
  <c r="L9" i="9"/>
  <c r="L8" i="9"/>
  <c r="J8" i="9"/>
  <c r="I21" i="8"/>
  <c r="M21" i="8"/>
  <c r="K9" i="9"/>
  <c r="G8" i="9"/>
  <c r="J21" i="8"/>
  <c r="D10" i="9" l="1"/>
  <c r="E14" i="7"/>
  <c r="F14" i="7"/>
  <c r="G14" i="7"/>
  <c r="C29" i="4"/>
  <c r="E8" i="7"/>
  <c r="C6" i="7"/>
  <c r="E19" i="7"/>
  <c r="C18" i="7"/>
  <c r="C17" i="8"/>
  <c r="E21" i="8"/>
  <c r="F9" i="9"/>
  <c r="F11" i="9" s="1"/>
  <c r="E42" i="8"/>
  <c r="C42" i="8" s="1"/>
  <c r="E12" i="8"/>
  <c r="E9" i="9"/>
  <c r="C8" i="8"/>
  <c r="G9" i="9"/>
  <c r="G11" i="9" s="1"/>
  <c r="H14" i="7"/>
  <c r="I14" i="7"/>
  <c r="G14" i="9"/>
  <c r="D6" i="2"/>
  <c r="C6" i="2"/>
  <c r="F14" i="9"/>
  <c r="H8" i="7"/>
  <c r="D6" i="7"/>
  <c r="H42" i="8"/>
  <c r="D42" i="8" s="1"/>
  <c r="H12" i="8"/>
  <c r="D8" i="8"/>
  <c r="H9" i="9"/>
  <c r="H11" i="9" s="1"/>
  <c r="E11" i="2" s="1"/>
  <c r="J9" i="9"/>
  <c r="J11" i="9" s="1"/>
  <c r="I9" i="9"/>
  <c r="I11" i="9" s="1"/>
  <c r="J14" i="7"/>
  <c r="D29" i="4"/>
  <c r="H21" i="8"/>
  <c r="D17" i="8"/>
  <c r="C40" i="8"/>
  <c r="Q11" i="9"/>
  <c r="N11" i="2" s="1"/>
  <c r="P14" i="9"/>
  <c r="M6" i="2"/>
  <c r="S23" i="8"/>
  <c r="S24" i="8" s="1"/>
  <c r="S34" i="8"/>
  <c r="P8" i="2" s="1"/>
  <c r="S41" i="8"/>
  <c r="P5" i="2"/>
  <c r="R34" i="8"/>
  <c r="R41" i="8"/>
  <c r="R23" i="8"/>
  <c r="R24" i="8" s="1"/>
  <c r="O5" i="2"/>
  <c r="Q23" i="8"/>
  <c r="Q24" i="8" s="1"/>
  <c r="Q34" i="8"/>
  <c r="Q41" i="8"/>
  <c r="N5" i="2"/>
  <c r="M5" i="2"/>
  <c r="P34" i="8"/>
  <c r="P41" i="8"/>
  <c r="P23" i="8"/>
  <c r="P24" i="8" s="1"/>
  <c r="O34" i="8"/>
  <c r="O41" i="8"/>
  <c r="L5" i="2"/>
  <c r="O23" i="8"/>
  <c r="O24" i="8" s="1"/>
  <c r="K5" i="2"/>
  <c r="N34" i="8"/>
  <c r="N41" i="8"/>
  <c r="N23" i="8"/>
  <c r="N24" i="8" s="1"/>
  <c r="M23" i="8"/>
  <c r="M24" i="8" s="1"/>
  <c r="M34" i="8"/>
  <c r="M41" i="8"/>
  <c r="J5" i="2"/>
  <c r="L23" i="8"/>
  <c r="L24" i="8"/>
  <c r="L34" i="8"/>
  <c r="L41" i="8"/>
  <c r="I5" i="2"/>
  <c r="K23" i="8"/>
  <c r="K24" i="8" s="1"/>
  <c r="K34" i="8"/>
  <c r="K41" i="8"/>
  <c r="H5" i="2"/>
  <c r="J34" i="8"/>
  <c r="J41" i="8"/>
  <c r="J23" i="8"/>
  <c r="J24" i="8" s="1"/>
  <c r="G5" i="2"/>
  <c r="F5" i="2"/>
  <c r="I23" i="8"/>
  <c r="I24" i="8" s="1"/>
  <c r="I34" i="8"/>
  <c r="I41" i="8"/>
  <c r="G23" i="8"/>
  <c r="G24" i="8" s="1"/>
  <c r="G34" i="8"/>
  <c r="G41" i="8"/>
  <c r="D5" i="2"/>
  <c r="F23" i="8"/>
  <c r="F24" i="8" s="1"/>
  <c r="F34" i="8"/>
  <c r="F41" i="8"/>
  <c r="C5" i="2"/>
  <c r="I6" i="2"/>
  <c r="L14" i="9"/>
  <c r="K14" i="9"/>
  <c r="H6" i="2"/>
  <c r="P6" i="2"/>
  <c r="S14" i="9"/>
  <c r="O6" i="2"/>
  <c r="R14" i="9"/>
  <c r="N6" i="2"/>
  <c r="Q14" i="9"/>
  <c r="L6" i="2"/>
  <c r="O14" i="9"/>
  <c r="K6" i="2"/>
  <c r="N14" i="9"/>
  <c r="F6" i="2"/>
  <c r="I14" i="9"/>
  <c r="J6" i="2"/>
  <c r="M14" i="9"/>
  <c r="G6" i="2"/>
  <c r="J14" i="9"/>
  <c r="S11" i="9"/>
  <c r="R11" i="9"/>
  <c r="P11" i="9"/>
  <c r="O11" i="9"/>
  <c r="N11" i="9"/>
  <c r="M11" i="9"/>
  <c r="L11" i="9"/>
  <c r="K11" i="9"/>
  <c r="D40" i="8"/>
  <c r="D7" i="9"/>
  <c r="D8" i="9"/>
  <c r="C8" i="9"/>
  <c r="C7" i="9"/>
  <c r="F15" i="7" l="1"/>
  <c r="C14" i="7"/>
  <c r="E11" i="7"/>
  <c r="C11" i="7" s="1"/>
  <c r="E9" i="7"/>
  <c r="C8" i="7"/>
  <c r="F19" i="7"/>
  <c r="E30" i="7"/>
  <c r="E14" i="9"/>
  <c r="C14" i="9" s="1"/>
  <c r="B6" i="2"/>
  <c r="C21" i="8"/>
  <c r="E34" i="8"/>
  <c r="E23" i="8"/>
  <c r="E41" i="8"/>
  <c r="B5" i="2"/>
  <c r="C12" i="8"/>
  <c r="C41" i="8" s="1"/>
  <c r="C9" i="9"/>
  <c r="E11" i="9"/>
  <c r="H11" i="7"/>
  <c r="D11" i="7" s="1"/>
  <c r="D8" i="7"/>
  <c r="B23" i="1" s="1"/>
  <c r="E5" i="2"/>
  <c r="H34" i="8"/>
  <c r="H23" i="8"/>
  <c r="H41" i="8"/>
  <c r="D12" i="8"/>
  <c r="D21" i="8"/>
  <c r="E6" i="2"/>
  <c r="H14" i="9"/>
  <c r="D14" i="9" s="1"/>
  <c r="D14" i="7"/>
  <c r="D9" i="9"/>
  <c r="D11" i="9"/>
  <c r="S16" i="9"/>
  <c r="O8" i="2"/>
  <c r="R16" i="9"/>
  <c r="N8" i="2"/>
  <c r="Q16" i="9"/>
  <c r="M8" i="2"/>
  <c r="L8" i="2"/>
  <c r="P16" i="9"/>
  <c r="O16" i="9"/>
  <c r="K8" i="2"/>
  <c r="N16" i="9"/>
  <c r="J8" i="2"/>
  <c r="M16" i="9"/>
  <c r="I8" i="2"/>
  <c r="L16" i="9"/>
  <c r="H8" i="2"/>
  <c r="K16" i="9"/>
  <c r="G8" i="2"/>
  <c r="J16" i="9"/>
  <c r="F8" i="2"/>
  <c r="H16" i="9"/>
  <c r="D8" i="2"/>
  <c r="G16" i="9"/>
  <c r="C8" i="2"/>
  <c r="P11" i="2"/>
  <c r="O11" i="2"/>
  <c r="M11" i="2"/>
  <c r="L11" i="2"/>
  <c r="K11" i="2"/>
  <c r="J11" i="2"/>
  <c r="I11" i="2"/>
  <c r="H11" i="2"/>
  <c r="G11" i="2"/>
  <c r="F11" i="2"/>
  <c r="D11" i="2"/>
  <c r="C11" i="2"/>
  <c r="G15" i="7" l="1"/>
  <c r="F29" i="7"/>
  <c r="E10" i="7"/>
  <c r="E31" i="7" s="1"/>
  <c r="F9" i="7"/>
  <c r="G19" i="7"/>
  <c r="F30" i="7"/>
  <c r="C34" i="8"/>
  <c r="F16" i="9"/>
  <c r="C16" i="9" s="1"/>
  <c r="B8" i="2"/>
  <c r="E24" i="8"/>
  <c r="C23" i="8"/>
  <c r="C24" i="8" s="1"/>
  <c r="H26" i="9"/>
  <c r="G26" i="9"/>
  <c r="B11" i="2"/>
  <c r="C11" i="9"/>
  <c r="I26" i="9"/>
  <c r="F26" i="9"/>
  <c r="J26" i="9"/>
  <c r="K26" i="9"/>
  <c r="L26" i="9"/>
  <c r="M26" i="9"/>
  <c r="N26" i="9"/>
  <c r="O26" i="9"/>
  <c r="P26" i="9"/>
  <c r="Q26" i="9"/>
  <c r="R26" i="9"/>
  <c r="S26" i="9"/>
  <c r="E26" i="9"/>
  <c r="I16" i="9"/>
  <c r="D16" i="9" s="1"/>
  <c r="E8" i="2"/>
  <c r="D34" i="8"/>
  <c r="H24" i="8"/>
  <c r="D23" i="8"/>
  <c r="B28" i="1"/>
  <c r="D41" i="8"/>
  <c r="B27" i="1" s="1"/>
  <c r="B29" i="1"/>
  <c r="B7" i="1"/>
  <c r="C26" i="9" l="1"/>
  <c r="D26" i="9"/>
  <c r="B20" i="1" s="1"/>
  <c r="C15" i="7"/>
  <c r="H15" i="7"/>
  <c r="G29" i="7"/>
  <c r="C29" i="7" s="1"/>
  <c r="F10" i="7"/>
  <c r="F31" i="7" s="1"/>
  <c r="G9" i="7"/>
  <c r="H19" i="7"/>
  <c r="G30" i="7"/>
  <c r="C30" i="7" s="1"/>
  <c r="C19" i="7"/>
  <c r="D24" i="8"/>
  <c r="B8" i="1"/>
  <c r="E32" i="7"/>
  <c r="E30" i="8"/>
  <c r="I15" i="7" l="1"/>
  <c r="H29" i="7"/>
  <c r="H9" i="7"/>
  <c r="G10" i="7"/>
  <c r="C9" i="7"/>
  <c r="I19" i="7"/>
  <c r="H30" i="7"/>
  <c r="F30" i="8"/>
  <c r="F31" i="8" s="1"/>
  <c r="F32" i="7"/>
  <c r="E31" i="8"/>
  <c r="C10" i="7" l="1"/>
  <c r="G31" i="7"/>
  <c r="G32" i="7" s="1"/>
  <c r="C32" i="7" s="1"/>
  <c r="J15" i="7"/>
  <c r="I29" i="7"/>
  <c r="I9" i="7"/>
  <c r="H10" i="7"/>
  <c r="H31" i="7" s="1"/>
  <c r="J19" i="7"/>
  <c r="I30" i="7"/>
  <c r="F33" i="8"/>
  <c r="F35" i="8" s="1"/>
  <c r="C7" i="2"/>
  <c r="C9" i="2" s="1"/>
  <c r="F15" i="9"/>
  <c r="E33" i="8"/>
  <c r="E15" i="9"/>
  <c r="B7" i="2"/>
  <c r="B9" i="2" s="1"/>
  <c r="G30" i="8" l="1"/>
  <c r="C31" i="7"/>
  <c r="K19" i="7"/>
  <c r="J30" i="7"/>
  <c r="K15" i="7"/>
  <c r="J29" i="7"/>
  <c r="J9" i="7"/>
  <c r="I10" i="7"/>
  <c r="I31" i="7" s="1"/>
  <c r="C10" i="2"/>
  <c r="F37" i="8"/>
  <c r="F36" i="8"/>
  <c r="F17" i="9"/>
  <c r="F24" i="9"/>
  <c r="C14" i="2" s="1"/>
  <c r="E35" i="8"/>
  <c r="E17" i="9"/>
  <c r="E24" i="9"/>
  <c r="H30" i="8"/>
  <c r="H32" i="7"/>
  <c r="C30" i="8" l="1"/>
  <c r="G31" i="8"/>
  <c r="L19" i="7"/>
  <c r="K30" i="7"/>
  <c r="L15" i="7"/>
  <c r="K29" i="7"/>
  <c r="K9" i="7"/>
  <c r="J10" i="7"/>
  <c r="J31" i="7" s="1"/>
  <c r="F19" i="9"/>
  <c r="C12" i="2"/>
  <c r="E36" i="8"/>
  <c r="E37" i="8"/>
  <c r="B10" i="2"/>
  <c r="B12" i="2"/>
  <c r="E19" i="9"/>
  <c r="B14" i="2"/>
  <c r="H31" i="8"/>
  <c r="I30" i="8"/>
  <c r="I31" i="8" s="1"/>
  <c r="I32" i="7"/>
  <c r="C31" i="8" l="1"/>
  <c r="G33" i="8"/>
  <c r="G15" i="9"/>
  <c r="D7" i="2"/>
  <c r="D9" i="2" s="1"/>
  <c r="M15" i="7"/>
  <c r="L29" i="7"/>
  <c r="L30" i="7"/>
  <c r="M19" i="7"/>
  <c r="L9" i="7"/>
  <c r="K10" i="7"/>
  <c r="K31" i="7" s="1"/>
  <c r="J32" i="7"/>
  <c r="J30" i="8"/>
  <c r="J31" i="8" s="1"/>
  <c r="E21" i="9"/>
  <c r="H33" i="8"/>
  <c r="E7" i="2"/>
  <c r="E9" i="2" s="1"/>
  <c r="H15" i="9"/>
  <c r="I15" i="9"/>
  <c r="F7" i="2"/>
  <c r="F9" i="2" s="1"/>
  <c r="I33" i="8"/>
  <c r="I35" i="8" s="1"/>
  <c r="C33" i="8" l="1"/>
  <c r="G35" i="8"/>
  <c r="C35" i="8" s="1"/>
  <c r="C36" i="8" s="1"/>
  <c r="C15" i="9"/>
  <c r="G17" i="9"/>
  <c r="G24" i="9"/>
  <c r="N15" i="7"/>
  <c r="M29" i="7"/>
  <c r="N19" i="7"/>
  <c r="M30" i="7"/>
  <c r="M9" i="7"/>
  <c r="L10" i="7"/>
  <c r="L31" i="7" s="1"/>
  <c r="G7" i="2"/>
  <c r="G9" i="2" s="1"/>
  <c r="J33" i="8"/>
  <c r="J35" i="8" s="1"/>
  <c r="J15" i="9"/>
  <c r="E27" i="9"/>
  <c r="F20" i="9"/>
  <c r="F21" i="9" s="1"/>
  <c r="B13" i="2"/>
  <c r="E25" i="9"/>
  <c r="K30" i="8"/>
  <c r="K32" i="7"/>
  <c r="H35" i="8"/>
  <c r="H17" i="9"/>
  <c r="H24" i="9"/>
  <c r="I17" i="9"/>
  <c r="I24" i="9"/>
  <c r="F14" i="2" s="1"/>
  <c r="F10" i="2"/>
  <c r="I37" i="8"/>
  <c r="I36" i="8"/>
  <c r="G36" i="8" l="1"/>
  <c r="G37" i="8"/>
  <c r="C37" i="8" s="1"/>
  <c r="D10" i="2"/>
  <c r="J17" i="9"/>
  <c r="J24" i="9"/>
  <c r="G14" i="2" s="1"/>
  <c r="C17" i="9"/>
  <c r="G19" i="9"/>
  <c r="C19" i="9" s="1"/>
  <c r="D12" i="2"/>
  <c r="D14" i="2"/>
  <c r="C24" i="9"/>
  <c r="N30" i="7"/>
  <c r="O19" i="7"/>
  <c r="O15" i="7"/>
  <c r="N29" i="7"/>
  <c r="L30" i="8"/>
  <c r="L31" i="8" s="1"/>
  <c r="I7" i="2" s="1"/>
  <c r="I9" i="2" s="1"/>
  <c r="L32" i="7"/>
  <c r="N9" i="7"/>
  <c r="M10" i="7"/>
  <c r="M31" i="7" s="1"/>
  <c r="J36" i="8"/>
  <c r="G10" i="2"/>
  <c r="J37" i="8"/>
  <c r="F27" i="9"/>
  <c r="F25" i="9"/>
  <c r="C15" i="2" s="1"/>
  <c r="C13" i="2"/>
  <c r="G20" i="9"/>
  <c r="B15" i="2"/>
  <c r="K31" i="8"/>
  <c r="H36" i="8"/>
  <c r="H37" i="8"/>
  <c r="E10" i="2"/>
  <c r="E12" i="2"/>
  <c r="H19" i="9"/>
  <c r="E14" i="2"/>
  <c r="I19" i="9"/>
  <c r="F12" i="2"/>
  <c r="J19" i="9" l="1"/>
  <c r="G12" i="2"/>
  <c r="G21" i="9"/>
  <c r="P19" i="7"/>
  <c r="O30" i="7"/>
  <c r="P15" i="7"/>
  <c r="O29" i="7"/>
  <c r="L33" i="8"/>
  <c r="L35" i="8" s="1"/>
  <c r="L15" i="9"/>
  <c r="O9" i="7"/>
  <c r="N10" i="7"/>
  <c r="N31" i="7" s="1"/>
  <c r="M30" i="8"/>
  <c r="M32" i="7"/>
  <c r="H7" i="2"/>
  <c r="H9" i="2" s="1"/>
  <c r="K15" i="9"/>
  <c r="K33" i="8"/>
  <c r="G25" i="9" l="1"/>
  <c r="G27" i="9"/>
  <c r="C27" i="9" s="1"/>
  <c r="B21" i="1"/>
  <c r="D13" i="2"/>
  <c r="H20" i="9"/>
  <c r="C21" i="9"/>
  <c r="Q19" i="7"/>
  <c r="P30" i="7"/>
  <c r="Q15" i="7"/>
  <c r="P29" i="7"/>
  <c r="I10" i="2"/>
  <c r="L37" i="8"/>
  <c r="L36" i="8"/>
  <c r="L17" i="9"/>
  <c r="L24" i="9"/>
  <c r="I14" i="2" s="1"/>
  <c r="P9" i="7"/>
  <c r="O10" i="7"/>
  <c r="O31" i="7" s="1"/>
  <c r="N32" i="7"/>
  <c r="N30" i="8"/>
  <c r="N31" i="8" s="1"/>
  <c r="N33" i="8" s="1"/>
  <c r="N35" i="8" s="1"/>
  <c r="M31" i="8"/>
  <c r="K17" i="9"/>
  <c r="K24" i="9"/>
  <c r="K35" i="8"/>
  <c r="C25" i="9" l="1"/>
  <c r="D15" i="2"/>
  <c r="H21" i="9"/>
  <c r="D20" i="9"/>
  <c r="R19" i="7"/>
  <c r="Q30" i="7"/>
  <c r="Q9" i="7"/>
  <c r="P10" i="7"/>
  <c r="P31" i="7" s="1"/>
  <c r="R15" i="7"/>
  <c r="Q29" i="7"/>
  <c r="L19" i="9"/>
  <c r="I12" i="2"/>
  <c r="K7" i="2"/>
  <c r="K9" i="2" s="1"/>
  <c r="N15" i="9"/>
  <c r="O30" i="8"/>
  <c r="O32" i="7"/>
  <c r="J7" i="2"/>
  <c r="J9" i="2" s="1"/>
  <c r="M15" i="9"/>
  <c r="M33" i="8"/>
  <c r="K19" i="9"/>
  <c r="H12" i="2"/>
  <c r="H14" i="2"/>
  <c r="H10" i="2"/>
  <c r="K37" i="8"/>
  <c r="K36" i="8"/>
  <c r="K10" i="2"/>
  <c r="N37" i="8"/>
  <c r="N36" i="8"/>
  <c r="H27" i="9" l="1"/>
  <c r="I20" i="9"/>
  <c r="I21" i="9" s="1"/>
  <c r="H25" i="9"/>
  <c r="E15" i="2" s="1"/>
  <c r="E13" i="2"/>
  <c r="R9" i="7"/>
  <c r="Q10" i="7"/>
  <c r="Q31" i="7" s="1"/>
  <c r="S19" i="7"/>
  <c r="R30" i="7"/>
  <c r="S15" i="7"/>
  <c r="R29" i="7"/>
  <c r="N17" i="9"/>
  <c r="N24" i="9"/>
  <c r="K14" i="2" s="1"/>
  <c r="O31" i="8"/>
  <c r="M17" i="9"/>
  <c r="M24" i="9"/>
  <c r="M35" i="8"/>
  <c r="P30" i="8"/>
  <c r="P31" i="8" s="1"/>
  <c r="P32" i="7"/>
  <c r="I27" i="9" l="1"/>
  <c r="I25" i="9"/>
  <c r="F15" i="2" s="1"/>
  <c r="F13" i="2"/>
  <c r="J20" i="9"/>
  <c r="J21" i="9" s="1"/>
  <c r="B25" i="1"/>
  <c r="D15" i="7"/>
  <c r="S29" i="7"/>
  <c r="D29" i="7" s="1"/>
  <c r="S9" i="7"/>
  <c r="R10" i="7"/>
  <c r="R31" i="7" s="1"/>
  <c r="Q30" i="8"/>
  <c r="Q31" i="8" s="1"/>
  <c r="Q32" i="7"/>
  <c r="S30" i="7"/>
  <c r="D30" i="7" s="1"/>
  <c r="D19" i="7"/>
  <c r="N19" i="9"/>
  <c r="K12" i="2"/>
  <c r="L7" i="2"/>
  <c r="L9" i="2" s="1"/>
  <c r="O15" i="9"/>
  <c r="O33" i="8"/>
  <c r="M19" i="9"/>
  <c r="J12" i="2"/>
  <c r="J14" i="2"/>
  <c r="J10" i="2"/>
  <c r="M37" i="8"/>
  <c r="M36" i="8"/>
  <c r="M7" i="2"/>
  <c r="M9" i="2" s="1"/>
  <c r="P15" i="9"/>
  <c r="P33" i="8"/>
  <c r="P35" i="8" s="1"/>
  <c r="J27" i="9" l="1"/>
  <c r="J25" i="9"/>
  <c r="G15" i="2" s="1"/>
  <c r="G13" i="2"/>
  <c r="K20" i="9"/>
  <c r="K21" i="9" s="1"/>
  <c r="S10" i="7"/>
  <c r="D9" i="7"/>
  <c r="B24" i="1" s="1"/>
  <c r="Q33" i="8"/>
  <c r="Q35" i="8" s="1"/>
  <c r="Q15" i="9"/>
  <c r="N7" i="2"/>
  <c r="N9" i="2" s="1"/>
  <c r="R32" i="7"/>
  <c r="R30" i="8"/>
  <c r="O17" i="9"/>
  <c r="O24" i="9"/>
  <c r="O35" i="8"/>
  <c r="P17" i="9"/>
  <c r="P24" i="9"/>
  <c r="M14" i="2" s="1"/>
  <c r="M10" i="2"/>
  <c r="P37" i="8"/>
  <c r="P36" i="8"/>
  <c r="Q17" i="9" l="1"/>
  <c r="Q24" i="9"/>
  <c r="N14" i="2" s="1"/>
  <c r="K25" i="9"/>
  <c r="H15" i="2" s="1"/>
  <c r="L20" i="9"/>
  <c r="L21" i="9" s="1"/>
  <c r="H13" i="2"/>
  <c r="K27" i="9"/>
  <c r="D10" i="7"/>
  <c r="S31" i="7"/>
  <c r="N10" i="2"/>
  <c r="Q36" i="8"/>
  <c r="Q37" i="8"/>
  <c r="R31" i="8"/>
  <c r="O19" i="9"/>
  <c r="L12" i="2"/>
  <c r="L14" i="2"/>
  <c r="L10" i="2"/>
  <c r="O37" i="8"/>
  <c r="O36" i="8"/>
  <c r="P19" i="9"/>
  <c r="M12" i="2"/>
  <c r="Q19" i="9" l="1"/>
  <c r="N12" i="2"/>
  <c r="D31" i="7"/>
  <c r="S30" i="8"/>
  <c r="S32" i="7"/>
  <c r="D32" i="7" s="1"/>
  <c r="M20" i="9"/>
  <c r="M21" i="9" s="1"/>
  <c r="L27" i="9"/>
  <c r="L25" i="9"/>
  <c r="I15" i="2" s="1"/>
  <c r="I13" i="2"/>
  <c r="O7" i="2"/>
  <c r="O9" i="2" s="1"/>
  <c r="R15" i="9"/>
  <c r="R33" i="8"/>
  <c r="D30" i="8" l="1"/>
  <c r="S31" i="8"/>
  <c r="P7" i="2" s="1"/>
  <c r="P9" i="2" s="1"/>
  <c r="M27" i="9"/>
  <c r="M25" i="9"/>
  <c r="J15" i="2" s="1"/>
  <c r="J13" i="2"/>
  <c r="N20" i="9"/>
  <c r="N21" i="9" s="1"/>
  <c r="R17" i="9"/>
  <c r="R24" i="9"/>
  <c r="R35" i="8"/>
  <c r="D31" i="8" l="1"/>
  <c r="S33" i="8"/>
  <c r="S15" i="9"/>
  <c r="N27" i="9"/>
  <c r="N25" i="9"/>
  <c r="K15" i="2" s="1"/>
  <c r="K13" i="2"/>
  <c r="O20" i="9"/>
  <c r="O21" i="9" s="1"/>
  <c r="O27" i="9" s="1"/>
  <c r="R19" i="9"/>
  <c r="O12" i="2"/>
  <c r="O14" i="2"/>
  <c r="O10" i="2"/>
  <c r="R37" i="8"/>
  <c r="R36" i="8"/>
  <c r="B9" i="1" l="1"/>
  <c r="B14" i="1"/>
  <c r="S35" i="8"/>
  <c r="D33" i="8"/>
  <c r="D15" i="9"/>
  <c r="S17" i="9"/>
  <c r="S24" i="9"/>
  <c r="O25" i="9"/>
  <c r="L15" i="2" s="1"/>
  <c r="L13" i="2"/>
  <c r="P20" i="9"/>
  <c r="P21" i="9" s="1"/>
  <c r="P10" i="2" l="1"/>
  <c r="S36" i="8"/>
  <c r="D35" i="8"/>
  <c r="S37" i="8"/>
  <c r="D37" i="8" s="1"/>
  <c r="D17" i="9"/>
  <c r="P12" i="2"/>
  <c r="S19" i="9"/>
  <c r="D19" i="9" s="1"/>
  <c r="P14" i="2"/>
  <c r="D24" i="9"/>
  <c r="P27" i="9"/>
  <c r="P25" i="9"/>
  <c r="M15" i="2" s="1"/>
  <c r="M13" i="2"/>
  <c r="Q20" i="9"/>
  <c r="Q21" i="9" s="1"/>
  <c r="Q27" i="9" s="1"/>
  <c r="B11" i="1" l="1"/>
  <c r="D36" i="8"/>
  <c r="Q25" i="9"/>
  <c r="N15" i="2" s="1"/>
  <c r="N13" i="2"/>
  <c r="R20" i="9"/>
  <c r="R21" i="9" s="1"/>
  <c r="B12" i="1" l="1"/>
  <c r="B13" i="1"/>
  <c r="R27" i="9"/>
  <c r="R25" i="9"/>
  <c r="O15" i="2" s="1"/>
  <c r="O13" i="2"/>
  <c r="S20" i="9"/>
  <c r="S21" i="9" s="1"/>
  <c r="D21" i="9" l="1"/>
  <c r="B19" i="1" s="1"/>
  <c r="S27" i="9"/>
  <c r="D27" i="9" s="1"/>
  <c r="B17" i="1"/>
  <c r="B16" i="1"/>
  <c r="S25" i="9"/>
  <c r="P13" i="2"/>
  <c r="D25" i="9" l="1"/>
  <c r="B18" i="1"/>
  <c r="P15" i="2"/>
</calcChain>
</file>

<file path=xl/sharedStrings.xml><?xml version="1.0" encoding="utf-8"?>
<sst xmlns="http://schemas.openxmlformats.org/spreadsheetml/2006/main" count="1385" uniqueCount="754">
  <si>
    <t>Teman Journey - 2027 plan: profitable with both founders paid</t>
  </si>
  <si>
    <t>Goal for 2027: a business that is profitable on its own and pays both founders. Investors come later, after scale. All money in Rp million.</t>
  </si>
  <si>
    <t>Active scenario:</t>
  </si>
  <si>
    <t>Active price plan:</t>
  </si>
  <si>
    <t>Question</t>
  </si>
  <si>
    <t>Answer</t>
  </si>
  <si>
    <t>Unit</t>
  </si>
  <si>
    <t>What it means</t>
  </si>
  <si>
    <t>A. Is 2027 profitable?</t>
  </si>
  <si>
    <t>Revenue FY 2027</t>
  </si>
  <si>
    <t>Rp m</t>
  </si>
  <si>
    <t>Total sales booked in 2027.</t>
  </si>
  <si>
    <t>Gross profit FY 2027</t>
  </si>
  <si>
    <t>Revenue minus delivery cost.</t>
  </si>
  <si>
    <t>Total fixed cost FY 2027</t>
  </si>
  <si>
    <t>Base + founders + sales + delivery steps.</t>
  </si>
  <si>
    <t xml:space="preserve">  of which founder salaries</t>
  </si>
  <si>
    <t>Both founders, from the start month in Inputs.</t>
  </si>
  <si>
    <t>Net profit FY 2027</t>
  </si>
  <si>
    <t>After founder salaries and tax.</t>
  </si>
  <si>
    <t>Net margin FY 2027</t>
  </si>
  <si>
    <t>%</t>
  </si>
  <si>
    <t>Net profit / revenue.</t>
  </si>
  <si>
    <t>Meets your target margin?</t>
  </si>
  <si>
    <t>Target is set in Inputs.</t>
  </si>
  <si>
    <t>Break-even: BI work needed per month (in KPW-event equivalents)</t>
  </si>
  <si>
    <t>events</t>
  </si>
  <si>
    <t>With banks, EAP and B2C at plan, this many KPW-size BI events a month (or the same profit from Flagships) covers all 2027 fixed costs.</t>
  </si>
  <si>
    <t>B. Is cash safe? (Pillar 3)</t>
  </si>
  <si>
    <t>Lowest month-end cash (Oct 26 - Dec 27)</t>
  </si>
  <si>
    <t>Must stay above zero.</t>
  </si>
  <si>
    <t>Month of lowest cash</t>
  </si>
  <si>
    <t>Where the squeeze is.</t>
  </si>
  <si>
    <t>Months below the cash floor</t>
  </si>
  <si>
    <t>months</t>
  </si>
  <si>
    <t>Floor = 1 month fixed cost + delivery cost.</t>
  </si>
  <si>
    <t>Cash at end of 2027</t>
  </si>
  <si>
    <t>Peak money owed by clients</t>
  </si>
  <si>
    <t>Cash tied up in unpaid invoices.</t>
  </si>
  <si>
    <t>Runway at end of Dec 2026 if B2B stops</t>
  </si>
  <si>
    <t>Months you survive on B2C alone with 2027 cost base.</t>
  </si>
  <si>
    <t>C. Can we deliver it? (Pillar 2)</t>
  </si>
  <si>
    <t>Peak facilitators needed in one month</t>
  </si>
  <si>
    <t>people</t>
  </si>
  <si>
    <t>Compare with your plan of 11.</t>
  </si>
  <si>
    <t>Facilitators to certify by end 2027</t>
  </si>
  <si>
    <t>Month the Project Manager is hired</t>
  </si>
  <si>
    <t>Triggered by the 3-month average of B2B events.</t>
  </si>
  <si>
    <t>D. What will investors ask? (risk)</t>
  </si>
  <si>
    <t>BI share of 2027 revenue</t>
  </si>
  <si>
    <t>Concentration risk. Lower is safer.</t>
  </si>
  <si>
    <t>B2B share of 2027 revenue</t>
  </si>
  <si>
    <t>Q4 share of 2027 revenue</t>
  </si>
  <si>
    <t>Seasonality risk.</t>
  </si>
  <si>
    <t>Cost to win one new B2B client (CAC)</t>
  </si>
  <si>
    <t>Sales spend / new clients.</t>
  </si>
  <si>
    <t>Memo: Coreitera revenue from TJ in 2027</t>
  </si>
  <si>
    <t>The 'tech' revenue line for the investor story.</t>
  </si>
  <si>
    <t>Memo: Theta revenue from TJ in 2027</t>
  </si>
  <si>
    <t>Scenario comparison (v14 values from Excel; refresh with analysis/excel_runner.py, then rebuild)</t>
  </si>
  <si>
    <t>Measure</t>
  </si>
  <si>
    <t>Old timing, today's pay</t>
  </si>
  <si>
    <t>Real timing, today's pay</t>
  </si>
  <si>
    <t>Plan, founders paid from Jan</t>
  </si>
  <si>
    <t>Plan, founders from May (ours)</t>
  </si>
  <si>
    <t>Our plan, BI buys 30% less</t>
  </si>
  <si>
    <t>Oct-26</t>
  </si>
  <si>
    <t>Apr-27</t>
  </si>
  <si>
    <t>Jul-27</t>
  </si>
  <si>
    <t>Outlook: sales, costs and cash each month (Rp million)</t>
  </si>
  <si>
    <t>Read the bars against the line: when the grey cost bar is taller than the blue sales bar, cash goes down. Cash is paid later than sales, because clients pay 0 to 60 days after the event.</t>
  </si>
  <si>
    <t>Month</t>
  </si>
  <si>
    <t>Sales (revenue)</t>
  </si>
  <si>
    <t>Delivery cost</t>
  </si>
  <si>
    <t>Fixed cost</t>
  </si>
  <si>
    <t>Tax</t>
  </si>
  <si>
    <t>Total cost</t>
  </si>
  <si>
    <t>Net profit</t>
  </si>
  <si>
    <t>Cash in</t>
  </si>
  <si>
    <t>Cash out</t>
  </si>
  <si>
    <t>Cash at end of month</t>
  </si>
  <si>
    <t>Cash floor (1 month of costs)</t>
  </si>
  <si>
    <t>Above the floor? (1 = yes)</t>
  </si>
  <si>
    <t>Inputs and assumptions (all money in Rp million)</t>
  </si>
  <si>
    <t>Blue numbers are inputs you can change. Status: Known = you told us or it is in your v10 file; Your plan = your own budget; Estimate = industry estimate used until you give the real number (yellow-shaded, listed in the To_Fill sheet).</t>
  </si>
  <si>
    <t>Key</t>
  </si>
  <si>
    <t>Item</t>
  </si>
  <si>
    <t>Value</t>
  </si>
  <si>
    <t>Status</t>
  </si>
  <si>
    <t>Source / logic</t>
  </si>
  <si>
    <t>0. Scenario selector</t>
  </si>
  <si>
    <t>scen</t>
  </si>
  <si>
    <t>Active scenario (1-4)</t>
  </si>
  <si>
    <t>number</t>
  </si>
  <si>
    <t>Known</t>
  </si>
  <si>
    <t>1 = Base plan (v10 volumes). 2 = No new B2B event closes Jan-Jun 2027. 3 = BI cuts its volume by the % below. 4 = Both 2 and 3 (worst case).</t>
  </si>
  <si>
    <t>bi_cut</t>
  </si>
  <si>
    <t>BI volume cut used in scenarios 3 and 4</t>
  </si>
  <si>
    <t>Stress test size. Change freely.</t>
  </si>
  <si>
    <t>1. Prices (per event, or per month for EAP)</t>
  </si>
  <si>
    <t>p_flag</t>
  </si>
  <si>
    <t>Flagship regulator ToT (CBP Rupiah)</t>
  </si>
  <si>
    <t>Rp m / event</t>
  </si>
  <si>
    <t>Your v10 file.</t>
  </si>
  <si>
    <t>p_kpw</t>
  </si>
  <si>
    <t>Regulator regional ToT (BI KPW and LPS)</t>
  </si>
  <si>
    <t>p_kcp</t>
  </si>
  <si>
    <t>Bank branch event (KCP)</t>
  </si>
  <si>
    <t>p_eap</t>
  </si>
  <si>
    <t>Bank EAP subscription</t>
  </si>
  <si>
    <t>Rp m / month</t>
  </si>
  <si>
    <t>p_b2ce</t>
  </si>
  <si>
    <t>B2C mass event</t>
  </si>
  <si>
    <t>p_b2cc</t>
  </si>
  <si>
    <t>B2C counseling client</t>
  </si>
  <si>
    <t>Rp m / client</t>
  </si>
  <si>
    <t>Your v10 file (Rp 1,000,000 per session).</t>
  </si>
  <si>
    <t>2. Delivery cost (cost of goods sold)</t>
  </si>
  <si>
    <t>c_flag</t>
  </si>
  <si>
    <t>Flagship delivery cost</t>
  </si>
  <si>
    <t>Your v10 file: travel, hotel, materials, premium facilitator fees.</t>
  </si>
  <si>
    <t>c_kpw</t>
  </si>
  <si>
    <t>KPW / LPS delivery cost</t>
  </si>
  <si>
    <t>Your v10 file. Covers about 2 handler fees only, so travel is assumed paid by the client (see below).</t>
  </si>
  <si>
    <t>c_kcp</t>
  </si>
  <si>
    <t>Bank KCP event delivery cost</t>
  </si>
  <si>
    <t>c_eap</t>
  </si>
  <si>
    <t>EAP delivery cost</t>
  </si>
  <si>
    <t>Your v10 file: on-call tele-counseling retainer.</t>
  </si>
  <si>
    <t>c_b2ce</t>
  </si>
  <si>
    <t>B2C event delivery cost</t>
  </si>
  <si>
    <t>Your v10 file: venue, ads, materials, fees.</t>
  </si>
  <si>
    <t>c_b2cc</t>
  </si>
  <si>
    <t>B2C counseling cost (psychologist fee)</t>
  </si>
  <si>
    <t>% of price</t>
  </si>
  <si>
    <t>Your v10 file: Rp 400k of Rp 1m.</t>
  </si>
  <si>
    <t>travel_client</t>
  </si>
  <si>
    <t>Client pays travel for regional events? (1 = yes, 0 = no)</t>
  </si>
  <si>
    <t>switch</t>
  </si>
  <si>
    <t>Estimate</t>
  </si>
  <si>
    <t>The Rp 8m KPW cost only covers 2 handler fees, so we assume BI pays travel.</t>
  </si>
  <si>
    <t>travel_pp</t>
  </si>
  <si>
    <t>Travel cost per handler per regional trip</t>
  </si>
  <si>
    <t>Rp m / person</t>
  </si>
  <si>
    <t>Industry estimate: return flight ~Rp 2m + 2 hotel nights ~Rp 1m + per diem ~Rp 0.5m.</t>
  </si>
  <si>
    <t>regional_share</t>
  </si>
  <si>
    <t>Share of KPW / LPS events outside Jakarta</t>
  </si>
  <si>
    <t>Estimate: most KPW offices are outside Jakarta.</t>
  </si>
  <si>
    <t>3. Delivery staffing (from your v10 file)</t>
  </si>
  <si>
    <t>h_flag</t>
  </si>
  <si>
    <t>Handlers per Flagship event</t>
  </si>
  <si>
    <t>1 PM, 1 Lead Psychologist, 2 Facilitators.</t>
  </si>
  <si>
    <t>h_kpw</t>
  </si>
  <si>
    <t>Handlers per KPW / LPS event</t>
  </si>
  <si>
    <t>1 Lead, 1 Facilitator.</t>
  </si>
  <si>
    <t>h_kcp</t>
  </si>
  <si>
    <t>Handlers per KCP event</t>
  </si>
  <si>
    <t>h_b2ce</t>
  </si>
  <si>
    <t>Handlers per B2C event</t>
  </si>
  <si>
    <t>1 Lead, 1 Facilitator / Assistant.</t>
  </si>
  <si>
    <t>d_flag</t>
  </si>
  <si>
    <t>Days per Flagship event</t>
  </si>
  <si>
    <t>days</t>
  </si>
  <si>
    <t>You said 2-3 day program; we use 3.</t>
  </si>
  <si>
    <t>d_kpw</t>
  </si>
  <si>
    <t>Days per KPW / LPS event</t>
  </si>
  <si>
    <t>Estimate.</t>
  </si>
  <si>
    <t>d_kcp</t>
  </si>
  <si>
    <t>Days per KCP event</t>
  </si>
  <si>
    <t>d_b2ce</t>
  </si>
  <si>
    <t>Days per B2C event</t>
  </si>
  <si>
    <t>Estimate (weekend event).</t>
  </si>
  <si>
    <t>fac_cap</t>
  </si>
  <si>
    <t>Max events per facilitator per month</t>
  </si>
  <si>
    <t>Your v10 quality rule.</t>
  </si>
  <si>
    <t>fac_now</t>
  </si>
  <si>
    <t>Certified facilitators today</t>
  </si>
  <si>
    <t>You told us: 2 active core facilitators.</t>
  </si>
  <si>
    <t>fac_plan</t>
  </si>
  <si>
    <t>Your plan: facilitators certified by Nov 2026</t>
  </si>
  <si>
    <t>Your earlier plan.</t>
  </si>
  <si>
    <t>cert_cost</t>
  </si>
  <si>
    <t>Cost to certify one new facilitator</t>
  </si>
  <si>
    <t>Industry estimate: 2-day internal ToT, materials, observed practice event.</t>
  </si>
  <si>
    <t>4. Fixed cost: base (your 2027 'bensin' budget, monthly)</t>
  </si>
  <si>
    <t>o_lead_mkt</t>
  </si>
  <si>
    <t>Lead Marketing</t>
  </si>
  <si>
    <t>Your 2027 budget.</t>
  </si>
  <si>
    <t>o_socmed</t>
  </si>
  <si>
    <t>Social Media Specialist</t>
  </si>
  <si>
    <t>o_intern_mkt</t>
  </si>
  <si>
    <t>Marketing intern</t>
  </si>
  <si>
    <t>o_pic</t>
  </si>
  <si>
    <t>PIC Psychologist</t>
  </si>
  <si>
    <t>o_admin</t>
  </si>
  <si>
    <t>Admin</t>
  </si>
  <si>
    <t>You raised it from Rp 1.8m to Rp 3m (Oct 2026).</t>
  </si>
  <si>
    <t>o_intern_ops</t>
  </si>
  <si>
    <t>Operations intern</t>
  </si>
  <si>
    <t>o_saas</t>
  </si>
  <si>
    <t>Software and IG ads (Workspace, Canva, Claude, CapCut, IG ads, Zoom)</t>
  </si>
  <si>
    <t>Your 2027 budget: Rp 24.959m per year / 12.</t>
  </si>
  <si>
    <t>o_office</t>
  </si>
  <si>
    <t>Office (rent 5.0 + electricity 0.5 + meals 0.3)</t>
  </si>
  <si>
    <t>Your 2027 budget: Rp 69.6m per year / 12.</t>
  </si>
  <si>
    <t>o_acct</t>
  </si>
  <si>
    <t>Accountant / tax consultant</t>
  </si>
  <si>
    <t>Industry estimate for a small PT in Jakarta. Not in your list; set to 0 if you do it yourself.</t>
  </si>
  <si>
    <t>5. Fixed cost: steps (only switched on when triggered)</t>
  </si>
  <si>
    <t>f_sal1</t>
  </si>
  <si>
    <t>Founder salary: co-founder</t>
  </si>
  <si>
    <t>You set this (Oct 2026).</t>
  </si>
  <si>
    <t>f_sal2</t>
  </si>
  <si>
    <t>Founder salary: Galih</t>
  </si>
  <si>
    <t>f_start</t>
  </si>
  <si>
    <t>Founder salaries start month</t>
  </si>
  <si>
    <t>Jan-27</t>
  </si>
  <si>
    <t>month</t>
  </si>
  <si>
    <t>Your plan - confirm</t>
  </si>
  <si>
    <t>Your 2027 goal. Must match a month label exactly (e.g. Jan-27).</t>
  </si>
  <si>
    <t>am_on</t>
  </si>
  <si>
    <t>Hire a B2B Account Manager? (1 = yes)</t>
  </si>
  <si>
    <t>You decided: founders handle accounts for now. Set 1 to test hiring one later.</t>
  </si>
  <si>
    <t>am_cost</t>
  </si>
  <si>
    <t>Account Manager salary</t>
  </si>
  <si>
    <t>Your Rp 35m plan.</t>
  </si>
  <si>
    <t>am_start</t>
  </si>
  <si>
    <t>B2B sales push start month (and AM start, if hired)</t>
  </si>
  <si>
    <t>Founders start selling to LPS, OJK and banks. Must match a month label.</t>
  </si>
  <si>
    <t>sales_travel</t>
  </si>
  <si>
    <t>Sales travel and meetings (from sales start month)</t>
  </si>
  <si>
    <t>Industry estimate: 2 regional or bank HQ trips a month + meeting costs.</t>
  </si>
  <si>
    <t>pm_cost</t>
  </si>
  <si>
    <t>Project Manager salary</t>
  </si>
  <si>
    <t>pm_thr</t>
  </si>
  <si>
    <t>PM trigger: average B2B events per month (last 3 months) at or above</t>
  </si>
  <si>
    <t>Step rule: when the 3-month average reaches this, hire the PM next month. Once hired, the PM stays.</t>
  </si>
  <si>
    <t>adm2_thr</t>
  </si>
  <si>
    <t>Second admin trigger: invoices per month above</t>
  </si>
  <si>
    <t>invoices</t>
  </si>
  <si>
    <t>Step rule: invoicing on time protects the KPW payday cutoff.</t>
  </si>
  <si>
    <t>corp_inv</t>
  </si>
  <si>
    <t>Invoices per month from small corporate clients</t>
  </si>
  <si>
    <t>You have about 4 small clients, mostly quarterly: 4 / 3 per month.</t>
  </si>
  <si>
    <t>6. Coreitera and Theta (charges between your own companies)</t>
  </si>
  <si>
    <t>core_in_cogs</t>
  </si>
  <si>
    <t>Coreitera fee already inside the delivery costs above? (1 = yes)</t>
  </si>
  <si>
    <t>Assumed yes. If 0, the fee is added on top of event cost.</t>
  </si>
  <si>
    <t>core_fee</t>
  </si>
  <si>
    <t>Coreitera fee per assessment</t>
  </si>
  <si>
    <t>Rp m / participant</t>
  </si>
  <si>
    <t>Industry estimate for online B2B psychometric assessment in Indonesia: Rp 50k-150k. We use Rp 75k.</t>
  </si>
  <si>
    <t>pax_flag</t>
  </si>
  <si>
    <t>Participants per Flagship event</t>
  </si>
  <si>
    <t>pax_kpw</t>
  </si>
  <si>
    <t>Participants per KPW / LPS event</t>
  </si>
  <si>
    <t>pax_kcp</t>
  </si>
  <si>
    <t>Participants per KCP event</t>
  </si>
  <si>
    <t>pax_b2ce</t>
  </si>
  <si>
    <t>Participants per B2C event</t>
  </si>
  <si>
    <t>theta_fee</t>
  </si>
  <si>
    <t>Theta fee per counseling allocation</t>
  </si>
  <si>
    <t>Rp m / session</t>
  </si>
  <si>
    <t>Industry estimate for a platform fee per session. Shown as a memo only.</t>
  </si>
  <si>
    <t>eap_sessions</t>
  </si>
  <si>
    <t>Counseling sessions per EAP contract per month</t>
  </si>
  <si>
    <t>sessions</t>
  </si>
  <si>
    <t>7. Customer acquisition (B2B)</t>
  </si>
  <si>
    <t>new_logos</t>
  </si>
  <si>
    <t>New B2B clients won in 2027 (LPS, OJK, banks)</t>
  </si>
  <si>
    <t>clients</t>
  </si>
  <si>
    <t>Your strategy: LPS and OJK, then banks such as BRI and Mandiri. Estimate: 2 regulators + 2 banks.</t>
  </si>
  <si>
    <t>8. Cash timing</t>
  </si>
  <si>
    <t>cash0</t>
  </si>
  <si>
    <t>Cash in bank at 1 Oct 2026</t>
  </si>
  <si>
    <t>You told us. Assumed free cash: no unpaid bills and no money owed to you.</t>
  </si>
  <si>
    <t>flag_s0</t>
  </si>
  <si>
    <t>BI central (Flagship): paid same month</t>
  </si>
  <si>
    <t>You said most clients pay the same month, never later than 60 days.</t>
  </si>
  <si>
    <t>flag_s30</t>
  </si>
  <si>
    <t>BI central (Flagship): paid after ~30 days</t>
  </si>
  <si>
    <t>As above.</t>
  </si>
  <si>
    <t>flag_s60</t>
  </si>
  <si>
    <t>BI central (Flagship): paid after ~60 days</t>
  </si>
  <si>
    <t>kpw_cut</t>
  </si>
  <si>
    <t>KPW / LPS: share of invoices sent before the payday cutoff</t>
  </si>
  <si>
    <t>Known rule: BI pays on the 1st; invoice before cutoff = paid that cycle, after = next month. Share is an estimate.</t>
  </si>
  <si>
    <t>bank_s0</t>
  </si>
  <si>
    <t>Banks (KCP events): paid same month</t>
  </si>
  <si>
    <t>No bank client yet, so we assume slower than BI.</t>
  </si>
  <si>
    <t>bank_s30</t>
  </si>
  <si>
    <t>Banks (KCP events): paid after ~30 days</t>
  </si>
  <si>
    <t>bank_s60</t>
  </si>
  <si>
    <t>Banks (KCP events): paid after ~60 days</t>
  </si>
  <si>
    <t>tax_rate</t>
  </si>
  <si>
    <t>Income tax on revenue (final tax, PP 55/2022)</t>
  </si>
  <si>
    <t>% of revenue</t>
  </si>
  <si>
    <t>Assumes the 0.5% small-business final tax and that prices exclude VAT. Paid the next month.</t>
  </si>
  <si>
    <t>9. Targets and concentration</t>
  </si>
  <si>
    <t>target_margin</t>
  </si>
  <si>
    <t>Target net profit margin for 2027</t>
  </si>
  <si>
    <t>Your goal is to 'look profitable'. 15% used until you set a number.</t>
  </si>
  <si>
    <t>bi_share_kpw</t>
  </si>
  <si>
    <t>Share of 'KPW and LPS' events that are BI (rest is LPS / OJK)</t>
  </si>
  <si>
    <t>BI is 70% of revenue today; LPS / OJK are new in 2027.</t>
  </si>
  <si>
    <t>10. Rate card - elite boutique pricing (used when price plan = 2)</t>
  </si>
  <si>
    <t>plan</t>
  </si>
  <si>
    <t>Active price plan (1 = current prices, 2 = new rate card)</t>
  </si>
  <si>
    <t>Switch to compare old and new prices.</t>
  </si>
  <si>
    <t>np_start</t>
  </si>
  <si>
    <t>New prices start month</t>
  </si>
  <si>
    <t>Q4 2026 work is already agreed at old prices. Must match a month label.</t>
  </si>
  <si>
    <t>np_flag</t>
  </si>
  <si>
    <t>New price: Flagship regulator ToT (3 days, training part)</t>
  </si>
  <si>
    <t>Rp m / program</t>
  </si>
  <si>
    <t>About 2x the SBM fee budget for 3 days (~Rp50m); regulators assumed to allow a bit more than SBM.</t>
  </si>
  <si>
    <t>np_kpw</t>
  </si>
  <si>
    <t>New price: KPW / LPS regional ToT (1 day, training part)</t>
  </si>
  <si>
    <t>Brings KPW to your 3x rule. About 1.9x the SBM fee budget for 1 day (~Rp12.6m).</t>
  </si>
  <si>
    <t>np_bumn</t>
  </si>
  <si>
    <t>New price: state-owned bank, per group per day</t>
  </si>
  <si>
    <t>Rp m / day</t>
  </si>
  <si>
    <t>About half of what big trainers charge banks (2-3x your old rate). Tender pressure keeps it below private banks.</t>
  </si>
  <si>
    <t>np_priv</t>
  </si>
  <si>
    <t>New price: private big bank, per group per day</t>
  </si>
  <si>
    <t>About 60% of the big-trainer rate: elite boutique = clearly cheaper than big firms, never the cheapest.</t>
  </si>
  <si>
    <t>priv_share</t>
  </si>
  <si>
    <t>Share of 2027 bank events with private banks</t>
  </si>
  <si>
    <t>Your plan starts with state banks; 1 in 4 bank events assumed private.</t>
  </si>
  <si>
    <t>assess_price</t>
  </si>
  <si>
    <t>Assessment and impact report, price per participant</t>
  </si>
  <si>
    <t>Sold as its own line (BI confirmed this is allowed). Pre- and post-assessment by Coreitera + impact report.</t>
  </si>
  <si>
    <t>as_flag</t>
  </si>
  <si>
    <t>Sell assessment with Flagship? (1 = yes)</t>
  </si>
  <si>
    <t>BI accepts it as a separate line.</t>
  </si>
  <si>
    <t>as_kpw</t>
  </si>
  <si>
    <t>Sell assessment with KPW / LPS? (1 = yes)</t>
  </si>
  <si>
    <t>as_kcp</t>
  </si>
  <si>
    <t>Sell assessment with bank events? (1 = yes)</t>
  </si>
  <si>
    <t>Banks have not been asked yet.</t>
  </si>
  <si>
    <t>bt_mult</t>
  </si>
  <si>
    <t>Big trainers charge banks this multiple of your old bank rate</t>
  </si>
  <si>
    <t>x</t>
  </si>
  <si>
    <t>You said 2-3x; midpoint used.</t>
  </si>
  <si>
    <t>elite_up</t>
  </si>
  <si>
    <t>Elite package uplift over Signature package</t>
  </si>
  <si>
    <t>Elite adds a cascade licence and 3 months of trainer follow-up.</t>
  </si>
  <si>
    <t>vol_keep</t>
  </si>
  <si>
    <t>B2B volume kept after the price change</t>
  </si>
  <si>
    <t>100% = no client lost. Lower it to test the risk; see the volume-loss table on Rate_Card.</t>
  </si>
  <si>
    <t>11. Timing - when new sales really start (v14)</t>
  </si>
  <si>
    <t>pipe_on</t>
  </si>
  <si>
    <t>Pipeline-first timing? (1 = no new sales before the month below)</t>
  </si>
  <si>
    <t>Oct 2026 to Feb 2027 is used to pitch and sign. Existing EAP and counseling clients continue.</t>
  </si>
  <si>
    <t>sales_from</t>
  </si>
  <si>
    <t>First month new contracts are delivered</t>
  </si>
  <si>
    <t>Mar-27</t>
  </si>
  <si>
    <t>Must match a month label (e.g. Mar-27). Earlier months get no new B2B events.</t>
  </si>
  <si>
    <t>pipe_b2c</t>
  </si>
  <si>
    <t>Also stop B2C mass events before that month? (1 = yes)</t>
  </si>
  <si>
    <t>1 = the team focuses on pitching. 0 = keep public events running.</t>
  </si>
  <si>
    <t>12. Growth plan - fair pay and the hires in the growth deck (v14)</t>
  </si>
  <si>
    <t>gp_on</t>
  </si>
  <si>
    <t>Growth plan switch (1 = on, 0 = v13 cost base)</t>
  </si>
  <si>
    <t>Turns on every line in this section.</t>
  </si>
  <si>
    <t>fair_on</t>
  </si>
  <si>
    <t>Pay full-time staff fairly? (1 = yes)</t>
  </si>
  <si>
    <t>Minimum wage + BPJS + THR. Required by law for employees.</t>
  </si>
  <si>
    <t>fair_start</t>
  </si>
  <si>
    <t>Fair pay start month</t>
  </si>
  <si>
    <t>Must match a month label.</t>
  </si>
  <si>
    <t>oncost</t>
  </si>
  <si>
    <t>BPJS + THR on top of salary</t>
  </si>
  <si>
    <t>Employer BPJS + holiday bonus; confirm with a payroll provider.</t>
  </si>
  <si>
    <t>fp_admin</t>
  </si>
  <si>
    <t>Fair gross pay: admin</t>
  </si>
  <si>
    <t>Jakarta minimum wage 2026: Rp5,729,876.</t>
  </si>
  <si>
    <t>fp_socmed</t>
  </si>
  <si>
    <t>Fair gross pay: social media specialist</t>
  </si>
  <si>
    <t>Jakarta minimum wage 2026.</t>
  </si>
  <si>
    <t>fp_lead</t>
  </si>
  <si>
    <t>Fair gross pay: lead marketing</t>
  </si>
  <si>
    <t>Minimum wage + about 22% for a lead role.</t>
  </si>
  <si>
    <t>fp_psych</t>
  </si>
  <si>
    <t>Fair gross pay: full-time psychologist (replaces PIC part-time)</t>
  </si>
  <si>
    <t>Low end of Rp7m to Rp13m for licensed psychologists (JobStreet).</t>
  </si>
  <si>
    <t>ads_extra</t>
  </si>
  <si>
    <t>Extra IG ads and content (from fair pay start)</t>
  </si>
  <si>
    <t>On top of the software and ads budget.</t>
  </si>
  <si>
    <t>eap2_start</t>
  </si>
  <si>
    <t>New EAP contract 2 starts (psychologist starts the same month)</t>
  </si>
  <si>
    <t>Each EAP contract: Rp15m a month, cost Rp5m.</t>
  </si>
  <si>
    <t>eap3_start</t>
  </si>
  <si>
    <t>New EAP contract 3 starts</t>
  </si>
  <si>
    <t>cof_cost</t>
  </si>
  <si>
    <t>Sales co-founder cash pay</t>
  </si>
  <si>
    <t>Plus shares that vest over 4 years.</t>
  </si>
  <si>
    <t>cof_start</t>
  </si>
  <si>
    <t>Sales co-founder starts</t>
  </si>
  <si>
    <t>Start only when a bank, OJK or LPS offer is open.</t>
  </si>
  <si>
    <t>bank_start</t>
  </si>
  <si>
    <t>Bank agreement: first training day</t>
  </si>
  <si>
    <t>Oct-27</t>
  </si>
  <si>
    <t>Bank days are priced and costed as bank events (Rate_Card).</t>
  </si>
  <si>
    <t>bank_days</t>
  </si>
  <si>
    <t>Bank training days per month from that month</t>
  </si>
  <si>
    <t>Set 0 to test 'no bank deal'.</t>
  </si>
  <si>
    <t>Event volume plan (from your v10 file, moved to Oct 2026 - Dec 2027)</t>
  </si>
  <si>
    <t>Rp million unless stated. Q4 2026 and FY 2027 columns are totals (or averages / peaks where stated).</t>
  </si>
  <si>
    <t>Line</t>
  </si>
  <si>
    <t>Q4 2026</t>
  </si>
  <si>
    <t>FY 2027</t>
  </si>
  <si>
    <t>Nov-26</t>
  </si>
  <si>
    <t>Dec-26</t>
  </si>
  <si>
    <t>Feb-27</t>
  </si>
  <si>
    <t>May-27</t>
  </si>
  <si>
    <t>Jun-27</t>
  </si>
  <si>
    <t>Aug-27</t>
  </si>
  <si>
    <t>Sep-27</t>
  </si>
  <si>
    <t>Nov-27</t>
  </si>
  <si>
    <t>Dec-27</t>
  </si>
  <si>
    <t>Timeline helpers</t>
  </si>
  <si>
    <t>Month number</t>
  </si>
  <si>
    <t>#</t>
  </si>
  <si>
    <t>Is 2027? (1 = yes)</t>
  </si>
  <si>
    <t>flag</t>
  </si>
  <si>
    <t>Is Jan-Jun 2027? (1 = yes)</t>
  </si>
  <si>
    <t>Scenario switch: new B2B events allowed (1 = yes)</t>
  </si>
  <si>
    <t>Scenario factor: BI volume</t>
  </si>
  <si>
    <t>New prices active this month? (1 = yes)</t>
  </si>
  <si>
    <t>Price plan factor: B2B volume kept</t>
  </si>
  <si>
    <t>Base plan volumes (blue = your v10 plan; edit here)</t>
  </si>
  <si>
    <t>Flagship regulator ToT</t>
  </si>
  <si>
    <t>KPW / LPS regional ToT</t>
  </si>
  <si>
    <t>Bank KCP events</t>
  </si>
  <si>
    <t>Bank EAP contracts active</t>
  </si>
  <si>
    <t>contracts</t>
  </si>
  <si>
    <t>B2C mass events</t>
  </si>
  <si>
    <t>B2C counseling clients</t>
  </si>
  <si>
    <t>Volumes used in the model (after scenario)</t>
  </si>
  <si>
    <t>Bank KCP events (incl. growth-plan bank days)</t>
  </si>
  <si>
    <t>Bank EAP contracts active (existing + growth plan)</t>
  </si>
  <si>
    <t>Total B2B events (Flagship + KPW/LPS + KCP)</t>
  </si>
  <si>
    <t>Notes: v14 adds the timing switch (no new sales before the first delivery month) and the growth plan (new EAP contracts and bank days). Change them in Inputs sections 11 and 12.</t>
  </si>
  <si>
    <t>Timing and growth plan (v14)</t>
  </si>
  <si>
    <t>Pipeline gap: no new sales yet (1 = yes)</t>
  </si>
  <si>
    <t>New EAP contracts active (growth plan)</t>
  </si>
  <si>
    <t>Bank training days (growth plan)</t>
  </si>
  <si>
    <t>Pillar 1 - Unit economics and B2B customer acquisition cost (Rp million)</t>
  </si>
  <si>
    <t>Product</t>
  </si>
  <si>
    <t>Price</t>
  </si>
  <si>
    <t>Extra travel (if you pay)</t>
  </si>
  <si>
    <t>Coreitera fee (assessment cost)</t>
  </si>
  <si>
    <t>Total delivery cost</t>
  </si>
  <si>
    <t>Contribution (profit per event)</t>
  </si>
  <si>
    <t>Contribution %</t>
  </si>
  <si>
    <t>Price / external cost</t>
  </si>
  <si>
    <t>Meets your 3x rule?</t>
  </si>
  <si>
    <t>Handler-days</t>
  </si>
  <si>
    <t>Contribution per handler-day</t>
  </si>
  <si>
    <t>Coreitera revenue per event (memo)</t>
  </si>
  <si>
    <t>Old price (before new prices start)</t>
  </si>
  <si>
    <t>Old delivery cost</t>
  </si>
  <si>
    <t>Bank KCP event</t>
  </si>
  <si>
    <t>Bank EAP (per month)</t>
  </si>
  <si>
    <t>B2B customer acquisition cost (CAC)</t>
  </si>
  <si>
    <t>Sales cost per year (sales travel + Account Manager if hired; founder time not costed)</t>
  </si>
  <si>
    <t>New B2B clients won per year</t>
  </si>
  <si>
    <t>CAC: cost to win one new B2B client</t>
  </si>
  <si>
    <t>Events needed to pay back CAC: Flagship</t>
  </si>
  <si>
    <t>Events needed to pay back CAC: KPW / LPS</t>
  </si>
  <si>
    <t>Events needed to pay back CAC: Bank KCP</t>
  </si>
  <si>
    <t>Months of EAP needed to pay back CAC</t>
  </si>
  <si>
    <t>How to read: Contribution = price minus everything you pay to deliver that one event. It is what is left to pay fixed costs.</t>
  </si>
  <si>
    <t>Your pricing rule is price at least 3x the delivery cost paid outside the group (Coreitera fees stay inside). Rows marked 'No' break that rule.</t>
  </si>
  <si>
    <t>CAC counts only direct sales spend. Founder time is not costed here because founders are paid a fixed salary.</t>
  </si>
  <si>
    <t>Coreitera revenue per event is a memo: it is money paid between your own companies, so it cancels out in the combined profit.</t>
  </si>
  <si>
    <t>Rate card - elite boutique pricing by client tier (Rp million)</t>
  </si>
  <si>
    <t>Rule: price close to the buyer's ceiling for regulators, and against the big-trainer alternative for banks. Never below 3x delivery cost. Prices here always show the new rate card, whatever the active price plan.</t>
  </si>
  <si>
    <t>Tier and product</t>
  </si>
  <si>
    <t>What caps the price</t>
  </si>
  <si>
    <t>Training price</t>
  </si>
  <si>
    <t>Days</t>
  </si>
  <si>
    <t>Price per day</t>
  </si>
  <si>
    <t>Assessment per participant</t>
  </si>
  <si>
    <t>Participants</t>
  </si>
  <si>
    <t>Package price (training + assessment)</t>
  </si>
  <si>
    <t>External delivery cost (excl. Coreitera)</t>
  </si>
  <si>
    <t>Meets 3x?</t>
  </si>
  <si>
    <t>Per day vs big-trainer rate</t>
  </si>
  <si>
    <t>Best contract shape</t>
  </si>
  <si>
    <t>Tier 1 regulator - Flagship ToT (BI, OJK, LPS)</t>
  </si>
  <si>
    <t>Budget ceiling per activity; past contracts set the anchor</t>
  </si>
  <si>
    <t>Yearly framework contract with central procurement</t>
  </si>
  <si>
    <t>Tier 1 regulator - Regional ToT (BI KPW, LPS)</t>
  </si>
  <si>
    <t>Budget ceiling per activity</t>
  </si>
  <si>
    <t>Framework + work order (SPK) per office</t>
  </si>
  <si>
    <t>State-owned bank (BRI, Mandiri, BNI, BTN)</t>
  </si>
  <si>
    <t>Vendor tender and price competition</t>
  </si>
  <si>
    <t>Multi-branch yearly framework (10+ groups), 30% down payment</t>
  </si>
  <si>
    <t>Private big bank (BCA and others)</t>
  </si>
  <si>
    <t>Value vs big trainers (2-3x your old rate)</t>
  </si>
  <si>
    <t>Annual learning partnership + EAP priced per employee</t>
  </si>
  <si>
    <t>Reference: big-trainer day rate charged to banks</t>
  </si>
  <si>
    <t>Your old bank rate x the multiple you gave (2-3x, midpoint).</t>
  </si>
  <si>
    <t>Bank packages (good / better / best) - per group per day</t>
  </si>
  <si>
    <t>Package</t>
  </si>
  <si>
    <t>What is included</t>
  </si>
  <si>
    <t>State-owned bank</t>
  </si>
  <si>
    <t>Private bank</t>
  </si>
  <si>
    <t>Essential</t>
  </si>
  <si>
    <t>Training day only</t>
  </si>
  <si>
    <t>Signature (lead offer)</t>
  </si>
  <si>
    <t>Training + pre/post assessment + impact report</t>
  </si>
  <si>
    <t>Elite</t>
  </si>
  <si>
    <t>Signature + cascade licence for trainers + 3 months follow-up</t>
  </si>
  <si>
    <t>Volume-loss test: how many events can you lose and still earn more?</t>
  </si>
  <si>
    <t>Profit per event, old price</t>
  </si>
  <si>
    <t>Profit per event, new package</t>
  </si>
  <si>
    <t>Max share of events you can lose</t>
  </si>
  <si>
    <t>Meaning</t>
  </si>
  <si>
    <t>Flagship ToT</t>
  </si>
  <si>
    <t>KPW / LPS ToT</t>
  </si>
  <si>
    <t>Bank event (state-owned)</t>
  </si>
  <si>
    <t>Bank event (private)</t>
  </si>
  <si>
    <t>Pricing rules (all tiers)</t>
  </si>
  <si>
    <t>1. Price units: per group per day (training), per participant (assessment), per employee per month (EAP), per year (cascade licence). Never one lump sum.</t>
  </si>
  <si>
    <t>2. Floor: never below 3x the delivery cost paid outside the group. The Coreitera fee is excluded because it stays inside your own companies.</t>
  </si>
  <si>
    <t>3. Pilot discount: at most 20%, once per client, recorded as a sales cost, and tied to a follow-on contract.</t>
  </si>
  <si>
    <t>4. Volume discount: 5% for 5+ groups a year, 10% for 10+ groups. Never more than 10%.</t>
  </si>
  <si>
    <t>5. Travel and venue: paid by the client, or billed at cost plus 10%.</t>
  </si>
  <si>
    <t>6. Payment: 30% down payment for bank contracts above Rp100m. Regulators keep current terms.</t>
  </si>
  <si>
    <t>7. Regulators: never raise the price of an old item. Add new items (assessment, licence, follow-up), which get a fresh budget ceiling.</t>
  </si>
  <si>
    <t>8. Elite boutique position: always clearly below big trainers, never the cheapest. Compete on more services and a measured result.</t>
  </si>
  <si>
    <t>Pillar 2 - Capacity and step-function fixed costs</t>
  </si>
  <si>
    <t>Delivery capacity</t>
  </si>
  <si>
    <t>Handler placements (people x events)</t>
  </si>
  <si>
    <t>placements</t>
  </si>
  <si>
    <t>Handler-days (placements x days per event)</t>
  </si>
  <si>
    <t>Facilitators needed this month (placements / max events each)</t>
  </si>
  <si>
    <t>Certified facilitator pool (grows when needed, never shrinks)</t>
  </si>
  <si>
    <t>New facilitators to certify this month</t>
  </si>
  <si>
    <t>Your plan (11 by Nov 2026) minus need: spare facilitators</t>
  </si>
  <si>
    <t>Step triggers</t>
  </si>
  <si>
    <t>B2B events, average of last 3 months</t>
  </si>
  <si>
    <t>Project Manager hired? (1 = yes; starts the month after the trigger)</t>
  </si>
  <si>
    <t>Account Manager active? (1 = yes)</t>
  </si>
  <si>
    <t>Founder salaries active? (1 = yes)</t>
  </si>
  <si>
    <t>Invoices to send this month</t>
  </si>
  <si>
    <t>Second admin hired? (1 = yes; stays once hired)</t>
  </si>
  <si>
    <t>Fixed costs per month (Rp million)</t>
  </si>
  <si>
    <t>L0 Base team (your 2027 list: 6 people)</t>
  </si>
  <si>
    <t>L0 Software and IG ads</t>
  </si>
  <si>
    <t>L0 Office</t>
  </si>
  <si>
    <t>L0 Accountant / tax (estimate)</t>
  </si>
  <si>
    <t>Founder salaries</t>
  </si>
  <si>
    <t>L1 Account Manager</t>
  </si>
  <si>
    <t>L1 Sales travel (founders or AM)</t>
  </si>
  <si>
    <t>L2 Project Manager</t>
  </si>
  <si>
    <t>L2 Second admin</t>
  </si>
  <si>
    <t>L3 Facilitator certification (one-off)</t>
  </si>
  <si>
    <t>Total fixed cost</t>
  </si>
  <si>
    <t>Growth plan fixed costs (v14)</t>
  </si>
  <si>
    <t>Fair pay active? (1 = yes)</t>
  </si>
  <si>
    <t>Full-time psychologist active? (starts with EAP contract 2)</t>
  </si>
  <si>
    <t>Fair-pay uplift: admin, social media, lead marketing</t>
  </si>
  <si>
    <t>Fair-pay uplift: full-time psychologist</t>
  </si>
  <si>
    <t>Extra IG ads and content</t>
  </si>
  <si>
    <t>Sales co-founder</t>
  </si>
  <si>
    <t>Growth plan fixed cost</t>
  </si>
  <si>
    <t>Profit and loss by month (Rp million) - money counted when the event is delivered</t>
  </si>
  <si>
    <t>Revenue</t>
  </si>
  <si>
    <t>Bank EAP</t>
  </si>
  <si>
    <t>B2C counseling</t>
  </si>
  <si>
    <t>Total revenue</t>
  </si>
  <si>
    <t>Flagship</t>
  </si>
  <si>
    <t>KPW / LPS</t>
  </si>
  <si>
    <t>Bank KCP</t>
  </si>
  <si>
    <t>B2C events</t>
  </si>
  <si>
    <t>Gross profit</t>
  </si>
  <si>
    <t>Gross margin</t>
  </si>
  <si>
    <t>Fixed costs (from Capacity_OPEX)</t>
  </si>
  <si>
    <t>Base: team, software, office, accountant (+ fair pay and ads)</t>
  </si>
  <si>
    <t>B2B sales (co-founder, Account Manager, travel)</t>
  </si>
  <si>
    <t>Delivery capacity (PM, 2nd admin, certification)</t>
  </si>
  <si>
    <t>Profit before tax</t>
  </si>
  <si>
    <t>Income tax (final tax on revenue)</t>
  </si>
  <si>
    <t>Net margin</t>
  </si>
  <si>
    <t>Net profit if founders were not paid (for comparison)</t>
  </si>
  <si>
    <t>Concentration and memo lines</t>
  </si>
  <si>
    <t>Revenue from BI (Flagship + BI share of KPW/LPS)</t>
  </si>
  <si>
    <t>BI share of revenue</t>
  </si>
  <si>
    <t>B2B revenue</t>
  </si>
  <si>
    <t>Memo: Coreitera assessment revenue (paid by TJ)</t>
  </si>
  <si>
    <t>Memo: Theta counseling revenue (paid by TJ)</t>
  </si>
  <si>
    <t>Pillar 3 - Cash flow by month (Rp million) - money counted when it moves</t>
  </si>
  <si>
    <t>B2C (paid on the day)</t>
  </si>
  <si>
    <t>BI central - Flagship</t>
  </si>
  <si>
    <t>BI KPW / LPS (payday cutoff rule)</t>
  </si>
  <si>
    <t>Banks - KCP events</t>
  </si>
  <si>
    <t>Banks - EAP (paid the next month)</t>
  </si>
  <si>
    <t>Total cash in</t>
  </si>
  <si>
    <t>Delivery costs (paid in the event month)</t>
  </si>
  <si>
    <t>Fixed costs (salaries paid on the 25th)</t>
  </si>
  <si>
    <t>Income tax (paid the next month)</t>
  </si>
  <si>
    <t>Total cash out</t>
  </si>
  <si>
    <t>Net cash flow</t>
  </si>
  <si>
    <t>Cash at start of month</t>
  </si>
  <si>
    <t>Safety checks</t>
  </si>
  <si>
    <t>Cash floor: one month of fixed cost + this month's delivery cost</t>
  </si>
  <si>
    <t>Above the floor? (1 = yes, 0 = warning)</t>
  </si>
  <si>
    <t>Money clients still owe you (end of month)</t>
  </si>
  <si>
    <t>Months of runway if all B2B stopped from here (2027 avg B2C profit)</t>
  </si>
  <si>
    <t>Note: this is a monthly model. Because BI pays on the 1st and salaries go out on the 25th, keep cash above the floor line at all times. Prices are assumed to exclude VAT (VAT passes through).</t>
  </si>
  <si>
    <t>To fill: numbers we estimated - please replace with your real numbers</t>
  </si>
  <si>
    <t>How to use: write your real number in the yellow 'Your real number' column, then copy it into the blue cell named in 'Where to change it' on the Inputs sheet. The model updates everywhere.</t>
  </si>
  <si>
    <t>Pillar</t>
  </si>
  <si>
    <t>Value used now</t>
  </si>
  <si>
    <t>Why it matters</t>
  </si>
  <si>
    <t>Where to change it</t>
  </si>
  <si>
    <t>Your real number</t>
  </si>
  <si>
    <t>e.g.</t>
  </si>
  <si>
    <t>2. Fixed cost</t>
  </si>
  <si>
    <t>Office rent (example row - do not edit)</t>
  </si>
  <si>
    <t>Shows the format to use.</t>
  </si>
  <si>
    <t>Inputs!C?</t>
  </si>
  <si>
    <t>Done</t>
  </si>
  <si>
    <t>1. Unit economics</t>
  </si>
  <si>
    <t>If you pay travel yourself, each KPW event loses about Rp 6m of its Rp 12m profit.</t>
  </si>
  <si>
    <t>Inputs!C22</t>
  </si>
  <si>
    <t>Open</t>
  </si>
  <si>
    <t>Only used if the switch above is 0.</t>
  </si>
  <si>
    <t>Inputs!C23</t>
  </si>
  <si>
    <t>Only used if you pay travel yourself.</t>
  </si>
  <si>
    <t>Inputs!C24</t>
  </si>
  <si>
    <t>2. Capacity</t>
  </si>
  <si>
    <t>Drives handler-days and how many facilitators you must certify.</t>
  </si>
  <si>
    <t>Inputs!C30</t>
  </si>
  <si>
    <t>Drives handler-days.</t>
  </si>
  <si>
    <t>Inputs!C31</t>
  </si>
  <si>
    <t>Inputs!C32</t>
  </si>
  <si>
    <t>Inputs!C33</t>
  </si>
  <si>
    <t>One-off cost each time the pool must grow.</t>
  </si>
  <si>
    <t>Inputs!C37</t>
  </si>
  <si>
    <t>Bank and regulator vendors need clean books and tax filings.</t>
  </si>
  <si>
    <t>Inputs!C47</t>
  </si>
  <si>
    <t>Earlier start = less cash buffer in Q1-Q2.</t>
  </si>
  <si>
    <t>Inputs!C51</t>
  </si>
  <si>
    <t>Starts sales travel spending.</t>
  </si>
  <si>
    <t>Inputs!C54</t>
  </si>
  <si>
    <t>Main part of B2B customer acquisition cost.</t>
  </si>
  <si>
    <t>Inputs!C55</t>
  </si>
  <si>
    <t>Decides when Rp 5m is added to fixed cost.</t>
  </si>
  <si>
    <t>Inputs!C57</t>
  </si>
  <si>
    <t>Decides when a second admin (same salary as admin) is added.</t>
  </si>
  <si>
    <t>Inputs!C58</t>
  </si>
  <si>
    <t>Only affects the admin trigger.</t>
  </si>
  <si>
    <t>Inputs!C59</t>
  </si>
  <si>
    <t>If it is not already inside, every event costs more.</t>
  </si>
  <si>
    <t>Inputs!C61</t>
  </si>
  <si>
    <t>This is Coreitera's revenue line for the investor story.</t>
  </si>
  <si>
    <t>Inputs!C62</t>
  </si>
  <si>
    <t>Number of Coreitera assessments sold per event.</t>
  </si>
  <si>
    <t>Inputs!C63</t>
  </si>
  <si>
    <t>Inputs!C64</t>
  </si>
  <si>
    <t>Inputs!C65</t>
  </si>
  <si>
    <t>Inputs!C66</t>
  </si>
  <si>
    <t>This is Theta's revenue line for the investor story.</t>
  </si>
  <si>
    <t>Inputs!C67</t>
  </si>
  <si>
    <t>Theta volume from EAP.</t>
  </si>
  <si>
    <t>Inputs!C68</t>
  </si>
  <si>
    <t>Sales cost / new clients = cost to win one client.</t>
  </si>
  <si>
    <t>Inputs!C70</t>
  </si>
  <si>
    <t>3. Cash</t>
  </si>
  <si>
    <t>Cash timing.</t>
  </si>
  <si>
    <t>Inputs!C73</t>
  </si>
  <si>
    <t>Inputs!C74</t>
  </si>
  <si>
    <t>Inputs!C75</t>
  </si>
  <si>
    <t>Sending invoices on time moves cash forward by one month.</t>
  </si>
  <si>
    <t>Inputs!C76</t>
  </si>
  <si>
    <t>Cash timing for new bank clients.</t>
  </si>
  <si>
    <t>Inputs!C77</t>
  </si>
  <si>
    <t>Inputs!C78</t>
  </si>
  <si>
    <t>Inputs!C79</t>
  </si>
  <si>
    <t>If you pay normal corporate tax instead, tax is on profit, not revenue.</t>
  </si>
  <si>
    <t>Inputs!C80</t>
  </si>
  <si>
    <t>Goal</t>
  </si>
  <si>
    <t>Used for the pass / fail check on the Summary.</t>
  </si>
  <si>
    <t>Inputs!C82</t>
  </si>
  <si>
    <t>Measures how much revenue depends on BI.</t>
  </si>
  <si>
    <t>Inputs!C83</t>
  </si>
  <si>
    <t>Pricing</t>
  </si>
  <si>
    <t>New prices should start with the new budget year.</t>
  </si>
  <si>
    <t>Inputs!C86</t>
  </si>
  <si>
    <t>Biggest single regulator product.</t>
  </si>
  <si>
    <t>Inputs!C87</t>
  </si>
  <si>
    <t>17 events a year, so each Rp1m matters.</t>
  </si>
  <si>
    <t>Inputs!C88</t>
  </si>
  <si>
    <t>Price for BRI, Mandiri, BNI, BTN.</t>
  </si>
  <si>
    <t>Inputs!C89</t>
  </si>
  <si>
    <t>Price for BCA and other private banks.</t>
  </si>
  <si>
    <t>Inputs!C90</t>
  </si>
  <si>
    <t>Mix between the two bank prices.</t>
  </si>
  <si>
    <t>Inputs!C91</t>
  </si>
  <si>
    <t>New line item = new budget ceiling, and Coreitera revenue.</t>
  </si>
  <si>
    <t>Inputs!C92</t>
  </si>
  <si>
    <t>Adds about Rp6m per bank event.</t>
  </si>
  <si>
    <t>Inputs!C95</t>
  </si>
  <si>
    <t>Sets the top package price for banks.</t>
  </si>
  <si>
    <t>Inputs!C97</t>
  </si>
  <si>
    <t>The main risk of any price rise.</t>
  </si>
  <si>
    <t>Inputs!C98</t>
  </si>
  <si>
    <t>Is the Rp 210m free cash? Any unpaid bills, or money clients still owe you?</t>
  </si>
  <si>
    <t>Assumed free</t>
  </si>
  <si>
    <t>Changes the starting cash.</t>
  </si>
  <si>
    <t>Inputs: Cash in bank</t>
  </si>
  <si>
    <t>Volume</t>
  </si>
  <si>
    <t>Which Oct-Dec 2026 events are signed, and which are still hopes?</t>
  </si>
  <si>
    <t>v10 plan</t>
  </si>
  <si>
    <t>Q4 2026 is 3 of your 15 months.</t>
  </si>
  <si>
    <t>Volume sheet, blue rows</t>
  </si>
  <si>
    <t>Is the bank EAP contract live today?</t>
  </si>
  <si>
    <t>1 contract all months</t>
  </si>
  <si>
    <t>Rp 10m profit per month.</t>
  </si>
  <si>
    <t>Volume sheet, EAP row</t>
  </si>
  <si>
    <t>What would a bank pay per employee per month for EAP?</t>
  </si>
  <si>
    <t>Rp 15m per contract per month</t>
  </si>
  <si>
    <t>Needed to price EAP per employee, as the rate card suggests.</t>
  </si>
  <si>
    <t>Inputs: Prices</t>
  </si>
  <si>
    <t>One real quote from a big trainer to a bank (day rate)</t>
  </si>
  <si>
    <t>2.5x your old rate</t>
  </si>
  <si>
    <t>Checks the private-bank price.</t>
  </si>
  <si>
    <t>Inputs: Rate card</t>
  </si>
  <si>
    <t>Live talks with LPS, OJK or a bank: stage and likely close month?</t>
  </si>
  <si>
    <t>In v10 KPW/LPS row</t>
  </si>
  <si>
    <t>Tests if the 2027 volume is realistic.</t>
  </si>
  <si>
    <t>Timing</t>
  </si>
  <si>
    <t>Decides how long we live on cash only.</t>
  </si>
  <si>
    <t>Inputs!C102</t>
  </si>
  <si>
    <t>Growth plan</t>
  </si>
  <si>
    <t>Fair-pay cost.</t>
  </si>
  <si>
    <t>Inputs!C108</t>
  </si>
  <si>
    <t>Full-time psychologist gross pay</t>
  </si>
  <si>
    <t>Hiring step 2.</t>
  </si>
  <si>
    <t>Inputs!C112</t>
  </si>
  <si>
    <t>EAP contract 2 and 3 start months</t>
  </si>
  <si>
    <t>Main source of new monthly income.</t>
  </si>
  <si>
    <t>Inputs!C114</t>
  </si>
  <si>
    <t>Sales co-founder cash pay and start</t>
  </si>
  <si>
    <t>Hiring step 3.</t>
  </si>
  <si>
    <t>Inputs!C116</t>
  </si>
  <si>
    <t>Bank training days per month and start</t>
  </si>
  <si>
    <t>The swing factor for 2027.</t>
  </si>
  <si>
    <t>Inputs!C119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</si>
</sst>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0%\);\-"/>
    <numFmt numFmtId="166" formatCode="#,##0;\(#,##0\);\-"/>
    <numFmt numFmtId="167" formatCode="0.0%"/>
    <numFmt numFmtId="168" formatCode="0.0\x"/>
  </numFmts>
  <fonts count="18" x14ac:knownFonts="1">
    <font>
      <sz val="11"/>
      <color theme="1"/>
      <name val="Calibri"/>
      <family val="2"/>
      <charset val="1"/>
    </font>
    <font>
      <b/>
      <sz val="14"/>
      <name val="Arial"/>
      <family val="2"/>
    </font>
    <font>
      <sz val="11"/>
      <color theme="1"/>
      <name val="Arial"/>
      <family val="2"/>
    </font>
    <font>
      <i/>
      <sz val="11"/>
      <color rgb="FF808080"/>
      <name val="Arial"/>
      <family val="2"/>
    </font>
    <font>
      <b/>
      <sz val="11"/>
      <color rgb="FFC00000"/>
      <name val="Arial"/>
      <family val="2"/>
    </font>
    <font>
      <b/>
      <sz val="11"/>
      <color rgb="FFFFFFFF"/>
      <name val="Arial"/>
      <family val="2"/>
    </font>
    <font>
      <b/>
      <sz val="11"/>
      <name val="Arial"/>
      <family val="2"/>
    </font>
    <font>
      <sz val="11"/>
      <name val="Arial"/>
      <family val="2"/>
    </font>
    <font>
      <sz val="11"/>
      <color rgb="FF0000FF"/>
      <name val="Arial"/>
      <family val="2"/>
    </font>
    <font>
      <sz val="11"/>
      <color rgb="FF000000"/>
      <name val="Arial"/>
      <family val="2"/>
    </font>
    <font>
      <b/>
      <sz val="11"/>
      <color theme="1"/>
      <name val="Arial"/>
      <family val="2"/>
    </font>
    <font>
      <sz val="11"/>
      <color rgb="FF008000"/>
      <name val="Arial"/>
      <family val="2"/>
    </font>
    <font>
      <b/>
      <sz val="14"/>
      <name val="Arial"/>
      <family val="2"/>
    </font>
    <font>
      <i/>
      <sz val="10"/>
      <name val="Arial"/>
      <family val="2"/>
    </font>
    <font>
      <b/>
      <sz val="10"/>
      <name val="Arial"/>
      <family val="2"/>
    </font>
    <font>
      <b/>
      <sz val="10"/>
      <color rgb="FF008000"/>
      <name val="Arial"/>
      <family val="2"/>
    </font>
    <font>
      <sz val="10"/>
      <color rgb="FF008000"/>
      <name val="Arial"/>
      <family val="2"/>
    </font>
    <font>
      <sz val="10"/>
      <name val="Arial"/>
      <family val="2"/>
    </font>
  </fonts>
  <fills count="7">
    <fill>
      <patternFill patternType="none"/>
    </fill>
    <fill>
      <patternFill patternType="gray125"/>
    </fill>
    <fill>
      <patternFill patternType="solid">
        <fgColor rgb="FF1F3864"/>
        <bgColor rgb="FF333333"/>
      </patternFill>
    </fill>
    <fill>
      <patternFill patternType="solid">
        <fgColor rgb="FFD9E1F2"/>
        <bgColor rgb="FFE2EFDA"/>
      </patternFill>
    </fill>
    <fill>
      <patternFill patternType="solid">
        <fgColor rgb="FFFFFF00"/>
        <bgColor rgb="FFFFFF00"/>
      </patternFill>
    </fill>
    <fill>
      <patternFill patternType="solid">
        <fgColor rgb="FFFFF2CC"/>
        <bgColor rgb="FFE2EFDA"/>
      </patternFill>
    </fill>
    <fill>
      <patternFill patternType="solid">
        <fgColor rgb="FFE2EFDA"/>
        <bgColor rgb="FFD9E1F2"/>
      </patternFill>
    </fill>
  </fills>
  <borders count="1">
    <border>
      <left/>
      <right/>
      <top/>
      <bottom/>
      <diagonal/>
    </border>
  </borders>
  <cellStyleXfs count="1">
    <xf numFmtId="0" fontId="0" fillId="0" borderId="0"/>
  </cellStyleXfs>
  <cellXfs count="5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xf numFmtId="0" fontId="6" fillId="3" borderId="0" xfId="0" applyFont="1" applyFill="1"/>
    <xf numFmtId="0" fontId="2" fillId="3" borderId="0" xfId="0" applyFont="1" applyFill="1"/>
    <xf numFmtId="164" fontId="2" fillId="0" borderId="0" xfId="0" applyNumberFormat="1" applyFont="1"/>
    <xf numFmtId="165" fontId="2" fillId="0" borderId="0" xfId="0" applyNumberFormat="1" applyFont="1"/>
    <xf numFmtId="166" fontId="2" fillId="0" borderId="0" xfId="0" applyNumberFormat="1" applyFont="1"/>
    <xf numFmtId="0" fontId="6" fillId="0" borderId="0" xfId="0" applyFont="1"/>
    <xf numFmtId="164" fontId="7" fillId="0" borderId="0" xfId="0" applyNumberFormat="1" applyFont="1"/>
    <xf numFmtId="167" fontId="7" fillId="0" borderId="0" xfId="0" applyNumberFormat="1" applyFont="1"/>
    <xf numFmtId="0" fontId="7" fillId="0" borderId="0" xfId="0" applyFont="1"/>
    <xf numFmtId="1" fontId="7" fillId="0" borderId="0" xfId="0" applyNumberFormat="1" applyFont="1"/>
    <xf numFmtId="166" fontId="8" fillId="0" borderId="0" xfId="0" applyNumberFormat="1" applyFont="1"/>
    <xf numFmtId="0" fontId="2" fillId="0" borderId="0" xfId="0" applyFont="1" applyAlignment="1">
      <alignment vertical="top" wrapText="1"/>
    </xf>
    <xf numFmtId="165" fontId="8" fillId="0" borderId="0" xfId="0" applyNumberFormat="1" applyFont="1"/>
    <xf numFmtId="164" fontId="8" fillId="0" borderId="0" xfId="0" applyNumberFormat="1" applyFont="1"/>
    <xf numFmtId="166" fontId="8" fillId="4" borderId="0" xfId="0" applyNumberFormat="1" applyFont="1" applyFill="1"/>
    <xf numFmtId="0" fontId="2" fillId="5" borderId="0" xfId="0" applyFont="1" applyFill="1"/>
    <xf numFmtId="164" fontId="8" fillId="4" borderId="0" xfId="0" applyNumberFormat="1" applyFont="1" applyFill="1"/>
    <xf numFmtId="165" fontId="8" fillId="4" borderId="0" xfId="0" applyNumberFormat="1" applyFont="1" applyFill="1"/>
    <xf numFmtId="49" fontId="8" fillId="4" borderId="0" xfId="0" applyNumberFormat="1" applyFont="1" applyFill="1"/>
    <xf numFmtId="0" fontId="2" fillId="6" borderId="0" xfId="0" applyFont="1" applyFill="1"/>
    <xf numFmtId="168" fontId="8" fillId="0" borderId="0" xfId="0" applyNumberFormat="1" applyFont="1"/>
    <xf numFmtId="0" fontId="5" fillId="2" borderId="0" xfId="0" applyFont="1" applyFill="1" applyAlignment="1">
      <alignment horizontal="center"/>
    </xf>
    <xf numFmtId="0" fontId="9" fillId="0" borderId="0" xfId="0" applyFont="1"/>
    <xf numFmtId="166" fontId="6" fillId="0" borderId="0" xfId="0" applyNumberFormat="1" applyFont="1"/>
    <xf numFmtId="165" fontId="6" fillId="0" borderId="0" xfId="0" applyNumberFormat="1" applyFont="1"/>
    <xf numFmtId="164" fontId="6" fillId="0" borderId="0" xfId="0" applyNumberFormat="1" applyFont="1"/>
    <xf numFmtId="164" fontId="10" fillId="0" borderId="0" xfId="0" applyNumberFormat="1" applyFont="1"/>
    <xf numFmtId="0" fontId="5" fillId="2" borderId="0" xfId="0" applyFont="1" applyFill="1" applyAlignment="1">
      <alignment horizontal="center" vertical="center" wrapText="1"/>
    </xf>
    <xf numFmtId="164" fontId="11" fillId="0" borderId="0" xfId="0" applyNumberFormat="1" applyFont="1"/>
    <xf numFmtId="168" fontId="2" fillId="0" borderId="0" xfId="0" applyNumberFormat="1" applyFont="1"/>
    <xf numFmtId="164" fontId="9" fillId="0" borderId="0" xfId="0" applyNumberFormat="1" applyFont="1"/>
    <xf numFmtId="166" fontId="11" fillId="0" borderId="0" xfId="0" applyNumberFormat="1" applyFont="1"/>
    <xf numFmtId="0" fontId="2" fillId="4" borderId="0" xfId="0" applyFont="1" applyFill="1"/>
    <xf numFmtId="165" fontId="11" fillId="0" borderId="0" xfId="0" applyNumberFormat="1" applyFont="1"/>
    <xf numFmtId="0" fontId="11" fillId="0" borderId="0" xfId="0" applyFont="1"/>
    <xf numFmtId="0" fontId="12" fillId="0" borderId="0" xfId="0" applyFont="1"/>
    <xf numFmtId="0" fontId="13" fillId="0" borderId="0" xfId="0" applyFont="1"/>
    <xf numFmtId="0" fontId="14" fillId="0" borderId="0" xfId="0" applyFont="1"/>
    <xf numFmtId="3" fontId="15" fillId="0" borderId="0" xfId="0" applyNumberFormat="1" applyFont="1"/>
    <xf numFmtId="3" fontId="16" fillId="0" borderId="0" xfId="0" applyNumberFormat="1" applyFont="1"/>
    <xf numFmtId="0" fontId="17" fillId="0" borderId="0" xfId="0" applyFont="1"/>
    <xf numFmtId="1" fontId="16" fillId="0" borderId="0" xfId="0" applyNumberFormat="1" applyFont="1"/>
    <xf numFmtId="1" fontId="8" fillId="4" borderId="0" xfId="0" applyNumberFormat="1" applyFont="1" applyFill="1"/>
    <xf numFmtId="9" fontId="8" fillId="4" borderId="0" xfId="0" applyNumberFormat="1" applyFont="1" applyFill="1"/>
    <xf numFmtId="2" fontId="8" fillId="4" borderId="0" xfId="0" applyNumberFormat="1" applyFont="1" applyFill="1"/>
    <xf numFmtId="0" fontId="2" fillId="0" borderId="0" xfId="0" applyFont="1" applyAlignment="1">
      <alignment wrapText="1"/>
    </xf>
    <xf numFmtId="0" fontId="0" fillId="0" borderId="0" xfId="0"/>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Sales and total cost (bars) vs cash in the bank (line), Rp million</a:t>
            </a:r>
          </a:p>
        </c:rich>
      </c:tx>
      <c:overlay val="1"/>
    </c:title>
    <c:autoTitleDeleted val="0"/>
    <c:plotArea>
      <c:layout/>
      <c:barChart>
        <c:barDir val="col"/>
        <c:grouping val="clustered"/>
        <c:varyColors val="1"/>
        <c:ser>
          <c:idx val="0"/>
          <c:order val="0"/>
          <c:tx>
            <c:strRef>
              <c:f>Outlook!$A$5</c:f>
              <c:strCache>
                <c:ptCount val="1"/>
                <c:pt idx="0">
                  <c:v>Sales (revenue)</c:v>
                </c:pt>
              </c:strCache>
            </c:strRef>
          </c:tx>
          <c:spPr>
            <a:solidFill>
              <a:srgbClr val="576C94"/>
            </a:solidFill>
            <a:ln>
              <a:prstDash val="solid"/>
            </a:ln>
          </c:spPr>
          <c:invertIfNegative val="1"/>
          <c:cat>
            <c:strRef>
              <c:f>Outlook!$B$4:$P$4</c:f>
              <c:strCache>
                <c:ptCount val="15"/>
                <c:pt idx="0">
                  <c:v>Oct-26</c:v>
                </c:pt>
                <c:pt idx="1">
                  <c:v>Nov-26</c:v>
                </c:pt>
                <c:pt idx="2">
                  <c:v>Dec-26</c:v>
                </c:pt>
                <c:pt idx="3">
                  <c:v>Jan-27</c:v>
                </c:pt>
                <c:pt idx="4">
                  <c:v>Feb-27</c:v>
                </c:pt>
                <c:pt idx="5">
                  <c:v>Mar-27</c:v>
                </c:pt>
                <c:pt idx="6">
                  <c:v>Apr-27</c:v>
                </c:pt>
                <c:pt idx="7">
                  <c:v>May-27</c:v>
                </c:pt>
                <c:pt idx="8">
                  <c:v>Jun-27</c:v>
                </c:pt>
                <c:pt idx="9">
                  <c:v>Jul-27</c:v>
                </c:pt>
                <c:pt idx="10">
                  <c:v>Aug-27</c:v>
                </c:pt>
                <c:pt idx="11">
                  <c:v>Sep-27</c:v>
                </c:pt>
                <c:pt idx="12">
                  <c:v>Oct-27</c:v>
                </c:pt>
                <c:pt idx="13">
                  <c:v>Nov-27</c:v>
                </c:pt>
                <c:pt idx="14">
                  <c:v>Dec-27</c:v>
                </c:pt>
              </c:strCache>
            </c:strRef>
          </c:cat>
          <c:val>
            <c:numRef>
              <c:f>Outlook!$B$5:$P$5</c:f>
              <c:numCache>
                <c:formatCode>#,##0</c:formatCode>
                <c:ptCount val="15"/>
                <c:pt idx="0">
                  <c:v>17</c:v>
                </c:pt>
                <c:pt idx="1">
                  <c:v>17</c:v>
                </c:pt>
                <c:pt idx="2">
                  <c:v>17</c:v>
                </c:pt>
                <c:pt idx="3">
                  <c:v>18</c:v>
                </c:pt>
                <c:pt idx="4">
                  <c:v>17</c:v>
                </c:pt>
                <c:pt idx="5">
                  <c:v>144.5</c:v>
                </c:pt>
                <c:pt idx="6">
                  <c:v>84.5</c:v>
                </c:pt>
                <c:pt idx="7">
                  <c:v>158.5</c:v>
                </c:pt>
                <c:pt idx="8">
                  <c:v>60.5</c:v>
                </c:pt>
                <c:pt idx="9">
                  <c:v>228</c:v>
                </c:pt>
                <c:pt idx="10">
                  <c:v>76.5</c:v>
                </c:pt>
                <c:pt idx="11">
                  <c:v>206</c:v>
                </c:pt>
                <c:pt idx="12">
                  <c:v>231</c:v>
                </c:pt>
                <c:pt idx="13">
                  <c:v>359.5</c:v>
                </c:pt>
                <c:pt idx="14">
                  <c:v>263</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B5FF-4342-AF8A-26152FA7D37D}"/>
            </c:ext>
          </c:extLst>
        </c:ser>
        <c:ser>
          <c:idx val="1"/>
          <c:order val="1"/>
          <c:tx>
            <c:strRef>
              <c:f>Outlook!$A$9</c:f>
              <c:strCache>
                <c:ptCount val="1"/>
                <c:pt idx="0">
                  <c:v>Total cost</c:v>
                </c:pt>
              </c:strCache>
            </c:strRef>
          </c:tx>
          <c:spPr>
            <a:solidFill>
              <a:srgbClr val="B8BEC9"/>
            </a:solidFill>
            <a:ln>
              <a:prstDash val="solid"/>
            </a:ln>
          </c:spPr>
          <c:invertIfNegative val="1"/>
          <c:cat>
            <c:strRef>
              <c:f>Outlook!$B$4:$P$4</c:f>
              <c:strCache>
                <c:ptCount val="15"/>
                <c:pt idx="0">
                  <c:v>Oct-26</c:v>
                </c:pt>
                <c:pt idx="1">
                  <c:v>Nov-26</c:v>
                </c:pt>
                <c:pt idx="2">
                  <c:v>Dec-26</c:v>
                </c:pt>
                <c:pt idx="3">
                  <c:v>Jan-27</c:v>
                </c:pt>
                <c:pt idx="4">
                  <c:v>Feb-27</c:v>
                </c:pt>
                <c:pt idx="5">
                  <c:v>Mar-27</c:v>
                </c:pt>
                <c:pt idx="6">
                  <c:v>Apr-27</c:v>
                </c:pt>
                <c:pt idx="7">
                  <c:v>May-27</c:v>
                </c:pt>
                <c:pt idx="8">
                  <c:v>Jun-27</c:v>
                </c:pt>
                <c:pt idx="9">
                  <c:v>Jul-27</c:v>
                </c:pt>
                <c:pt idx="10">
                  <c:v>Aug-27</c:v>
                </c:pt>
                <c:pt idx="11">
                  <c:v>Sep-27</c:v>
                </c:pt>
                <c:pt idx="12">
                  <c:v>Oct-27</c:v>
                </c:pt>
                <c:pt idx="13">
                  <c:v>Nov-27</c:v>
                </c:pt>
                <c:pt idx="14">
                  <c:v>Dec-27</c:v>
                </c:pt>
              </c:strCache>
            </c:strRef>
          </c:cat>
          <c:val>
            <c:numRef>
              <c:f>Outlook!$B$9:$P$9</c:f>
              <c:numCache>
                <c:formatCode>#,##0</c:formatCode>
                <c:ptCount val="15"/>
                <c:pt idx="0">
                  <c:v>26.564916666666672</c:v>
                </c:pt>
                <c:pt idx="1">
                  <c:v>26.564916666666672</c:v>
                </c:pt>
                <c:pt idx="2">
                  <c:v>26.564916666666672</c:v>
                </c:pt>
                <c:pt idx="3">
                  <c:v>46.752716666666672</c:v>
                </c:pt>
                <c:pt idx="4">
                  <c:v>46.347716666666663</c:v>
                </c:pt>
                <c:pt idx="5">
                  <c:v>87.335216666666668</c:v>
                </c:pt>
                <c:pt idx="6">
                  <c:v>74.605216666666664</c:v>
                </c:pt>
                <c:pt idx="7">
                  <c:v>122.82521666666666</c:v>
                </c:pt>
                <c:pt idx="8">
                  <c:v>95.135216666666651</c:v>
                </c:pt>
                <c:pt idx="9">
                  <c:v>154.07271666666665</c:v>
                </c:pt>
                <c:pt idx="10">
                  <c:v>108.61521666666665</c:v>
                </c:pt>
                <c:pt idx="11">
                  <c:v>147.91271666666665</c:v>
                </c:pt>
                <c:pt idx="12">
                  <c:v>159.73771666666667</c:v>
                </c:pt>
                <c:pt idx="13">
                  <c:v>203.63021666666668</c:v>
                </c:pt>
                <c:pt idx="14">
                  <c:v>178.14771666666667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B5FF-4342-AF8A-26152FA7D37D}"/>
            </c:ext>
          </c:extLst>
        </c:ser>
        <c:dLbls>
          <c:showLegendKey val="0"/>
          <c:showVal val="0"/>
          <c:showCatName val="0"/>
          <c:showSerName val="0"/>
          <c:showPercent val="0"/>
          <c:showBubbleSize val="0"/>
        </c:dLbls>
        <c:gapWidth val="150"/>
        <c:axId val="10"/>
        <c:axId val="100"/>
      </c:barChart>
      <c:lineChart>
        <c:grouping val="standard"/>
        <c:varyColors val="1"/>
        <c:ser>
          <c:idx val="2"/>
          <c:order val="2"/>
          <c:tx>
            <c:strRef>
              <c:f>Outlook!$A$13</c:f>
              <c:strCache>
                <c:ptCount val="1"/>
                <c:pt idx="0">
                  <c:v>Cash at end of month</c:v>
                </c:pt>
              </c:strCache>
            </c:strRef>
          </c:tx>
          <c:spPr>
            <a:ln w="38100">
              <a:solidFill>
                <a:srgbClr val="475571"/>
              </a:solidFill>
              <a:prstDash val="solid"/>
            </a:ln>
          </c:spPr>
          <c:marker>
            <c:symbol val="none"/>
          </c:marker>
          <c:val>
            <c:numRef>
              <c:f>Outlook!$B$13:$P$13</c:f>
              <c:numCache>
                <c:formatCode>#,##0</c:formatCode>
                <c:ptCount val="15"/>
                <c:pt idx="0">
                  <c:v>185.52008333333333</c:v>
                </c:pt>
                <c:pt idx="1">
                  <c:v>175.95516666666666</c:v>
                </c:pt>
                <c:pt idx="2">
                  <c:v>166.39024999999998</c:v>
                </c:pt>
                <c:pt idx="3">
                  <c:v>137.64253333333332</c:v>
                </c:pt>
                <c:pt idx="4">
                  <c:v>108.28981666666665</c:v>
                </c:pt>
                <c:pt idx="5">
                  <c:v>120.39209999999999</c:v>
                </c:pt>
                <c:pt idx="6">
                  <c:v>107.88688333333332</c:v>
                </c:pt>
                <c:pt idx="7">
                  <c:v>134.98166666666668</c:v>
                </c:pt>
                <c:pt idx="8">
                  <c:v>145.90645000000001</c:v>
                </c:pt>
                <c:pt idx="9">
                  <c:v>132.87123333333332</c:v>
                </c:pt>
                <c:pt idx="10">
                  <c:v>156.74851666666666</c:v>
                </c:pt>
                <c:pt idx="11">
                  <c:v>195.83330000000001</c:v>
                </c:pt>
                <c:pt idx="12">
                  <c:v>211.62058333333334</c:v>
                </c:pt>
                <c:pt idx="13">
                  <c:v>300.33286666666675</c:v>
                </c:pt>
                <c:pt idx="14">
                  <c:v>446.10265000000004</c:v>
                </c:pt>
              </c:numCache>
            </c:numRef>
          </c:val>
          <c:smooth val="0"/>
          <c:extLst>
            <c:ext xmlns:c16="http://schemas.microsoft.com/office/drawing/2014/chart" uri="{C3380CC4-5D6E-409C-BE32-E72D297353CC}">
              <c16:uniqueId val="{00000002-B5FF-4342-AF8A-26152FA7D37D}"/>
            </c:ext>
          </c:extLst>
        </c:ser>
        <c:ser>
          <c:idx val="3"/>
          <c:order val="3"/>
          <c:tx>
            <c:strRef>
              <c:f>Outlook!$A$14</c:f>
              <c:strCache>
                <c:ptCount val="1"/>
                <c:pt idx="0">
                  <c:v>Cash floor (1 month of costs)</c:v>
                </c:pt>
              </c:strCache>
            </c:strRef>
          </c:tx>
          <c:spPr>
            <a:ln>
              <a:solidFill>
                <a:srgbClr val="9B3809"/>
              </a:solidFill>
              <a:prstDash val="dash"/>
            </a:ln>
          </c:spPr>
          <c:marker>
            <c:symbol val="none"/>
          </c:marker>
          <c:val>
            <c:numRef>
              <c:f>Outlook!$B$14:$P$14</c:f>
              <c:numCache>
                <c:formatCode>#,##0</c:formatCode>
                <c:ptCount val="15"/>
                <c:pt idx="0">
                  <c:v>26.479916666666671</c:v>
                </c:pt>
                <c:pt idx="1">
                  <c:v>26.479916666666671</c:v>
                </c:pt>
                <c:pt idx="2">
                  <c:v>26.479916666666671</c:v>
                </c:pt>
                <c:pt idx="3">
                  <c:v>46.662716666666668</c:v>
                </c:pt>
                <c:pt idx="4">
                  <c:v>46.262716666666662</c:v>
                </c:pt>
                <c:pt idx="5">
                  <c:v>86.612716666666671</c:v>
                </c:pt>
                <c:pt idx="6">
                  <c:v>74.182716666666664</c:v>
                </c:pt>
                <c:pt idx="7">
                  <c:v>122.03271666666666</c:v>
                </c:pt>
                <c:pt idx="8">
                  <c:v>94.832716666666656</c:v>
                </c:pt>
                <c:pt idx="9">
                  <c:v>152.93271666666666</c:v>
                </c:pt>
                <c:pt idx="10">
                  <c:v>108.23271666666666</c:v>
                </c:pt>
                <c:pt idx="11">
                  <c:v>146.88271666666665</c:v>
                </c:pt>
                <c:pt idx="12">
                  <c:v>158.58271666666667</c:v>
                </c:pt>
                <c:pt idx="13">
                  <c:v>201.83271666666667</c:v>
                </c:pt>
                <c:pt idx="14">
                  <c:v>176.83271666666667</c:v>
                </c:pt>
              </c:numCache>
            </c:numRef>
          </c:val>
          <c:smooth val="0"/>
          <c:extLst>
            <c:ext xmlns:c16="http://schemas.microsoft.com/office/drawing/2014/chart" uri="{C3380CC4-5D6E-409C-BE32-E72D297353CC}">
              <c16:uniqueId val="{00000003-B5FF-4342-AF8A-26152FA7D37D}"/>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title>
          <c:tx>
            <c:rich>
              <a:bodyPr/>
              <a:lstStyle/>
              <a:p>
                <a:pPr>
                  <a:defRPr/>
                </a:pPr>
                <a:r>
                  <a:t>Rp million</a:t>
                </a:r>
              </a:p>
            </c:rich>
          </c:tx>
          <c:overlay val="1"/>
        </c:title>
        <c:numFmt formatCode="#,##0" sourceLinked="1"/>
        <c:majorTickMark val="none"/>
        <c:minorTickMark val="none"/>
        <c:tickLblPos val="nextTo"/>
        <c:crossAx val="10"/>
        <c:crosses val="autoZero"/>
        <c:crossBetween val="between"/>
      </c:valAx>
    </c:plotArea>
    <c:legend>
      <c:legendPos val="t"/>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17</xdr:row>
      <xdr:rowOff>0</xdr:rowOff>
    </xdr:from>
    <xdr:ext cx="10800000" cy="396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3"/>
  <sheetViews>
    <sheetView tabSelected="1" zoomScaleNormal="100" workbookViewId="0"/>
  </sheetViews>
  <sheetFormatPr baseColWidth="10" defaultColWidth="8.6640625" defaultRowHeight="15" x14ac:dyDescent="0.2"/>
  <cols>
    <col min="1" max="1" width="46" customWidth="1"/>
    <col min="2" max="2" width="16" customWidth="1"/>
    <col min="3" max="3" width="8" customWidth="1"/>
    <col min="4" max="4" width="80" customWidth="1"/>
    <col min="5" max="6" width="16" customWidth="1"/>
  </cols>
  <sheetData>
    <row r="1" spans="1:6" ht="17.25" customHeight="1" x14ac:dyDescent="0.2">
      <c r="A1" s="1" t="s">
        <v>0</v>
      </c>
      <c r="B1" s="2"/>
      <c r="C1" s="2"/>
      <c r="D1" s="2"/>
      <c r="E1" s="2"/>
      <c r="F1" s="2"/>
    </row>
    <row r="2" spans="1:6" ht="15" customHeight="1" x14ac:dyDescent="0.2">
      <c r="A2" s="3" t="s">
        <v>1</v>
      </c>
      <c r="B2" s="2"/>
      <c r="C2" s="2"/>
      <c r="D2" s="2"/>
      <c r="E2" s="2"/>
      <c r="F2" s="2"/>
    </row>
    <row r="3" spans="1:6" ht="15" customHeight="1" x14ac:dyDescent="0.2">
      <c r="A3" s="2" t="s">
        <v>2</v>
      </c>
      <c r="B3" s="4" t="str">
        <f>CHOOSE(Inputs!$C$6,"1. Base plan","2. No new B2B deal Jan-Jun 2027","3. BI cuts volume","4. Worst case (2 + 3)")</f>
        <v>1. Base plan</v>
      </c>
      <c r="C3" s="2"/>
      <c r="D3" s="2"/>
      <c r="E3" s="2"/>
      <c r="F3" s="2"/>
    </row>
    <row r="4" spans="1:6" ht="15" customHeight="1" x14ac:dyDescent="0.2">
      <c r="A4" s="2" t="s">
        <v>3</v>
      </c>
      <c r="B4" s="4" t="str">
        <f>CHOOSE(Inputs!$C$85,"1. Current prices","2. New rate card")</f>
        <v>2. New rate card</v>
      </c>
      <c r="C4" s="2"/>
      <c r="D4" s="2"/>
      <c r="E4" s="2"/>
      <c r="F4" s="2"/>
    </row>
    <row r="5" spans="1:6" ht="15" customHeight="1" x14ac:dyDescent="0.2">
      <c r="A5" s="5" t="s">
        <v>4</v>
      </c>
      <c r="B5" s="5" t="s">
        <v>5</v>
      </c>
      <c r="C5" s="5" t="s">
        <v>6</v>
      </c>
      <c r="D5" s="5" t="s">
        <v>7</v>
      </c>
      <c r="E5" s="2"/>
      <c r="F5" s="2"/>
    </row>
    <row r="6" spans="1:6" ht="15" customHeight="1" x14ac:dyDescent="0.2">
      <c r="A6" s="6" t="s">
        <v>8</v>
      </c>
      <c r="B6" s="7"/>
      <c r="C6" s="7"/>
      <c r="D6" s="7"/>
      <c r="E6" s="2"/>
      <c r="F6" s="2"/>
    </row>
    <row r="7" spans="1:6" ht="15" customHeight="1" x14ac:dyDescent="0.2">
      <c r="A7" s="2" t="s">
        <v>9</v>
      </c>
      <c r="B7" s="8">
        <f>PnL!$D$12</f>
        <v>1847</v>
      </c>
      <c r="C7" s="2" t="s">
        <v>10</v>
      </c>
      <c r="D7" s="2" t="s">
        <v>11</v>
      </c>
      <c r="E7" s="2"/>
      <c r="F7" s="2"/>
    </row>
    <row r="8" spans="1:6" ht="15" customHeight="1" x14ac:dyDescent="0.2">
      <c r="A8" s="2" t="s">
        <v>12</v>
      </c>
      <c r="B8" s="8">
        <f>PnL!$D$23</f>
        <v>1259.55</v>
      </c>
      <c r="C8" s="2" t="s">
        <v>10</v>
      </c>
      <c r="D8" s="2" t="s">
        <v>13</v>
      </c>
      <c r="E8" s="2"/>
      <c r="F8" s="2"/>
    </row>
    <row r="9" spans="1:6" ht="15" customHeight="1" x14ac:dyDescent="0.2">
      <c r="A9" s="2" t="s">
        <v>14</v>
      </c>
      <c r="B9" s="8">
        <f>PnL!$D$31</f>
        <v>828.43259999999987</v>
      </c>
      <c r="C9" s="2" t="s">
        <v>10</v>
      </c>
      <c r="D9" s="2" t="s">
        <v>15</v>
      </c>
      <c r="E9" s="2"/>
      <c r="F9" s="2"/>
    </row>
    <row r="10" spans="1:6" ht="15" customHeight="1" x14ac:dyDescent="0.2">
      <c r="A10" s="2" t="s">
        <v>16</v>
      </c>
      <c r="B10" s="8">
        <f>PnL!$D$28</f>
        <v>200</v>
      </c>
      <c r="C10" s="2" t="s">
        <v>10</v>
      </c>
      <c r="D10" s="2" t="s">
        <v>17</v>
      </c>
      <c r="E10" s="2"/>
      <c r="F10" s="2"/>
    </row>
    <row r="11" spans="1:6" ht="15" customHeight="1" x14ac:dyDescent="0.2">
      <c r="A11" s="2" t="s">
        <v>18</v>
      </c>
      <c r="B11" s="8">
        <f>PnL!$D$35</f>
        <v>421.88240000000002</v>
      </c>
      <c r="C11" s="2" t="s">
        <v>10</v>
      </c>
      <c r="D11" s="2" t="s">
        <v>19</v>
      </c>
      <c r="E11" s="2"/>
      <c r="F11" s="2"/>
    </row>
    <row r="12" spans="1:6" ht="15" customHeight="1" x14ac:dyDescent="0.2">
      <c r="A12" s="2" t="s">
        <v>20</v>
      </c>
      <c r="B12" s="9">
        <f>PnL!$D$36</f>
        <v>0.22841494315105579</v>
      </c>
      <c r="C12" s="2" t="s">
        <v>21</v>
      </c>
      <c r="D12" s="2" t="s">
        <v>22</v>
      </c>
      <c r="E12" s="2"/>
      <c r="F12" s="2"/>
    </row>
    <row r="13" spans="1:6" ht="15" customHeight="1" x14ac:dyDescent="0.2">
      <c r="A13" s="2" t="s">
        <v>23</v>
      </c>
      <c r="B13" s="2" t="str">
        <f>IF(PnL!$D$36&gt;=Inputs!$C$82,"Yes","No")</f>
        <v>Yes</v>
      </c>
      <c r="C13" s="2"/>
      <c r="D13" s="2" t="s">
        <v>24</v>
      </c>
      <c r="E13" s="2"/>
      <c r="F13" s="2"/>
    </row>
    <row r="14" spans="1:6" ht="15" customHeight="1" x14ac:dyDescent="0.2">
      <c r="A14" s="2" t="s">
        <v>25</v>
      </c>
      <c r="B14" s="8">
        <f>IF(Unit_Economics!$G$5&lt;=0,0,(PnL!$D$31/12-(PnL!$D$23-PnL!$D$6-PnL!$D$7+PnL!$D$15+PnL!$D$16)/12)/Unit_Economics!$G$5)</f>
        <v>1.0919296803652965</v>
      </c>
      <c r="C14" s="2" t="s">
        <v>26</v>
      </c>
      <c r="D14" s="2" t="s">
        <v>27</v>
      </c>
      <c r="E14" s="2"/>
      <c r="F14" s="2"/>
    </row>
    <row r="15" spans="1:6" ht="15" customHeight="1" x14ac:dyDescent="0.2">
      <c r="A15" s="6" t="s">
        <v>28</v>
      </c>
      <c r="B15" s="7"/>
      <c r="C15" s="7"/>
      <c r="D15" s="7"/>
      <c r="E15" s="2"/>
      <c r="F15" s="2"/>
    </row>
    <row r="16" spans="1:6" ht="15" customHeight="1" x14ac:dyDescent="0.2">
      <c r="A16" s="2" t="s">
        <v>29</v>
      </c>
      <c r="B16" s="8">
        <f>MIN(CashFlow!$E$21:$S$21)</f>
        <v>107.88688333333332</v>
      </c>
      <c r="C16" s="2" t="s">
        <v>10</v>
      </c>
      <c r="D16" s="2" t="s">
        <v>30</v>
      </c>
      <c r="E16" s="2"/>
      <c r="F16" s="2"/>
    </row>
    <row r="17" spans="1:6" ht="15" customHeight="1" x14ac:dyDescent="0.2">
      <c r="A17" s="2" t="s">
        <v>31</v>
      </c>
      <c r="B17" s="2" t="str">
        <f>INDEX(Volume!$E$4:$S$4,MATCH(MIN(CashFlow!$E$21:$S$21),CashFlow!$E$21:$S$21,0))</f>
        <v>Apr-27</v>
      </c>
      <c r="C17" s="2"/>
      <c r="D17" s="2" t="s">
        <v>32</v>
      </c>
      <c r="E17" s="2"/>
      <c r="F17" s="2"/>
    </row>
    <row r="18" spans="1:6" ht="15" customHeight="1" x14ac:dyDescent="0.2">
      <c r="A18" s="2" t="s">
        <v>33</v>
      </c>
      <c r="B18" s="10">
        <f>COUNTIF(CashFlow!$E$25:$S$25,0)</f>
        <v>1</v>
      </c>
      <c r="C18" s="2" t="s">
        <v>34</v>
      </c>
      <c r="D18" s="2" t="s">
        <v>35</v>
      </c>
      <c r="E18" s="2"/>
      <c r="F18" s="2"/>
    </row>
    <row r="19" spans="1:6" ht="15" customHeight="1" x14ac:dyDescent="0.2">
      <c r="A19" s="2" t="s">
        <v>36</v>
      </c>
      <c r="B19" s="8">
        <f>CashFlow!$D$21</f>
        <v>446.10265000000004</v>
      </c>
      <c r="C19" s="2" t="s">
        <v>10</v>
      </c>
      <c r="D19" s="2"/>
      <c r="E19" s="2"/>
      <c r="F19" s="2"/>
    </row>
    <row r="20" spans="1:6" ht="15" customHeight="1" x14ac:dyDescent="0.2">
      <c r="A20" s="2" t="s">
        <v>37</v>
      </c>
      <c r="B20" s="8">
        <f>CashFlow!$D$26</f>
        <v>219.79999999999995</v>
      </c>
      <c r="C20" s="2" t="s">
        <v>10</v>
      </c>
      <c r="D20" s="2" t="s">
        <v>38</v>
      </c>
      <c r="E20" s="2"/>
      <c r="F20" s="2"/>
    </row>
    <row r="21" spans="1:6" ht="15" customHeight="1" x14ac:dyDescent="0.2">
      <c r="A21" s="2" t="s">
        <v>39</v>
      </c>
      <c r="B21" s="8">
        <f>CashFlow!$G$21/(Capacity_OPEX!$H$32-((PnL!$D$10+PnL!$D$11-PnL!$D$19-PnL!$D$20)/12))</f>
        <v>4.5821482189664495</v>
      </c>
      <c r="C21" s="2" t="s">
        <v>34</v>
      </c>
      <c r="D21" s="2" t="s">
        <v>40</v>
      </c>
      <c r="E21" s="2"/>
      <c r="F21" s="2"/>
    </row>
    <row r="22" spans="1:6" ht="15" customHeight="1" x14ac:dyDescent="0.2">
      <c r="A22" s="6" t="s">
        <v>41</v>
      </c>
      <c r="B22" s="7"/>
      <c r="C22" s="7"/>
      <c r="D22" s="7"/>
      <c r="E22" s="2"/>
      <c r="F22" s="2"/>
    </row>
    <row r="23" spans="1:6" ht="15" customHeight="1" x14ac:dyDescent="0.2">
      <c r="A23" s="2" t="s">
        <v>42</v>
      </c>
      <c r="B23" s="10">
        <f>Capacity_OPEX!$D$8</f>
        <v>8</v>
      </c>
      <c r="C23" s="2" t="s">
        <v>43</v>
      </c>
      <c r="D23" s="2" t="s">
        <v>44</v>
      </c>
      <c r="E23" s="2"/>
      <c r="F23" s="2"/>
    </row>
    <row r="24" spans="1:6" ht="15" customHeight="1" x14ac:dyDescent="0.2">
      <c r="A24" s="2" t="s">
        <v>45</v>
      </c>
      <c r="B24" s="10">
        <f>Capacity_OPEX!$D$9-Inputs!$C$35</f>
        <v>6</v>
      </c>
      <c r="C24" s="2" t="s">
        <v>43</v>
      </c>
      <c r="D24" s="2"/>
      <c r="E24" s="2"/>
      <c r="F24" s="2"/>
    </row>
    <row r="25" spans="1:6" ht="15" customHeight="1" x14ac:dyDescent="0.2">
      <c r="A25" s="2" t="s">
        <v>46</v>
      </c>
      <c r="B25" s="2" t="str">
        <f>IFERROR(INDEX(Volume!$E$4:$S$4,MATCH(1,Capacity_OPEX!$E$15:$S$15,0)),"Not needed")</f>
        <v>Dec-27</v>
      </c>
      <c r="C25" s="2"/>
      <c r="D25" s="2" t="s">
        <v>47</v>
      </c>
      <c r="E25" s="2"/>
      <c r="F25" s="2"/>
    </row>
    <row r="26" spans="1:6" ht="15" customHeight="1" x14ac:dyDescent="0.2">
      <c r="A26" s="6" t="s">
        <v>48</v>
      </c>
      <c r="B26" s="7"/>
      <c r="C26" s="7"/>
      <c r="D26" s="7"/>
      <c r="E26" s="2"/>
      <c r="F26" s="2"/>
    </row>
    <row r="27" spans="1:6" ht="15" customHeight="1" x14ac:dyDescent="0.2">
      <c r="A27" s="2" t="s">
        <v>49</v>
      </c>
      <c r="B27" s="9">
        <f>PnL!$D$41</f>
        <v>0.49367893881970765</v>
      </c>
      <c r="C27" s="2" t="s">
        <v>21</v>
      </c>
      <c r="D27" s="2" t="s">
        <v>50</v>
      </c>
      <c r="E27" s="2"/>
      <c r="F27" s="2"/>
    </row>
    <row r="28" spans="1:6" ht="15" customHeight="1" x14ac:dyDescent="0.2">
      <c r="A28" s="2" t="s">
        <v>51</v>
      </c>
      <c r="B28" s="9">
        <f>IF(PnL!$D$12=0,0,PnL!$D$42/PnL!$D$12)</f>
        <v>0.95506226312939901</v>
      </c>
      <c r="C28" s="2" t="s">
        <v>21</v>
      </c>
      <c r="D28" s="2"/>
      <c r="E28" s="2"/>
      <c r="F28" s="2"/>
    </row>
    <row r="29" spans="1:6" ht="15" customHeight="1" x14ac:dyDescent="0.2">
      <c r="A29" s="2" t="s">
        <v>52</v>
      </c>
      <c r="B29" s="9">
        <f>IF(PnL!$D$12=0,0,SUM(PnL!Q12:S12)/PnL!$D$12)</f>
        <v>0.46210070384407148</v>
      </c>
      <c r="C29" s="2" t="s">
        <v>21</v>
      </c>
      <c r="D29" s="2" t="s">
        <v>53</v>
      </c>
      <c r="E29" s="2"/>
      <c r="F29" s="2"/>
    </row>
    <row r="30" spans="1:6" ht="15" customHeight="1" x14ac:dyDescent="0.2">
      <c r="A30" s="2" t="s">
        <v>54</v>
      </c>
      <c r="B30" s="8">
        <f>Unit_Economics!$B$13</f>
        <v>6</v>
      </c>
      <c r="C30" s="2" t="s">
        <v>10</v>
      </c>
      <c r="D30" s="2" t="s">
        <v>55</v>
      </c>
      <c r="E30" s="2"/>
      <c r="F30" s="2"/>
    </row>
    <row r="31" spans="1:6" ht="15" customHeight="1" x14ac:dyDescent="0.2">
      <c r="A31" s="2" t="s">
        <v>56</v>
      </c>
      <c r="B31" s="8">
        <f>PnL!$D$43</f>
        <v>85.5</v>
      </c>
      <c r="C31" s="2" t="s">
        <v>10</v>
      </c>
      <c r="D31" s="2" t="s">
        <v>57</v>
      </c>
      <c r="E31" s="2"/>
      <c r="F31" s="2"/>
    </row>
    <row r="32" spans="1:6" ht="15" customHeight="1" x14ac:dyDescent="0.2">
      <c r="A32" s="2" t="s">
        <v>58</v>
      </c>
      <c r="B32" s="8">
        <f>PnL!$D$44</f>
        <v>14.65</v>
      </c>
      <c r="C32" s="2" t="s">
        <v>10</v>
      </c>
      <c r="D32" s="2"/>
      <c r="E32" s="2"/>
      <c r="F32" s="2"/>
    </row>
    <row r="33" spans="1:6" ht="15" customHeight="1" x14ac:dyDescent="0.2">
      <c r="A33" s="2"/>
      <c r="B33" s="2"/>
      <c r="C33" s="2"/>
      <c r="D33" s="2"/>
      <c r="E33" s="2"/>
      <c r="F33" s="2"/>
    </row>
    <row r="34" spans="1:6" ht="15" customHeight="1" x14ac:dyDescent="0.2">
      <c r="A34" s="11" t="s">
        <v>59</v>
      </c>
      <c r="B34" s="2"/>
      <c r="C34" s="2"/>
      <c r="D34" s="2"/>
      <c r="E34" s="2"/>
      <c r="F34" s="2"/>
    </row>
    <row r="35" spans="1:6" ht="15" customHeight="1" x14ac:dyDescent="0.2">
      <c r="A35" s="5" t="s">
        <v>60</v>
      </c>
      <c r="B35" s="5" t="s">
        <v>61</v>
      </c>
      <c r="C35" s="5" t="s">
        <v>62</v>
      </c>
      <c r="D35" s="5" t="s">
        <v>63</v>
      </c>
      <c r="E35" s="5" t="s">
        <v>64</v>
      </c>
      <c r="F35" s="5" t="s">
        <v>65</v>
      </c>
    </row>
    <row r="36" spans="1:6" ht="15" customHeight="1" x14ac:dyDescent="0.2">
      <c r="A36" s="2" t="s">
        <v>9</v>
      </c>
      <c r="B36" s="12">
        <v>1501.5</v>
      </c>
      <c r="C36" s="12">
        <v>1461.5</v>
      </c>
      <c r="D36" s="12">
        <v>1847</v>
      </c>
      <c r="E36" s="12">
        <v>1847</v>
      </c>
      <c r="F36" s="12">
        <v>1573.4525000000001</v>
      </c>
    </row>
    <row r="37" spans="1:6" ht="15" customHeight="1" x14ac:dyDescent="0.2">
      <c r="A37" s="2" t="s">
        <v>18</v>
      </c>
      <c r="B37" s="12">
        <v>378.38349999999599</v>
      </c>
      <c r="C37" s="12">
        <v>402.08349999999598</v>
      </c>
      <c r="D37" s="12">
        <v>321.88239999999598</v>
      </c>
      <c r="E37" s="12">
        <v>421.88239999999598</v>
      </c>
      <c r="F37" s="12">
        <v>243.636387499996</v>
      </c>
    </row>
    <row r="38" spans="1:6" ht="15" customHeight="1" x14ac:dyDescent="0.2">
      <c r="A38" s="2" t="s">
        <v>20</v>
      </c>
      <c r="B38" s="13">
        <v>0.25200366300366028</v>
      </c>
      <c r="C38" s="13">
        <v>0.2751170030790257</v>
      </c>
      <c r="D38" s="13">
        <v>0.17427309149972711</v>
      </c>
      <c r="E38" s="13">
        <v>0.2284149431510536</v>
      </c>
      <c r="F38" s="13">
        <v>0.15484190816055521</v>
      </c>
    </row>
    <row r="39" spans="1:6" ht="15" customHeight="1" x14ac:dyDescent="0.2">
      <c r="A39" s="2" t="s">
        <v>29</v>
      </c>
      <c r="B39" s="12">
        <v>203.52008333333299</v>
      </c>
      <c r="C39" s="12">
        <v>92.338083333333003</v>
      </c>
      <c r="D39" s="12">
        <v>7.8868833333330004</v>
      </c>
      <c r="E39" s="12">
        <v>107.886883333333</v>
      </c>
      <c r="F39" s="12">
        <v>63.318745833332997</v>
      </c>
    </row>
    <row r="40" spans="1:6" ht="15" customHeight="1" x14ac:dyDescent="0.2">
      <c r="A40" s="2" t="s">
        <v>31</v>
      </c>
      <c r="B40" s="14" t="s">
        <v>66</v>
      </c>
      <c r="C40" s="14" t="s">
        <v>67</v>
      </c>
      <c r="D40" s="14" t="s">
        <v>67</v>
      </c>
      <c r="E40" s="14" t="s">
        <v>67</v>
      </c>
      <c r="F40" s="14" t="s">
        <v>68</v>
      </c>
    </row>
    <row r="41" spans="1:6" ht="15" customHeight="1" x14ac:dyDescent="0.2">
      <c r="A41" s="2" t="s">
        <v>33</v>
      </c>
      <c r="B41" s="15">
        <v>0</v>
      </c>
      <c r="C41" s="15">
        <v>0</v>
      </c>
      <c r="D41" s="15">
        <v>10</v>
      </c>
      <c r="E41" s="15">
        <v>1</v>
      </c>
      <c r="F41" s="15">
        <v>6</v>
      </c>
    </row>
    <row r="42" spans="1:6" ht="15" customHeight="1" x14ac:dyDescent="0.2">
      <c r="A42" s="2" t="s">
        <v>36</v>
      </c>
      <c r="B42" s="12">
        <v>733.46124999999995</v>
      </c>
      <c r="C42" s="12">
        <v>514.73625000000004</v>
      </c>
      <c r="D42" s="12">
        <v>346.10264999999998</v>
      </c>
      <c r="E42" s="12">
        <v>446.10264999999998</v>
      </c>
      <c r="F42" s="12">
        <v>277.94245000000001</v>
      </c>
    </row>
    <row r="43" spans="1:6" ht="15" customHeight="1" x14ac:dyDescent="0.2">
      <c r="A43" s="2"/>
      <c r="B43" s="13"/>
      <c r="C43" s="13"/>
      <c r="D43" s="13"/>
      <c r="E43" s="13"/>
      <c r="F43" s="13"/>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15"/>
  <sheetViews>
    <sheetView workbookViewId="0"/>
  </sheetViews>
  <sheetFormatPr baseColWidth="10" defaultColWidth="8.83203125" defaultRowHeight="15" x14ac:dyDescent="0.2"/>
  <cols>
    <col min="1" max="1" width="30" customWidth="1"/>
    <col min="2" max="16" width="8" customWidth="1"/>
  </cols>
  <sheetData>
    <row r="1" spans="1:16" ht="18" x14ac:dyDescent="0.2">
      <c r="A1" s="41" t="s">
        <v>69</v>
      </c>
    </row>
    <row r="2" spans="1:16" x14ac:dyDescent="0.2">
      <c r="A2" s="42" t="s">
        <v>70</v>
      </c>
    </row>
    <row r="4" spans="1:16" x14ac:dyDescent="0.2">
      <c r="A4" s="43" t="s">
        <v>71</v>
      </c>
      <c r="B4" s="44" t="str">
        <f>Volume!E4</f>
        <v>Oct-26</v>
      </c>
      <c r="C4" s="44" t="str">
        <f>Volume!F4</f>
        <v>Nov-26</v>
      </c>
      <c r="D4" s="44" t="str">
        <f>Volume!G4</f>
        <v>Dec-26</v>
      </c>
      <c r="E4" s="44" t="str">
        <f>Volume!H4</f>
        <v>Jan-27</v>
      </c>
      <c r="F4" s="44" t="str">
        <f>Volume!I4</f>
        <v>Feb-27</v>
      </c>
      <c r="G4" s="44" t="str">
        <f>Volume!J4</f>
        <v>Mar-27</v>
      </c>
      <c r="H4" s="44" t="str">
        <f>Volume!K4</f>
        <v>Apr-27</v>
      </c>
      <c r="I4" s="44" t="str">
        <f>Volume!L4</f>
        <v>May-27</v>
      </c>
      <c r="J4" s="44" t="str">
        <f>Volume!M4</f>
        <v>Jun-27</v>
      </c>
      <c r="K4" s="44" t="str">
        <f>Volume!N4</f>
        <v>Jul-27</v>
      </c>
      <c r="L4" s="44" t="str">
        <f>Volume!O4</f>
        <v>Aug-27</v>
      </c>
      <c r="M4" s="44" t="str">
        <f>Volume!P4</f>
        <v>Sep-27</v>
      </c>
      <c r="N4" s="44" t="str">
        <f>Volume!Q4</f>
        <v>Oct-27</v>
      </c>
      <c r="O4" s="44" t="str">
        <f>Volume!R4</f>
        <v>Nov-27</v>
      </c>
      <c r="P4" s="44" t="str">
        <f>Volume!S4</f>
        <v>Dec-27</v>
      </c>
    </row>
    <row r="5" spans="1:16" x14ac:dyDescent="0.2">
      <c r="A5" s="43" t="s">
        <v>72</v>
      </c>
      <c r="B5" s="45">
        <f>PnL!E12</f>
        <v>17</v>
      </c>
      <c r="C5" s="45">
        <f>PnL!F12</f>
        <v>17</v>
      </c>
      <c r="D5" s="45">
        <f>PnL!G12</f>
        <v>17</v>
      </c>
      <c r="E5" s="45">
        <f>PnL!H12</f>
        <v>18</v>
      </c>
      <c r="F5" s="45">
        <f>PnL!I12</f>
        <v>17</v>
      </c>
      <c r="G5" s="45">
        <f>PnL!J12</f>
        <v>144.5</v>
      </c>
      <c r="H5" s="45">
        <f>PnL!K12</f>
        <v>84.5</v>
      </c>
      <c r="I5" s="45">
        <f>PnL!L12</f>
        <v>158.5</v>
      </c>
      <c r="J5" s="45">
        <f>PnL!M12</f>
        <v>60.5</v>
      </c>
      <c r="K5" s="45">
        <f>PnL!N12</f>
        <v>228</v>
      </c>
      <c r="L5" s="45">
        <f>PnL!O12</f>
        <v>76.5</v>
      </c>
      <c r="M5" s="45">
        <f>PnL!P12</f>
        <v>206</v>
      </c>
      <c r="N5" s="45">
        <f>PnL!Q12</f>
        <v>231</v>
      </c>
      <c r="O5" s="45">
        <f>PnL!R12</f>
        <v>359.5</v>
      </c>
      <c r="P5" s="45">
        <f>PnL!S12</f>
        <v>263</v>
      </c>
    </row>
    <row r="6" spans="1:16" x14ac:dyDescent="0.2">
      <c r="A6" s="46" t="s">
        <v>73</v>
      </c>
      <c r="B6" s="45">
        <f>PnL!E21</f>
        <v>5.8</v>
      </c>
      <c r="C6" s="45">
        <f>PnL!F21</f>
        <v>5.8</v>
      </c>
      <c r="D6" s="45">
        <f>PnL!G21</f>
        <v>5.8</v>
      </c>
      <c r="E6" s="45">
        <f>PnL!H21</f>
        <v>6.2</v>
      </c>
      <c r="F6" s="45">
        <f>PnL!I21</f>
        <v>5.8</v>
      </c>
      <c r="G6" s="45">
        <f>PnL!J21</f>
        <v>43.65</v>
      </c>
      <c r="H6" s="45">
        <f>PnL!K21</f>
        <v>25.4</v>
      </c>
      <c r="I6" s="45">
        <f>PnL!L21</f>
        <v>48.25</v>
      </c>
      <c r="J6" s="45">
        <f>PnL!M21</f>
        <v>21.05</v>
      </c>
      <c r="K6" s="45">
        <f>PnL!N21</f>
        <v>68.650000000000006</v>
      </c>
      <c r="L6" s="45">
        <f>PnL!O21</f>
        <v>26.45</v>
      </c>
      <c r="M6" s="45">
        <f>PnL!P21</f>
        <v>65.099999999999994</v>
      </c>
      <c r="N6" s="45">
        <f>PnL!Q21</f>
        <v>74.3</v>
      </c>
      <c r="O6" s="45">
        <f>PnL!R21</f>
        <v>112.55</v>
      </c>
      <c r="P6" s="45">
        <f>PnL!S21</f>
        <v>90.05</v>
      </c>
    </row>
    <row r="7" spans="1:16" x14ac:dyDescent="0.2">
      <c r="A7" s="46" t="s">
        <v>74</v>
      </c>
      <c r="B7" s="45">
        <f>PnL!E31</f>
        <v>20.679916666666671</v>
      </c>
      <c r="C7" s="45">
        <f>PnL!F31</f>
        <v>20.679916666666671</v>
      </c>
      <c r="D7" s="45">
        <f>PnL!G31</f>
        <v>20.679916666666671</v>
      </c>
      <c r="E7" s="45">
        <f>PnL!H31</f>
        <v>40.462716666666665</v>
      </c>
      <c r="F7" s="45">
        <f>PnL!I31</f>
        <v>40.462716666666665</v>
      </c>
      <c r="G7" s="45">
        <f>PnL!J31</f>
        <v>42.962716666666665</v>
      </c>
      <c r="H7" s="45">
        <f>PnL!K31</f>
        <v>48.782716666666666</v>
      </c>
      <c r="I7" s="45">
        <f>PnL!L31</f>
        <v>73.782716666666659</v>
      </c>
      <c r="J7" s="45">
        <f>PnL!M31</f>
        <v>73.782716666666659</v>
      </c>
      <c r="K7" s="45">
        <f>PnL!N31</f>
        <v>84.282716666666659</v>
      </c>
      <c r="L7" s="45">
        <f>PnL!O31</f>
        <v>81.782716666666659</v>
      </c>
      <c r="M7" s="45">
        <f>PnL!P31</f>
        <v>81.782716666666659</v>
      </c>
      <c r="N7" s="45">
        <f>PnL!Q31</f>
        <v>84.282716666666659</v>
      </c>
      <c r="O7" s="45">
        <f>PnL!R31</f>
        <v>89.282716666666659</v>
      </c>
      <c r="P7" s="45">
        <f>PnL!S31</f>
        <v>86.782716666666659</v>
      </c>
    </row>
    <row r="8" spans="1:16" x14ac:dyDescent="0.2">
      <c r="A8" s="46" t="s">
        <v>75</v>
      </c>
      <c r="B8" s="45">
        <f>PnL!E34</f>
        <v>8.5000000000000006E-2</v>
      </c>
      <c r="C8" s="45">
        <f>PnL!F34</f>
        <v>8.5000000000000006E-2</v>
      </c>
      <c r="D8" s="45">
        <f>PnL!G34</f>
        <v>8.5000000000000006E-2</v>
      </c>
      <c r="E8" s="45">
        <f>PnL!H34</f>
        <v>0.09</v>
      </c>
      <c r="F8" s="45">
        <f>PnL!I34</f>
        <v>8.5000000000000006E-2</v>
      </c>
      <c r="G8" s="45">
        <f>PnL!J34</f>
        <v>0.72250000000000003</v>
      </c>
      <c r="H8" s="45">
        <f>PnL!K34</f>
        <v>0.42249999999999999</v>
      </c>
      <c r="I8" s="45">
        <f>PnL!L34</f>
        <v>0.79249999999999998</v>
      </c>
      <c r="J8" s="45">
        <f>PnL!M34</f>
        <v>0.30249999999999999</v>
      </c>
      <c r="K8" s="45">
        <f>PnL!N34</f>
        <v>1.1400000000000001</v>
      </c>
      <c r="L8" s="45">
        <f>PnL!O34</f>
        <v>0.38250000000000001</v>
      </c>
      <c r="M8" s="45">
        <f>PnL!P34</f>
        <v>1.03</v>
      </c>
      <c r="N8" s="45">
        <f>PnL!Q34</f>
        <v>1.155</v>
      </c>
      <c r="O8" s="45">
        <f>PnL!R34</f>
        <v>1.7975000000000001</v>
      </c>
      <c r="P8" s="45">
        <f>PnL!S34</f>
        <v>1.3149999999999999</v>
      </c>
    </row>
    <row r="9" spans="1:16" x14ac:dyDescent="0.2">
      <c r="A9" s="43" t="s">
        <v>76</v>
      </c>
      <c r="B9" s="45">
        <f t="shared" ref="B9:P9" si="0">B6+B7+B8</f>
        <v>26.564916666666672</v>
      </c>
      <c r="C9" s="45">
        <f t="shared" si="0"/>
        <v>26.564916666666672</v>
      </c>
      <c r="D9" s="45">
        <f t="shared" si="0"/>
        <v>26.564916666666672</v>
      </c>
      <c r="E9" s="45">
        <f t="shared" si="0"/>
        <v>46.752716666666672</v>
      </c>
      <c r="F9" s="45">
        <f t="shared" si="0"/>
        <v>46.347716666666663</v>
      </c>
      <c r="G9" s="45">
        <f t="shared" si="0"/>
        <v>87.335216666666668</v>
      </c>
      <c r="H9" s="45">
        <f t="shared" si="0"/>
        <v>74.605216666666664</v>
      </c>
      <c r="I9" s="45">
        <f t="shared" si="0"/>
        <v>122.82521666666666</v>
      </c>
      <c r="J9" s="45">
        <f t="shared" si="0"/>
        <v>95.135216666666651</v>
      </c>
      <c r="K9" s="45">
        <f t="shared" si="0"/>
        <v>154.07271666666665</v>
      </c>
      <c r="L9" s="45">
        <f t="shared" si="0"/>
        <v>108.61521666666665</v>
      </c>
      <c r="M9" s="45">
        <f t="shared" si="0"/>
        <v>147.91271666666665</v>
      </c>
      <c r="N9" s="45">
        <f t="shared" si="0"/>
        <v>159.73771666666667</v>
      </c>
      <c r="O9" s="45">
        <f t="shared" si="0"/>
        <v>203.63021666666668</v>
      </c>
      <c r="P9" s="45">
        <f t="shared" si="0"/>
        <v>178.14771666666667</v>
      </c>
    </row>
    <row r="10" spans="1:16" x14ac:dyDescent="0.2">
      <c r="A10" s="46" t="s">
        <v>77</v>
      </c>
      <c r="B10" s="45">
        <f>PnL!E35</f>
        <v>-9.5649166666666723</v>
      </c>
      <c r="C10" s="45">
        <f>PnL!F35</f>
        <v>-9.5649166666666723</v>
      </c>
      <c r="D10" s="45">
        <f>PnL!G35</f>
        <v>-9.5649166666666723</v>
      </c>
      <c r="E10" s="45">
        <f>PnL!H35</f>
        <v>-28.752716666666664</v>
      </c>
      <c r="F10" s="45">
        <f>PnL!I35</f>
        <v>-29.347716666666667</v>
      </c>
      <c r="G10" s="45">
        <f>PnL!J35</f>
        <v>57.164783333333332</v>
      </c>
      <c r="H10" s="45">
        <f>PnL!K35</f>
        <v>9.8947833333333364</v>
      </c>
      <c r="I10" s="45">
        <f>PnL!L35</f>
        <v>35.674783333333345</v>
      </c>
      <c r="J10" s="45">
        <f>PnL!M35</f>
        <v>-34.635216666666658</v>
      </c>
      <c r="K10" s="45">
        <f>PnL!N35</f>
        <v>73.927283333333335</v>
      </c>
      <c r="L10" s="45">
        <f>PnL!O35</f>
        <v>-32.115216666666662</v>
      </c>
      <c r="M10" s="45">
        <f>PnL!P35</f>
        <v>58.087283333333346</v>
      </c>
      <c r="N10" s="45">
        <f>PnL!Q35</f>
        <v>71.262283333333329</v>
      </c>
      <c r="O10" s="45">
        <f>PnL!R35</f>
        <v>155.86978333333332</v>
      </c>
      <c r="P10" s="45">
        <f>PnL!S35</f>
        <v>84.852283333333332</v>
      </c>
    </row>
    <row r="11" spans="1:16" x14ac:dyDescent="0.2">
      <c r="A11" s="46" t="s">
        <v>78</v>
      </c>
      <c r="B11" s="45">
        <f>CashFlow!E11</f>
        <v>2</v>
      </c>
      <c r="C11" s="45">
        <f>CashFlow!F11</f>
        <v>17</v>
      </c>
      <c r="D11" s="45">
        <f>CashFlow!G11</f>
        <v>17</v>
      </c>
      <c r="E11" s="45">
        <f>CashFlow!H11</f>
        <v>18</v>
      </c>
      <c r="F11" s="45">
        <f>CashFlow!I11</f>
        <v>17</v>
      </c>
      <c r="G11" s="45">
        <f>CashFlow!J11</f>
        <v>98.8</v>
      </c>
      <c r="H11" s="45">
        <f>CashFlow!K11</f>
        <v>62.4</v>
      </c>
      <c r="I11" s="45">
        <f>CashFlow!L11</f>
        <v>149.55000000000001</v>
      </c>
      <c r="J11" s="45">
        <f>CashFlow!M11</f>
        <v>106.55</v>
      </c>
      <c r="K11" s="45">
        <f>CashFlow!N11</f>
        <v>140.19999999999999</v>
      </c>
      <c r="L11" s="45">
        <f>CashFlow!O11</f>
        <v>133.25</v>
      </c>
      <c r="M11" s="45">
        <f>CashFlow!P11</f>
        <v>186.35</v>
      </c>
      <c r="N11" s="45">
        <f>CashFlow!Q11</f>
        <v>175.4</v>
      </c>
      <c r="O11" s="45">
        <f>CashFlow!R11</f>
        <v>291.70000000000005</v>
      </c>
      <c r="P11" s="45">
        <f>CashFlow!S11</f>
        <v>324.39999999999998</v>
      </c>
    </row>
    <row r="12" spans="1:16" x14ac:dyDescent="0.2">
      <c r="A12" s="46" t="s">
        <v>79</v>
      </c>
      <c r="B12" s="45">
        <f>CashFlow!E17</f>
        <v>26.479916666666671</v>
      </c>
      <c r="C12" s="45">
        <f>CashFlow!F17</f>
        <v>26.564916666666672</v>
      </c>
      <c r="D12" s="45">
        <f>CashFlow!G17</f>
        <v>26.564916666666672</v>
      </c>
      <c r="E12" s="45">
        <f>CashFlow!H17</f>
        <v>46.747716666666669</v>
      </c>
      <c r="F12" s="45">
        <f>CashFlow!I17</f>
        <v>46.352716666666666</v>
      </c>
      <c r="G12" s="45">
        <f>CashFlow!J17</f>
        <v>86.697716666666665</v>
      </c>
      <c r="H12" s="45">
        <f>CashFlow!K17</f>
        <v>74.905216666666661</v>
      </c>
      <c r="I12" s="45">
        <f>CashFlow!L17</f>
        <v>122.45521666666666</v>
      </c>
      <c r="J12" s="45">
        <f>CashFlow!M17</f>
        <v>95.62521666666666</v>
      </c>
      <c r="K12" s="45">
        <f>CashFlow!N17</f>
        <v>153.23521666666667</v>
      </c>
      <c r="L12" s="45">
        <f>CashFlow!O17</f>
        <v>109.37271666666666</v>
      </c>
      <c r="M12" s="45">
        <f>CashFlow!P17</f>
        <v>147.26521666666665</v>
      </c>
      <c r="N12" s="45">
        <f>CashFlow!Q17</f>
        <v>159.61271666666667</v>
      </c>
      <c r="O12" s="45">
        <f>CashFlow!R17</f>
        <v>202.98771666666667</v>
      </c>
      <c r="P12" s="45">
        <f>CashFlow!S17</f>
        <v>178.63021666666668</v>
      </c>
    </row>
    <row r="13" spans="1:16" x14ac:dyDescent="0.2">
      <c r="A13" s="43" t="s">
        <v>80</v>
      </c>
      <c r="B13" s="45">
        <f>CashFlow!E21</f>
        <v>185.52008333333333</v>
      </c>
      <c r="C13" s="45">
        <f>CashFlow!F21</f>
        <v>175.95516666666666</v>
      </c>
      <c r="D13" s="45">
        <f>CashFlow!G21</f>
        <v>166.39024999999998</v>
      </c>
      <c r="E13" s="45">
        <f>CashFlow!H21</f>
        <v>137.64253333333332</v>
      </c>
      <c r="F13" s="45">
        <f>CashFlow!I21</f>
        <v>108.28981666666665</v>
      </c>
      <c r="G13" s="45">
        <f>CashFlow!J21</f>
        <v>120.39209999999999</v>
      </c>
      <c r="H13" s="45">
        <f>CashFlow!K21</f>
        <v>107.88688333333332</v>
      </c>
      <c r="I13" s="45">
        <f>CashFlow!L21</f>
        <v>134.98166666666668</v>
      </c>
      <c r="J13" s="45">
        <f>CashFlow!M21</f>
        <v>145.90645000000001</v>
      </c>
      <c r="K13" s="45">
        <f>CashFlow!N21</f>
        <v>132.87123333333332</v>
      </c>
      <c r="L13" s="45">
        <f>CashFlow!O21</f>
        <v>156.74851666666666</v>
      </c>
      <c r="M13" s="45">
        <f>CashFlow!P21</f>
        <v>195.83330000000001</v>
      </c>
      <c r="N13" s="45">
        <f>CashFlow!Q21</f>
        <v>211.62058333333334</v>
      </c>
      <c r="O13" s="45">
        <f>CashFlow!R21</f>
        <v>300.33286666666675</v>
      </c>
      <c r="P13" s="45">
        <f>CashFlow!S21</f>
        <v>446.10265000000004</v>
      </c>
    </row>
    <row r="14" spans="1:16" x14ac:dyDescent="0.2">
      <c r="A14" s="46" t="s">
        <v>81</v>
      </c>
      <c r="B14" s="45">
        <f>CashFlow!E24</f>
        <v>26.479916666666671</v>
      </c>
      <c r="C14" s="45">
        <f>CashFlow!F24</f>
        <v>26.479916666666671</v>
      </c>
      <c r="D14" s="45">
        <f>CashFlow!G24</f>
        <v>26.479916666666671</v>
      </c>
      <c r="E14" s="45">
        <f>CashFlow!H24</f>
        <v>46.662716666666668</v>
      </c>
      <c r="F14" s="45">
        <f>CashFlow!I24</f>
        <v>46.262716666666662</v>
      </c>
      <c r="G14" s="45">
        <f>CashFlow!J24</f>
        <v>86.612716666666671</v>
      </c>
      <c r="H14" s="45">
        <f>CashFlow!K24</f>
        <v>74.182716666666664</v>
      </c>
      <c r="I14" s="45">
        <f>CashFlow!L24</f>
        <v>122.03271666666666</v>
      </c>
      <c r="J14" s="45">
        <f>CashFlow!M24</f>
        <v>94.832716666666656</v>
      </c>
      <c r="K14" s="45">
        <f>CashFlow!N24</f>
        <v>152.93271666666666</v>
      </c>
      <c r="L14" s="45">
        <f>CashFlow!O24</f>
        <v>108.23271666666666</v>
      </c>
      <c r="M14" s="45">
        <f>CashFlow!P24</f>
        <v>146.88271666666665</v>
      </c>
      <c r="N14" s="45">
        <f>CashFlow!Q24</f>
        <v>158.58271666666667</v>
      </c>
      <c r="O14" s="45">
        <f>CashFlow!R24</f>
        <v>201.83271666666667</v>
      </c>
      <c r="P14" s="45">
        <f>CashFlow!S24</f>
        <v>176.83271666666667</v>
      </c>
    </row>
    <row r="15" spans="1:16" x14ac:dyDescent="0.2">
      <c r="A15" s="46" t="s">
        <v>82</v>
      </c>
      <c r="B15" s="47">
        <f>CashFlow!E25</f>
        <v>1</v>
      </c>
      <c r="C15" s="47">
        <f>CashFlow!F25</f>
        <v>1</v>
      </c>
      <c r="D15" s="47">
        <f>CashFlow!G25</f>
        <v>1</v>
      </c>
      <c r="E15" s="47">
        <f>CashFlow!H25</f>
        <v>1</v>
      </c>
      <c r="F15" s="47">
        <f>CashFlow!I25</f>
        <v>1</v>
      </c>
      <c r="G15" s="47">
        <f>CashFlow!J25</f>
        <v>1</v>
      </c>
      <c r="H15" s="47">
        <f>CashFlow!K25</f>
        <v>1</v>
      </c>
      <c r="I15" s="47">
        <f>CashFlow!L25</f>
        <v>1</v>
      </c>
      <c r="J15" s="47">
        <f>CashFlow!M25</f>
        <v>1</v>
      </c>
      <c r="K15" s="47">
        <f>CashFlow!N25</f>
        <v>0</v>
      </c>
      <c r="L15" s="47">
        <f>CashFlow!O25</f>
        <v>1</v>
      </c>
      <c r="M15" s="47">
        <f>CashFlow!P25</f>
        <v>1</v>
      </c>
      <c r="N15" s="47">
        <f>CashFlow!Q25</f>
        <v>1</v>
      </c>
      <c r="O15" s="47">
        <f>CashFlow!R25</f>
        <v>1</v>
      </c>
      <c r="P15" s="47">
        <f>CashFlow!S25</f>
        <v>1</v>
      </c>
    </row>
  </sheetData>
  <pageMargins left="0.75" right="0.75" top="1" bottom="1" header="0.5" footer="0.5"/>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9"/>
  <sheetViews>
    <sheetView zoomScaleNormal="100" workbookViewId="0">
      <pane ySplit="4" topLeftCell="A5" activePane="bottomLeft" state="frozen"/>
      <selection pane="bottomLeft"/>
    </sheetView>
  </sheetViews>
  <sheetFormatPr baseColWidth="10" defaultColWidth="8.6640625" defaultRowHeight="15" x14ac:dyDescent="0.2"/>
  <cols>
    <col min="1" max="1" width="16" customWidth="1"/>
    <col min="2" max="2" width="58" customWidth="1"/>
    <col min="3" max="3" width="12" customWidth="1"/>
    <col min="4" max="4" width="18" customWidth="1"/>
    <col min="5" max="5" width="20" customWidth="1"/>
    <col min="6" max="6" width="80" customWidth="1"/>
  </cols>
  <sheetData>
    <row r="1" spans="1:6" ht="17.25" customHeight="1" x14ac:dyDescent="0.2">
      <c r="A1" s="1" t="s">
        <v>83</v>
      </c>
      <c r="B1" s="2"/>
      <c r="C1" s="2"/>
      <c r="D1" s="2"/>
      <c r="E1" s="2"/>
      <c r="F1" s="2"/>
    </row>
    <row r="2" spans="1:6" ht="45" customHeight="1" x14ac:dyDescent="0.2">
      <c r="A2" s="51" t="s">
        <v>84</v>
      </c>
      <c r="B2" s="52"/>
      <c r="C2" s="52"/>
      <c r="D2" s="52"/>
      <c r="E2" s="52"/>
      <c r="F2" s="52"/>
    </row>
    <row r="3" spans="1:6" ht="15" customHeight="1" x14ac:dyDescent="0.2">
      <c r="A3" s="2"/>
      <c r="B3" s="2"/>
      <c r="C3" s="2"/>
      <c r="D3" s="2"/>
      <c r="E3" s="2"/>
      <c r="F3" s="2"/>
    </row>
    <row r="4" spans="1:6" ht="15" customHeight="1" x14ac:dyDescent="0.2">
      <c r="A4" s="5" t="s">
        <v>85</v>
      </c>
      <c r="B4" s="5" t="s">
        <v>86</v>
      </c>
      <c r="C4" s="5" t="s">
        <v>87</v>
      </c>
      <c r="D4" s="5" t="s">
        <v>6</v>
      </c>
      <c r="E4" s="5" t="s">
        <v>88</v>
      </c>
      <c r="F4" s="5" t="s">
        <v>89</v>
      </c>
    </row>
    <row r="5" spans="1:6" ht="15" customHeight="1" x14ac:dyDescent="0.2">
      <c r="A5" s="6" t="s">
        <v>90</v>
      </c>
      <c r="B5" s="7"/>
      <c r="C5" s="7"/>
      <c r="D5" s="7"/>
      <c r="E5" s="7"/>
      <c r="F5" s="7"/>
    </row>
    <row r="6" spans="1:6" ht="26.25" customHeight="1" x14ac:dyDescent="0.2">
      <c r="A6" s="3" t="s">
        <v>91</v>
      </c>
      <c r="B6" s="2" t="s">
        <v>92</v>
      </c>
      <c r="C6" s="16">
        <v>1</v>
      </c>
      <c r="D6" s="2" t="s">
        <v>93</v>
      </c>
      <c r="E6" s="2" t="s">
        <v>94</v>
      </c>
      <c r="F6" s="17" t="s">
        <v>95</v>
      </c>
    </row>
    <row r="7" spans="1:6" ht="15" customHeight="1" x14ac:dyDescent="0.2">
      <c r="A7" s="3" t="s">
        <v>96</v>
      </c>
      <c r="B7" s="2" t="s">
        <v>97</v>
      </c>
      <c r="C7" s="18">
        <v>0.3</v>
      </c>
      <c r="D7" s="2" t="s">
        <v>21</v>
      </c>
      <c r="E7" s="2" t="s">
        <v>94</v>
      </c>
      <c r="F7" s="17" t="s">
        <v>98</v>
      </c>
    </row>
    <row r="8" spans="1:6" ht="15" customHeight="1" x14ac:dyDescent="0.2">
      <c r="A8" s="6" t="s">
        <v>99</v>
      </c>
      <c r="B8" s="7"/>
      <c r="C8" s="7"/>
      <c r="D8" s="7"/>
      <c r="E8" s="7"/>
      <c r="F8" s="7"/>
    </row>
    <row r="9" spans="1:6" ht="15" customHeight="1" x14ac:dyDescent="0.2">
      <c r="A9" s="3" t="s">
        <v>100</v>
      </c>
      <c r="B9" s="2" t="s">
        <v>101</v>
      </c>
      <c r="C9" s="19">
        <v>85</v>
      </c>
      <c r="D9" s="2" t="s">
        <v>102</v>
      </c>
      <c r="E9" s="2" t="s">
        <v>94</v>
      </c>
      <c r="F9" s="17" t="s">
        <v>103</v>
      </c>
    </row>
    <row r="10" spans="1:6" ht="15" customHeight="1" x14ac:dyDescent="0.2">
      <c r="A10" s="3" t="s">
        <v>104</v>
      </c>
      <c r="B10" s="2" t="s">
        <v>105</v>
      </c>
      <c r="C10" s="19">
        <v>20</v>
      </c>
      <c r="D10" s="2" t="s">
        <v>102</v>
      </c>
      <c r="E10" s="2" t="s">
        <v>94</v>
      </c>
      <c r="F10" s="17" t="s">
        <v>103</v>
      </c>
    </row>
    <row r="11" spans="1:6" ht="15" customHeight="1" x14ac:dyDescent="0.2">
      <c r="A11" s="3" t="s">
        <v>106</v>
      </c>
      <c r="B11" s="2" t="s">
        <v>107</v>
      </c>
      <c r="C11" s="19">
        <v>35</v>
      </c>
      <c r="D11" s="2" t="s">
        <v>102</v>
      </c>
      <c r="E11" s="2" t="s">
        <v>94</v>
      </c>
      <c r="F11" s="17" t="s">
        <v>103</v>
      </c>
    </row>
    <row r="12" spans="1:6" ht="15" customHeight="1" x14ac:dyDescent="0.2">
      <c r="A12" s="3" t="s">
        <v>108</v>
      </c>
      <c r="B12" s="2" t="s">
        <v>109</v>
      </c>
      <c r="C12" s="19">
        <v>15</v>
      </c>
      <c r="D12" s="2" t="s">
        <v>110</v>
      </c>
      <c r="E12" s="2" t="s">
        <v>94</v>
      </c>
      <c r="F12" s="17" t="s">
        <v>103</v>
      </c>
    </row>
    <row r="13" spans="1:6" ht="15" customHeight="1" x14ac:dyDescent="0.2">
      <c r="A13" s="3" t="s">
        <v>111</v>
      </c>
      <c r="B13" s="2" t="s">
        <v>112</v>
      </c>
      <c r="C13" s="19">
        <v>20</v>
      </c>
      <c r="D13" s="2" t="s">
        <v>102</v>
      </c>
      <c r="E13" s="2" t="s">
        <v>94</v>
      </c>
      <c r="F13" s="17" t="s">
        <v>103</v>
      </c>
    </row>
    <row r="14" spans="1:6" ht="15" customHeight="1" x14ac:dyDescent="0.2">
      <c r="A14" s="3" t="s">
        <v>113</v>
      </c>
      <c r="B14" s="2" t="s">
        <v>114</v>
      </c>
      <c r="C14" s="19">
        <v>1</v>
      </c>
      <c r="D14" s="2" t="s">
        <v>115</v>
      </c>
      <c r="E14" s="2" t="s">
        <v>94</v>
      </c>
      <c r="F14" s="17" t="s">
        <v>116</v>
      </c>
    </row>
    <row r="15" spans="1:6" ht="15" customHeight="1" x14ac:dyDescent="0.2">
      <c r="A15" s="6" t="s">
        <v>117</v>
      </c>
      <c r="B15" s="7"/>
      <c r="C15" s="7"/>
      <c r="D15" s="7"/>
      <c r="E15" s="7"/>
      <c r="F15" s="7"/>
    </row>
    <row r="16" spans="1:6" ht="15" customHeight="1" x14ac:dyDescent="0.2">
      <c r="A16" s="3" t="s">
        <v>118</v>
      </c>
      <c r="B16" s="2" t="s">
        <v>119</v>
      </c>
      <c r="C16" s="19">
        <v>25</v>
      </c>
      <c r="D16" s="2" t="s">
        <v>102</v>
      </c>
      <c r="E16" s="2" t="s">
        <v>94</v>
      </c>
      <c r="F16" s="17" t="s">
        <v>120</v>
      </c>
    </row>
    <row r="17" spans="1:6" ht="26.25" customHeight="1" x14ac:dyDescent="0.2">
      <c r="A17" s="3" t="s">
        <v>121</v>
      </c>
      <c r="B17" s="2" t="s">
        <v>122</v>
      </c>
      <c r="C17" s="19">
        <v>8</v>
      </c>
      <c r="D17" s="2" t="s">
        <v>102</v>
      </c>
      <c r="E17" s="2" t="s">
        <v>94</v>
      </c>
      <c r="F17" s="17" t="s">
        <v>123</v>
      </c>
    </row>
    <row r="18" spans="1:6" ht="15" customHeight="1" x14ac:dyDescent="0.2">
      <c r="A18" s="3" t="s">
        <v>124</v>
      </c>
      <c r="B18" s="2" t="s">
        <v>125</v>
      </c>
      <c r="C18" s="19">
        <v>12</v>
      </c>
      <c r="D18" s="2" t="s">
        <v>102</v>
      </c>
      <c r="E18" s="2" t="s">
        <v>94</v>
      </c>
      <c r="F18" s="17" t="s">
        <v>103</v>
      </c>
    </row>
    <row r="19" spans="1:6" ht="15" customHeight="1" x14ac:dyDescent="0.2">
      <c r="A19" s="3" t="s">
        <v>126</v>
      </c>
      <c r="B19" s="2" t="s">
        <v>127</v>
      </c>
      <c r="C19" s="19">
        <v>5</v>
      </c>
      <c r="D19" s="2" t="s">
        <v>110</v>
      </c>
      <c r="E19" s="2" t="s">
        <v>94</v>
      </c>
      <c r="F19" s="17" t="s">
        <v>128</v>
      </c>
    </row>
    <row r="20" spans="1:6" ht="15" customHeight="1" x14ac:dyDescent="0.2">
      <c r="A20" s="3" t="s">
        <v>129</v>
      </c>
      <c r="B20" s="2" t="s">
        <v>130</v>
      </c>
      <c r="C20" s="19">
        <v>8</v>
      </c>
      <c r="D20" s="2" t="s">
        <v>102</v>
      </c>
      <c r="E20" s="2" t="s">
        <v>94</v>
      </c>
      <c r="F20" s="17" t="s">
        <v>131</v>
      </c>
    </row>
    <row r="21" spans="1:6" ht="15" customHeight="1" x14ac:dyDescent="0.2">
      <c r="A21" s="3" t="s">
        <v>132</v>
      </c>
      <c r="B21" s="2" t="s">
        <v>133</v>
      </c>
      <c r="C21" s="18">
        <v>0.4</v>
      </c>
      <c r="D21" s="2" t="s">
        <v>134</v>
      </c>
      <c r="E21" s="2" t="s">
        <v>94</v>
      </c>
      <c r="F21" s="17" t="s">
        <v>135</v>
      </c>
    </row>
    <row r="22" spans="1:6" ht="15" customHeight="1" x14ac:dyDescent="0.2">
      <c r="A22" s="3" t="s">
        <v>136</v>
      </c>
      <c r="B22" s="2" t="s">
        <v>137</v>
      </c>
      <c r="C22" s="20">
        <v>1</v>
      </c>
      <c r="D22" s="2" t="s">
        <v>138</v>
      </c>
      <c r="E22" s="21" t="s">
        <v>139</v>
      </c>
      <c r="F22" s="17" t="s">
        <v>140</v>
      </c>
    </row>
    <row r="23" spans="1:6" ht="15" customHeight="1" x14ac:dyDescent="0.2">
      <c r="A23" s="3" t="s">
        <v>141</v>
      </c>
      <c r="B23" s="2" t="s">
        <v>142</v>
      </c>
      <c r="C23" s="22">
        <v>3.5</v>
      </c>
      <c r="D23" s="2" t="s">
        <v>143</v>
      </c>
      <c r="E23" s="21" t="s">
        <v>139</v>
      </c>
      <c r="F23" s="17" t="s">
        <v>144</v>
      </c>
    </row>
    <row r="24" spans="1:6" ht="15" customHeight="1" x14ac:dyDescent="0.2">
      <c r="A24" s="3" t="s">
        <v>145</v>
      </c>
      <c r="B24" s="2" t="s">
        <v>146</v>
      </c>
      <c r="C24" s="23">
        <v>0.8</v>
      </c>
      <c r="D24" s="2" t="s">
        <v>21</v>
      </c>
      <c r="E24" s="21" t="s">
        <v>139</v>
      </c>
      <c r="F24" s="17" t="s">
        <v>147</v>
      </c>
    </row>
    <row r="25" spans="1:6" ht="15" customHeight="1" x14ac:dyDescent="0.2">
      <c r="A25" s="6" t="s">
        <v>148</v>
      </c>
      <c r="B25" s="7"/>
      <c r="C25" s="7"/>
      <c r="D25" s="7"/>
      <c r="E25" s="7"/>
      <c r="F25" s="7"/>
    </row>
    <row r="26" spans="1:6" ht="15" customHeight="1" x14ac:dyDescent="0.2">
      <c r="A26" s="3" t="s">
        <v>149</v>
      </c>
      <c r="B26" s="2" t="s">
        <v>150</v>
      </c>
      <c r="C26" s="16">
        <v>4</v>
      </c>
      <c r="D26" s="2" t="s">
        <v>43</v>
      </c>
      <c r="E26" s="2" t="s">
        <v>94</v>
      </c>
      <c r="F26" s="17" t="s">
        <v>151</v>
      </c>
    </row>
    <row r="27" spans="1:6" ht="15" customHeight="1" x14ac:dyDescent="0.2">
      <c r="A27" s="3" t="s">
        <v>152</v>
      </c>
      <c r="B27" s="2" t="s">
        <v>153</v>
      </c>
      <c r="C27" s="16">
        <v>2</v>
      </c>
      <c r="D27" s="2" t="s">
        <v>43</v>
      </c>
      <c r="E27" s="2" t="s">
        <v>94</v>
      </c>
      <c r="F27" s="17" t="s">
        <v>154</v>
      </c>
    </row>
    <row r="28" spans="1:6" ht="15" customHeight="1" x14ac:dyDescent="0.2">
      <c r="A28" s="3" t="s">
        <v>155</v>
      </c>
      <c r="B28" s="2" t="s">
        <v>156</v>
      </c>
      <c r="C28" s="16">
        <v>2</v>
      </c>
      <c r="D28" s="2" t="s">
        <v>43</v>
      </c>
      <c r="E28" s="2" t="s">
        <v>94</v>
      </c>
      <c r="F28" s="17" t="s">
        <v>154</v>
      </c>
    </row>
    <row r="29" spans="1:6" ht="15" customHeight="1" x14ac:dyDescent="0.2">
      <c r="A29" s="3" t="s">
        <v>157</v>
      </c>
      <c r="B29" s="2" t="s">
        <v>158</v>
      </c>
      <c r="C29" s="16">
        <v>2</v>
      </c>
      <c r="D29" s="2" t="s">
        <v>43</v>
      </c>
      <c r="E29" s="2" t="s">
        <v>94</v>
      </c>
      <c r="F29" s="17" t="s">
        <v>159</v>
      </c>
    </row>
    <row r="30" spans="1:6" ht="15" customHeight="1" x14ac:dyDescent="0.2">
      <c r="A30" s="3" t="s">
        <v>160</v>
      </c>
      <c r="B30" s="2" t="s">
        <v>161</v>
      </c>
      <c r="C30" s="20">
        <v>3</v>
      </c>
      <c r="D30" s="2" t="s">
        <v>162</v>
      </c>
      <c r="E30" s="21" t="s">
        <v>139</v>
      </c>
      <c r="F30" s="17" t="s">
        <v>163</v>
      </c>
    </row>
    <row r="31" spans="1:6" ht="15" customHeight="1" x14ac:dyDescent="0.2">
      <c r="A31" s="3" t="s">
        <v>164</v>
      </c>
      <c r="B31" s="2" t="s">
        <v>165</v>
      </c>
      <c r="C31" s="20">
        <v>1</v>
      </c>
      <c r="D31" s="2" t="s">
        <v>162</v>
      </c>
      <c r="E31" s="21" t="s">
        <v>139</v>
      </c>
      <c r="F31" s="17" t="s">
        <v>166</v>
      </c>
    </row>
    <row r="32" spans="1:6" ht="15" customHeight="1" x14ac:dyDescent="0.2">
      <c r="A32" s="3" t="s">
        <v>167</v>
      </c>
      <c r="B32" s="2" t="s">
        <v>168</v>
      </c>
      <c r="C32" s="20">
        <v>1</v>
      </c>
      <c r="D32" s="2" t="s">
        <v>162</v>
      </c>
      <c r="E32" s="21" t="s">
        <v>139</v>
      </c>
      <c r="F32" s="17" t="s">
        <v>166</v>
      </c>
    </row>
    <row r="33" spans="1:6" ht="15" customHeight="1" x14ac:dyDescent="0.2">
      <c r="A33" s="3" t="s">
        <v>169</v>
      </c>
      <c r="B33" s="2" t="s">
        <v>170</v>
      </c>
      <c r="C33" s="20">
        <v>1</v>
      </c>
      <c r="D33" s="2" t="s">
        <v>162</v>
      </c>
      <c r="E33" s="21" t="s">
        <v>139</v>
      </c>
      <c r="F33" s="17" t="s">
        <v>171</v>
      </c>
    </row>
    <row r="34" spans="1:6" ht="15" customHeight="1" x14ac:dyDescent="0.2">
      <c r="A34" s="3" t="s">
        <v>172</v>
      </c>
      <c r="B34" s="2" t="s">
        <v>173</v>
      </c>
      <c r="C34" s="16">
        <v>2</v>
      </c>
      <c r="D34" s="2" t="s">
        <v>26</v>
      </c>
      <c r="E34" s="2" t="s">
        <v>94</v>
      </c>
      <c r="F34" s="17" t="s">
        <v>174</v>
      </c>
    </row>
    <row r="35" spans="1:6" ht="15" customHeight="1" x14ac:dyDescent="0.2">
      <c r="A35" s="3" t="s">
        <v>175</v>
      </c>
      <c r="B35" s="2" t="s">
        <v>176</v>
      </c>
      <c r="C35" s="16">
        <v>2</v>
      </c>
      <c r="D35" s="2" t="s">
        <v>43</v>
      </c>
      <c r="E35" s="2" t="s">
        <v>94</v>
      </c>
      <c r="F35" s="17" t="s">
        <v>177</v>
      </c>
    </row>
    <row r="36" spans="1:6" ht="15" customHeight="1" x14ac:dyDescent="0.2">
      <c r="A36" s="3" t="s">
        <v>178</v>
      </c>
      <c r="B36" s="2" t="s">
        <v>179</v>
      </c>
      <c r="C36" s="16">
        <v>11</v>
      </c>
      <c r="D36" s="2" t="s">
        <v>43</v>
      </c>
      <c r="E36" s="2" t="s">
        <v>94</v>
      </c>
      <c r="F36" s="17" t="s">
        <v>180</v>
      </c>
    </row>
    <row r="37" spans="1:6" ht="15" customHeight="1" x14ac:dyDescent="0.2">
      <c r="A37" s="3" t="s">
        <v>181</v>
      </c>
      <c r="B37" s="2" t="s">
        <v>182</v>
      </c>
      <c r="C37" s="22">
        <v>2.5</v>
      </c>
      <c r="D37" s="2" t="s">
        <v>143</v>
      </c>
      <c r="E37" s="21" t="s">
        <v>139</v>
      </c>
      <c r="F37" s="17" t="s">
        <v>183</v>
      </c>
    </row>
    <row r="38" spans="1:6" ht="15" customHeight="1" x14ac:dyDescent="0.2">
      <c r="A38" s="6" t="s">
        <v>184</v>
      </c>
      <c r="B38" s="7"/>
      <c r="C38" s="7"/>
      <c r="D38" s="7"/>
      <c r="E38" s="7"/>
      <c r="F38" s="7"/>
    </row>
    <row r="39" spans="1:6" ht="15" customHeight="1" x14ac:dyDescent="0.2">
      <c r="A39" s="3" t="s">
        <v>185</v>
      </c>
      <c r="B39" s="2" t="s">
        <v>186</v>
      </c>
      <c r="C39" s="19">
        <v>2.5</v>
      </c>
      <c r="D39" s="2" t="s">
        <v>110</v>
      </c>
      <c r="E39" s="2" t="s">
        <v>94</v>
      </c>
      <c r="F39" s="17" t="s">
        <v>187</v>
      </c>
    </row>
    <row r="40" spans="1:6" ht="15" customHeight="1" x14ac:dyDescent="0.2">
      <c r="A40" s="3" t="s">
        <v>188</v>
      </c>
      <c r="B40" s="2" t="s">
        <v>189</v>
      </c>
      <c r="C40" s="19">
        <v>1.5</v>
      </c>
      <c r="D40" s="2" t="s">
        <v>110</v>
      </c>
      <c r="E40" s="2" t="s">
        <v>94</v>
      </c>
      <c r="F40" s="17" t="s">
        <v>187</v>
      </c>
    </row>
    <row r="41" spans="1:6" ht="15" customHeight="1" x14ac:dyDescent="0.2">
      <c r="A41" s="3" t="s">
        <v>190</v>
      </c>
      <c r="B41" s="2" t="s">
        <v>191</v>
      </c>
      <c r="C41" s="19">
        <v>1</v>
      </c>
      <c r="D41" s="2" t="s">
        <v>110</v>
      </c>
      <c r="E41" s="2" t="s">
        <v>94</v>
      </c>
      <c r="F41" s="17" t="s">
        <v>187</v>
      </c>
    </row>
    <row r="42" spans="1:6" ht="15" customHeight="1" x14ac:dyDescent="0.2">
      <c r="A42" s="3" t="s">
        <v>192</v>
      </c>
      <c r="B42" s="2" t="s">
        <v>193</v>
      </c>
      <c r="C42" s="19">
        <v>2.2999999999999998</v>
      </c>
      <c r="D42" s="2" t="s">
        <v>110</v>
      </c>
      <c r="E42" s="2" t="s">
        <v>94</v>
      </c>
      <c r="F42" s="17" t="s">
        <v>187</v>
      </c>
    </row>
    <row r="43" spans="1:6" ht="15" customHeight="1" x14ac:dyDescent="0.2">
      <c r="A43" s="3" t="s">
        <v>194</v>
      </c>
      <c r="B43" s="2" t="s">
        <v>195</v>
      </c>
      <c r="C43" s="19">
        <v>3</v>
      </c>
      <c r="D43" s="2" t="s">
        <v>110</v>
      </c>
      <c r="E43" s="2" t="s">
        <v>94</v>
      </c>
      <c r="F43" s="17" t="s">
        <v>196</v>
      </c>
    </row>
    <row r="44" spans="1:6" ht="15" customHeight="1" x14ac:dyDescent="0.2">
      <c r="A44" s="3" t="s">
        <v>197</v>
      </c>
      <c r="B44" s="2" t="s">
        <v>198</v>
      </c>
      <c r="C44" s="19">
        <v>1</v>
      </c>
      <c r="D44" s="2" t="s">
        <v>110</v>
      </c>
      <c r="E44" s="2" t="s">
        <v>94</v>
      </c>
      <c r="F44" s="17" t="s">
        <v>187</v>
      </c>
    </row>
    <row r="45" spans="1:6" ht="15" customHeight="1" x14ac:dyDescent="0.2">
      <c r="A45" s="3" t="s">
        <v>199</v>
      </c>
      <c r="B45" s="2" t="s">
        <v>200</v>
      </c>
      <c r="C45" s="19">
        <v>2.0799166666666702</v>
      </c>
      <c r="D45" s="2" t="s">
        <v>110</v>
      </c>
      <c r="E45" s="2" t="s">
        <v>94</v>
      </c>
      <c r="F45" s="17" t="s">
        <v>201</v>
      </c>
    </row>
    <row r="46" spans="1:6" ht="15" customHeight="1" x14ac:dyDescent="0.2">
      <c r="A46" s="3" t="s">
        <v>202</v>
      </c>
      <c r="B46" s="2" t="s">
        <v>203</v>
      </c>
      <c r="C46" s="19">
        <v>5.8</v>
      </c>
      <c r="D46" s="2" t="s">
        <v>110</v>
      </c>
      <c r="E46" s="2" t="s">
        <v>94</v>
      </c>
      <c r="F46" s="17" t="s">
        <v>204</v>
      </c>
    </row>
    <row r="47" spans="1:6" ht="26.25" customHeight="1" x14ac:dyDescent="0.2">
      <c r="A47" s="3" t="s">
        <v>205</v>
      </c>
      <c r="B47" s="2" t="s">
        <v>206</v>
      </c>
      <c r="C47" s="22">
        <v>1.5</v>
      </c>
      <c r="D47" s="2" t="s">
        <v>110</v>
      </c>
      <c r="E47" s="21" t="s">
        <v>139</v>
      </c>
      <c r="F47" s="17" t="s">
        <v>207</v>
      </c>
    </row>
    <row r="48" spans="1:6" ht="15" customHeight="1" x14ac:dyDescent="0.2">
      <c r="A48" s="6" t="s">
        <v>208</v>
      </c>
      <c r="B48" s="7"/>
      <c r="C48" s="7"/>
      <c r="D48" s="7"/>
      <c r="E48" s="7"/>
      <c r="F48" s="7"/>
    </row>
    <row r="49" spans="1:6" ht="15" customHeight="1" x14ac:dyDescent="0.2">
      <c r="A49" s="3" t="s">
        <v>209</v>
      </c>
      <c r="B49" s="2" t="s">
        <v>210</v>
      </c>
      <c r="C49" s="19">
        <v>15</v>
      </c>
      <c r="D49" s="2" t="s">
        <v>110</v>
      </c>
      <c r="E49" s="2" t="s">
        <v>94</v>
      </c>
      <c r="F49" s="17" t="s">
        <v>211</v>
      </c>
    </row>
    <row r="50" spans="1:6" ht="15" customHeight="1" x14ac:dyDescent="0.2">
      <c r="A50" s="3" t="s">
        <v>212</v>
      </c>
      <c r="B50" s="2" t="s">
        <v>213</v>
      </c>
      <c r="C50" s="19">
        <v>10</v>
      </c>
      <c r="D50" s="2" t="s">
        <v>110</v>
      </c>
      <c r="E50" s="2" t="s">
        <v>94</v>
      </c>
      <c r="F50" s="17" t="s">
        <v>211</v>
      </c>
    </row>
    <row r="51" spans="1:6" ht="15" customHeight="1" x14ac:dyDescent="0.2">
      <c r="A51" s="3" t="s">
        <v>214</v>
      </c>
      <c r="B51" s="2" t="s">
        <v>215</v>
      </c>
      <c r="C51" s="24" t="s">
        <v>415</v>
      </c>
      <c r="D51" s="2" t="s">
        <v>217</v>
      </c>
      <c r="E51" s="25" t="s">
        <v>218</v>
      </c>
      <c r="F51" s="17" t="s">
        <v>219</v>
      </c>
    </row>
    <row r="52" spans="1:6" ht="15" customHeight="1" x14ac:dyDescent="0.2">
      <c r="A52" s="3" t="s">
        <v>220</v>
      </c>
      <c r="B52" s="2" t="s">
        <v>221</v>
      </c>
      <c r="C52" s="16">
        <v>0</v>
      </c>
      <c r="D52" s="2" t="s">
        <v>138</v>
      </c>
      <c r="E52" s="2" t="s">
        <v>94</v>
      </c>
      <c r="F52" s="17" t="s">
        <v>222</v>
      </c>
    </row>
    <row r="53" spans="1:6" ht="15" customHeight="1" x14ac:dyDescent="0.2">
      <c r="A53" s="3" t="s">
        <v>223</v>
      </c>
      <c r="B53" s="2" t="s">
        <v>224</v>
      </c>
      <c r="C53" s="19">
        <v>7</v>
      </c>
      <c r="D53" s="2" t="s">
        <v>110</v>
      </c>
      <c r="E53" s="2" t="s">
        <v>94</v>
      </c>
      <c r="F53" s="17" t="s">
        <v>225</v>
      </c>
    </row>
    <row r="54" spans="1:6" ht="15" customHeight="1" x14ac:dyDescent="0.2">
      <c r="A54" s="3" t="s">
        <v>226</v>
      </c>
      <c r="B54" s="2" t="s">
        <v>227</v>
      </c>
      <c r="C54" s="24" t="s">
        <v>216</v>
      </c>
      <c r="D54" s="2" t="s">
        <v>217</v>
      </c>
      <c r="E54" s="21" t="s">
        <v>139</v>
      </c>
      <c r="F54" s="17" t="s">
        <v>228</v>
      </c>
    </row>
    <row r="55" spans="1:6" ht="15" customHeight="1" x14ac:dyDescent="0.2">
      <c r="A55" s="3" t="s">
        <v>229</v>
      </c>
      <c r="B55" s="2" t="s">
        <v>230</v>
      </c>
      <c r="C55" s="22">
        <v>2</v>
      </c>
      <c r="D55" s="2" t="s">
        <v>110</v>
      </c>
      <c r="E55" s="21" t="s">
        <v>139</v>
      </c>
      <c r="F55" s="17" t="s">
        <v>231</v>
      </c>
    </row>
    <row r="56" spans="1:6" ht="15" customHeight="1" x14ac:dyDescent="0.2">
      <c r="A56" s="3" t="s">
        <v>232</v>
      </c>
      <c r="B56" s="2" t="s">
        <v>233</v>
      </c>
      <c r="C56" s="19">
        <v>5</v>
      </c>
      <c r="D56" s="2" t="s">
        <v>110</v>
      </c>
      <c r="E56" s="2" t="s">
        <v>94</v>
      </c>
      <c r="F56" s="17" t="s">
        <v>225</v>
      </c>
    </row>
    <row r="57" spans="1:6" ht="26.25" customHeight="1" x14ac:dyDescent="0.2">
      <c r="A57" s="3" t="s">
        <v>234</v>
      </c>
      <c r="B57" s="2" t="s">
        <v>235</v>
      </c>
      <c r="C57" s="20">
        <v>4</v>
      </c>
      <c r="D57" s="2" t="s">
        <v>26</v>
      </c>
      <c r="E57" s="21" t="s">
        <v>139</v>
      </c>
      <c r="F57" s="17" t="s">
        <v>236</v>
      </c>
    </row>
    <row r="58" spans="1:6" ht="15" customHeight="1" x14ac:dyDescent="0.2">
      <c r="A58" s="3" t="s">
        <v>237</v>
      </c>
      <c r="B58" s="2" t="s">
        <v>238</v>
      </c>
      <c r="C58" s="20">
        <v>12</v>
      </c>
      <c r="D58" s="2" t="s">
        <v>239</v>
      </c>
      <c r="E58" s="21" t="s">
        <v>139</v>
      </c>
      <c r="F58" s="17" t="s">
        <v>240</v>
      </c>
    </row>
    <row r="59" spans="1:6" ht="15" customHeight="1" x14ac:dyDescent="0.2">
      <c r="A59" s="3" t="s">
        <v>241</v>
      </c>
      <c r="B59" s="2" t="s">
        <v>242</v>
      </c>
      <c r="C59" s="22">
        <v>1.33</v>
      </c>
      <c r="D59" s="2" t="s">
        <v>239</v>
      </c>
      <c r="E59" s="21" t="s">
        <v>139</v>
      </c>
      <c r="F59" s="17" t="s">
        <v>243</v>
      </c>
    </row>
    <row r="60" spans="1:6" ht="15" customHeight="1" x14ac:dyDescent="0.2">
      <c r="A60" s="6" t="s">
        <v>244</v>
      </c>
      <c r="B60" s="7"/>
      <c r="C60" s="7"/>
      <c r="D60" s="7"/>
      <c r="E60" s="7"/>
      <c r="F60" s="7"/>
    </row>
    <row r="61" spans="1:6" ht="15" customHeight="1" x14ac:dyDescent="0.2">
      <c r="A61" s="3" t="s">
        <v>245</v>
      </c>
      <c r="B61" s="2" t="s">
        <v>246</v>
      </c>
      <c r="C61" s="20">
        <v>1</v>
      </c>
      <c r="D61" s="2" t="s">
        <v>138</v>
      </c>
      <c r="E61" s="21" t="s">
        <v>139</v>
      </c>
      <c r="F61" s="17" t="s">
        <v>247</v>
      </c>
    </row>
    <row r="62" spans="1:6" ht="26.25" customHeight="1" x14ac:dyDescent="0.2">
      <c r="A62" s="3" t="s">
        <v>248</v>
      </c>
      <c r="B62" s="2" t="s">
        <v>249</v>
      </c>
      <c r="C62" s="22">
        <v>7.4999999999999997E-2</v>
      </c>
      <c r="D62" s="2" t="s">
        <v>250</v>
      </c>
      <c r="E62" s="21" t="s">
        <v>139</v>
      </c>
      <c r="F62" s="17" t="s">
        <v>251</v>
      </c>
    </row>
    <row r="63" spans="1:6" ht="15" customHeight="1" x14ac:dyDescent="0.2">
      <c r="A63" s="3" t="s">
        <v>252</v>
      </c>
      <c r="B63" s="2" t="s">
        <v>253</v>
      </c>
      <c r="C63" s="20">
        <v>40</v>
      </c>
      <c r="D63" s="2" t="s">
        <v>43</v>
      </c>
      <c r="E63" s="21" t="s">
        <v>139</v>
      </c>
      <c r="F63" s="17" t="s">
        <v>166</v>
      </c>
    </row>
    <row r="64" spans="1:6" ht="15" customHeight="1" x14ac:dyDescent="0.2">
      <c r="A64" s="3" t="s">
        <v>254</v>
      </c>
      <c r="B64" s="2" t="s">
        <v>255</v>
      </c>
      <c r="C64" s="20">
        <v>30</v>
      </c>
      <c r="D64" s="2" t="s">
        <v>43</v>
      </c>
      <c r="E64" s="21" t="s">
        <v>139</v>
      </c>
      <c r="F64" s="17" t="s">
        <v>166</v>
      </c>
    </row>
    <row r="65" spans="1:6" ht="15" customHeight="1" x14ac:dyDescent="0.2">
      <c r="A65" s="3" t="s">
        <v>256</v>
      </c>
      <c r="B65" s="2" t="s">
        <v>257</v>
      </c>
      <c r="C65" s="20">
        <v>40</v>
      </c>
      <c r="D65" s="2" t="s">
        <v>43</v>
      </c>
      <c r="E65" s="21" t="s">
        <v>139</v>
      </c>
      <c r="F65" s="17" t="s">
        <v>166</v>
      </c>
    </row>
    <row r="66" spans="1:6" ht="15" customHeight="1" x14ac:dyDescent="0.2">
      <c r="A66" s="3" t="s">
        <v>258</v>
      </c>
      <c r="B66" s="2" t="s">
        <v>259</v>
      </c>
      <c r="C66" s="20">
        <v>50</v>
      </c>
      <c r="D66" s="2" t="s">
        <v>43</v>
      </c>
      <c r="E66" s="21" t="s">
        <v>139</v>
      </c>
      <c r="F66" s="17" t="s">
        <v>166</v>
      </c>
    </row>
    <row r="67" spans="1:6" ht="15" customHeight="1" x14ac:dyDescent="0.2">
      <c r="A67" s="3" t="s">
        <v>260</v>
      </c>
      <c r="B67" s="2" t="s">
        <v>261</v>
      </c>
      <c r="C67" s="22">
        <v>0.05</v>
      </c>
      <c r="D67" s="2" t="s">
        <v>262</v>
      </c>
      <c r="E67" s="21" t="s">
        <v>139</v>
      </c>
      <c r="F67" s="17" t="s">
        <v>263</v>
      </c>
    </row>
    <row r="68" spans="1:6" ht="15" customHeight="1" x14ac:dyDescent="0.2">
      <c r="A68" s="3" t="s">
        <v>264</v>
      </c>
      <c r="B68" s="2" t="s">
        <v>265</v>
      </c>
      <c r="C68" s="20">
        <v>10</v>
      </c>
      <c r="D68" s="2" t="s">
        <v>266</v>
      </c>
      <c r="E68" s="21" t="s">
        <v>139</v>
      </c>
      <c r="F68" s="17" t="s">
        <v>166</v>
      </c>
    </row>
    <row r="69" spans="1:6" ht="15" customHeight="1" x14ac:dyDescent="0.2">
      <c r="A69" s="6" t="s">
        <v>267</v>
      </c>
      <c r="B69" s="7"/>
      <c r="C69" s="7"/>
      <c r="D69" s="7"/>
      <c r="E69" s="7"/>
      <c r="F69" s="7"/>
    </row>
    <row r="70" spans="1:6" ht="26.25" customHeight="1" x14ac:dyDescent="0.2">
      <c r="A70" s="3" t="s">
        <v>268</v>
      </c>
      <c r="B70" s="2" t="s">
        <v>269</v>
      </c>
      <c r="C70" s="20">
        <v>4</v>
      </c>
      <c r="D70" s="2" t="s">
        <v>270</v>
      </c>
      <c r="E70" s="21" t="s">
        <v>139</v>
      </c>
      <c r="F70" s="17" t="s">
        <v>271</v>
      </c>
    </row>
    <row r="71" spans="1:6" ht="15" customHeight="1" x14ac:dyDescent="0.2">
      <c r="A71" s="6" t="s">
        <v>272</v>
      </c>
      <c r="B71" s="7"/>
      <c r="C71" s="7"/>
      <c r="D71" s="7"/>
      <c r="E71" s="7"/>
      <c r="F71" s="7"/>
    </row>
    <row r="72" spans="1:6" ht="15" customHeight="1" x14ac:dyDescent="0.2">
      <c r="A72" s="3" t="s">
        <v>273</v>
      </c>
      <c r="B72" s="2" t="s">
        <v>274</v>
      </c>
      <c r="C72" s="19">
        <v>210</v>
      </c>
      <c r="D72" s="2" t="s">
        <v>10</v>
      </c>
      <c r="E72" s="2" t="s">
        <v>94</v>
      </c>
      <c r="F72" s="17" t="s">
        <v>275</v>
      </c>
    </row>
    <row r="73" spans="1:6" ht="15" customHeight="1" x14ac:dyDescent="0.2">
      <c r="A73" s="3" t="s">
        <v>276</v>
      </c>
      <c r="B73" s="2" t="s">
        <v>277</v>
      </c>
      <c r="C73" s="23">
        <v>0.6</v>
      </c>
      <c r="D73" s="2" t="s">
        <v>21</v>
      </c>
      <c r="E73" s="21" t="s">
        <v>139</v>
      </c>
      <c r="F73" s="17" t="s">
        <v>278</v>
      </c>
    </row>
    <row r="74" spans="1:6" ht="15" customHeight="1" x14ac:dyDescent="0.2">
      <c r="A74" s="3" t="s">
        <v>279</v>
      </c>
      <c r="B74" s="2" t="s">
        <v>280</v>
      </c>
      <c r="C74" s="23">
        <v>0.3</v>
      </c>
      <c r="D74" s="2" t="s">
        <v>21</v>
      </c>
      <c r="E74" s="21" t="s">
        <v>139</v>
      </c>
      <c r="F74" s="17" t="s">
        <v>281</v>
      </c>
    </row>
    <row r="75" spans="1:6" ht="15" customHeight="1" x14ac:dyDescent="0.2">
      <c r="A75" s="3" t="s">
        <v>282</v>
      </c>
      <c r="B75" s="2" t="s">
        <v>283</v>
      </c>
      <c r="C75" s="23">
        <v>0.1</v>
      </c>
      <c r="D75" s="2" t="s">
        <v>21</v>
      </c>
      <c r="E75" s="21" t="s">
        <v>139</v>
      </c>
      <c r="F75" s="17" t="s">
        <v>281</v>
      </c>
    </row>
    <row r="76" spans="1:6" ht="26.25" customHeight="1" x14ac:dyDescent="0.2">
      <c r="A76" s="3" t="s">
        <v>284</v>
      </c>
      <c r="B76" s="2" t="s">
        <v>285</v>
      </c>
      <c r="C76" s="23">
        <v>0.8</v>
      </c>
      <c r="D76" s="2" t="s">
        <v>21</v>
      </c>
      <c r="E76" s="21" t="s">
        <v>139</v>
      </c>
      <c r="F76" s="17" t="s">
        <v>286</v>
      </c>
    </row>
    <row r="77" spans="1:6" ht="15" customHeight="1" x14ac:dyDescent="0.2">
      <c r="A77" s="3" t="s">
        <v>287</v>
      </c>
      <c r="B77" s="2" t="s">
        <v>288</v>
      </c>
      <c r="C77" s="23">
        <v>0.2</v>
      </c>
      <c r="D77" s="2" t="s">
        <v>21</v>
      </c>
      <c r="E77" s="21" t="s">
        <v>139</v>
      </c>
      <c r="F77" s="17" t="s">
        <v>289</v>
      </c>
    </row>
    <row r="78" spans="1:6" ht="15" customHeight="1" x14ac:dyDescent="0.2">
      <c r="A78" s="3" t="s">
        <v>290</v>
      </c>
      <c r="B78" s="2" t="s">
        <v>291</v>
      </c>
      <c r="C78" s="23">
        <v>0.5</v>
      </c>
      <c r="D78" s="2" t="s">
        <v>21</v>
      </c>
      <c r="E78" s="21" t="s">
        <v>139</v>
      </c>
      <c r="F78" s="17" t="s">
        <v>281</v>
      </c>
    </row>
    <row r="79" spans="1:6" ht="15" customHeight="1" x14ac:dyDescent="0.2">
      <c r="A79" s="3" t="s">
        <v>292</v>
      </c>
      <c r="B79" s="2" t="s">
        <v>293</v>
      </c>
      <c r="C79" s="23">
        <v>0.3</v>
      </c>
      <c r="D79" s="2" t="s">
        <v>21</v>
      </c>
      <c r="E79" s="21" t="s">
        <v>139</v>
      </c>
      <c r="F79" s="17" t="s">
        <v>281</v>
      </c>
    </row>
    <row r="80" spans="1:6" ht="26.25" customHeight="1" x14ac:dyDescent="0.2">
      <c r="A80" s="3" t="s">
        <v>294</v>
      </c>
      <c r="B80" s="2" t="s">
        <v>295</v>
      </c>
      <c r="C80" s="23">
        <v>5.0000000000000001E-3</v>
      </c>
      <c r="D80" s="2" t="s">
        <v>296</v>
      </c>
      <c r="E80" s="21" t="s">
        <v>139</v>
      </c>
      <c r="F80" s="17" t="s">
        <v>297</v>
      </c>
    </row>
    <row r="81" spans="1:6" ht="15" customHeight="1" x14ac:dyDescent="0.2">
      <c r="A81" s="6" t="s">
        <v>298</v>
      </c>
      <c r="B81" s="7"/>
      <c r="C81" s="7"/>
      <c r="D81" s="7"/>
      <c r="E81" s="7"/>
      <c r="F81" s="7"/>
    </row>
    <row r="82" spans="1:6" ht="15" customHeight="1" x14ac:dyDescent="0.2">
      <c r="A82" s="3" t="s">
        <v>299</v>
      </c>
      <c r="B82" s="2" t="s">
        <v>300</v>
      </c>
      <c r="C82" s="23">
        <v>0.15</v>
      </c>
      <c r="D82" s="2" t="s">
        <v>21</v>
      </c>
      <c r="E82" s="21" t="s">
        <v>139</v>
      </c>
      <c r="F82" s="17" t="s">
        <v>301</v>
      </c>
    </row>
    <row r="83" spans="1:6" ht="15" customHeight="1" x14ac:dyDescent="0.2">
      <c r="A83" s="3" t="s">
        <v>302</v>
      </c>
      <c r="B83" s="2" t="s">
        <v>303</v>
      </c>
      <c r="C83" s="23">
        <v>0.85</v>
      </c>
      <c r="D83" s="2" t="s">
        <v>21</v>
      </c>
      <c r="E83" s="21" t="s">
        <v>139</v>
      </c>
      <c r="F83" s="17" t="s">
        <v>304</v>
      </c>
    </row>
    <row r="84" spans="1:6" ht="15" customHeight="1" x14ac:dyDescent="0.2">
      <c r="A84" s="6" t="s">
        <v>305</v>
      </c>
      <c r="B84" s="7"/>
      <c r="C84" s="7"/>
      <c r="D84" s="7"/>
      <c r="E84" s="7"/>
      <c r="F84" s="7"/>
    </row>
    <row r="85" spans="1:6" ht="15" customHeight="1" x14ac:dyDescent="0.2">
      <c r="A85" s="3" t="s">
        <v>306</v>
      </c>
      <c r="B85" s="2" t="s">
        <v>307</v>
      </c>
      <c r="C85" s="16">
        <v>2</v>
      </c>
      <c r="D85" s="2" t="s">
        <v>93</v>
      </c>
      <c r="E85" s="2" t="s">
        <v>94</v>
      </c>
      <c r="F85" s="17" t="s">
        <v>308</v>
      </c>
    </row>
    <row r="86" spans="1:6" ht="15" customHeight="1" x14ac:dyDescent="0.2">
      <c r="A86" s="3" t="s">
        <v>309</v>
      </c>
      <c r="B86" s="2" t="s">
        <v>310</v>
      </c>
      <c r="C86" s="24" t="s">
        <v>216</v>
      </c>
      <c r="D86" s="2" t="s">
        <v>217</v>
      </c>
      <c r="E86" s="25" t="s">
        <v>218</v>
      </c>
      <c r="F86" s="17" t="s">
        <v>311</v>
      </c>
    </row>
    <row r="87" spans="1:6" ht="26.25" customHeight="1" x14ac:dyDescent="0.2">
      <c r="A87" s="3" t="s">
        <v>312</v>
      </c>
      <c r="B87" s="2" t="s">
        <v>313</v>
      </c>
      <c r="C87" s="22">
        <v>94</v>
      </c>
      <c r="D87" s="2" t="s">
        <v>314</v>
      </c>
      <c r="E87" s="25" t="s">
        <v>218</v>
      </c>
      <c r="F87" s="17" t="s">
        <v>315</v>
      </c>
    </row>
    <row r="88" spans="1:6" ht="15" customHeight="1" x14ac:dyDescent="0.2">
      <c r="A88" s="3" t="s">
        <v>316</v>
      </c>
      <c r="B88" s="2" t="s">
        <v>317</v>
      </c>
      <c r="C88" s="22">
        <v>24</v>
      </c>
      <c r="D88" s="2" t="s">
        <v>102</v>
      </c>
      <c r="E88" s="25" t="s">
        <v>218</v>
      </c>
      <c r="F88" s="17" t="s">
        <v>318</v>
      </c>
    </row>
    <row r="89" spans="1:6" ht="26.25" customHeight="1" x14ac:dyDescent="0.2">
      <c r="A89" s="3" t="s">
        <v>319</v>
      </c>
      <c r="B89" s="2" t="s">
        <v>320</v>
      </c>
      <c r="C89" s="22">
        <v>45</v>
      </c>
      <c r="D89" s="2" t="s">
        <v>321</v>
      </c>
      <c r="E89" s="25" t="s">
        <v>218</v>
      </c>
      <c r="F89" s="17" t="s">
        <v>322</v>
      </c>
    </row>
    <row r="90" spans="1:6" ht="26.25" customHeight="1" x14ac:dyDescent="0.2">
      <c r="A90" s="3" t="s">
        <v>323</v>
      </c>
      <c r="B90" s="2" t="s">
        <v>324</v>
      </c>
      <c r="C90" s="22">
        <v>55</v>
      </c>
      <c r="D90" s="2" t="s">
        <v>321</v>
      </c>
      <c r="E90" s="25" t="s">
        <v>218</v>
      </c>
      <c r="F90" s="17" t="s">
        <v>325</v>
      </c>
    </row>
    <row r="91" spans="1:6" ht="15" customHeight="1" x14ac:dyDescent="0.2">
      <c r="A91" s="3" t="s">
        <v>326</v>
      </c>
      <c r="B91" s="2" t="s">
        <v>327</v>
      </c>
      <c r="C91" s="23">
        <v>0.25</v>
      </c>
      <c r="D91" s="2" t="s">
        <v>21</v>
      </c>
      <c r="E91" s="21" t="s">
        <v>139</v>
      </c>
      <c r="F91" s="17" t="s">
        <v>328</v>
      </c>
    </row>
    <row r="92" spans="1:6" ht="26.25" customHeight="1" x14ac:dyDescent="0.2">
      <c r="A92" s="3" t="s">
        <v>329</v>
      </c>
      <c r="B92" s="2" t="s">
        <v>330</v>
      </c>
      <c r="C92" s="22">
        <v>0.15</v>
      </c>
      <c r="D92" s="2" t="s">
        <v>143</v>
      </c>
      <c r="E92" s="25" t="s">
        <v>218</v>
      </c>
      <c r="F92" s="17" t="s">
        <v>331</v>
      </c>
    </row>
    <row r="93" spans="1:6" ht="15" customHeight="1" x14ac:dyDescent="0.2">
      <c r="A93" s="3" t="s">
        <v>332</v>
      </c>
      <c r="B93" s="2" t="s">
        <v>333</v>
      </c>
      <c r="C93" s="16">
        <v>1</v>
      </c>
      <c r="D93" s="2" t="s">
        <v>138</v>
      </c>
      <c r="E93" s="2" t="s">
        <v>94</v>
      </c>
      <c r="F93" s="17" t="s">
        <v>334</v>
      </c>
    </row>
    <row r="94" spans="1:6" ht="15" customHeight="1" x14ac:dyDescent="0.2">
      <c r="A94" s="3" t="s">
        <v>335</v>
      </c>
      <c r="B94" s="2" t="s">
        <v>336</v>
      </c>
      <c r="C94" s="16">
        <v>1</v>
      </c>
      <c r="D94" s="2" t="s">
        <v>138</v>
      </c>
      <c r="E94" s="2" t="s">
        <v>94</v>
      </c>
      <c r="F94" s="17" t="s">
        <v>334</v>
      </c>
    </row>
    <row r="95" spans="1:6" ht="15" customHeight="1" x14ac:dyDescent="0.2">
      <c r="A95" s="3" t="s">
        <v>337</v>
      </c>
      <c r="B95" s="2" t="s">
        <v>338</v>
      </c>
      <c r="C95" s="20">
        <v>1</v>
      </c>
      <c r="D95" s="2" t="s">
        <v>138</v>
      </c>
      <c r="E95" s="25" t="s">
        <v>218</v>
      </c>
      <c r="F95" s="17" t="s">
        <v>339</v>
      </c>
    </row>
    <row r="96" spans="1:6" ht="15" customHeight="1" x14ac:dyDescent="0.2">
      <c r="A96" s="3" t="s">
        <v>340</v>
      </c>
      <c r="B96" s="2" t="s">
        <v>341</v>
      </c>
      <c r="C96" s="26">
        <v>2.5</v>
      </c>
      <c r="D96" s="2" t="s">
        <v>342</v>
      </c>
      <c r="E96" s="2" t="s">
        <v>94</v>
      </c>
      <c r="F96" s="17" t="s">
        <v>343</v>
      </c>
    </row>
    <row r="97" spans="1:6" ht="15" customHeight="1" x14ac:dyDescent="0.2">
      <c r="A97" s="3" t="s">
        <v>344</v>
      </c>
      <c r="B97" s="2" t="s">
        <v>345</v>
      </c>
      <c r="C97" s="23">
        <v>0.3</v>
      </c>
      <c r="D97" s="2" t="s">
        <v>21</v>
      </c>
      <c r="E97" s="21" t="s">
        <v>139</v>
      </c>
      <c r="F97" s="17" t="s">
        <v>346</v>
      </c>
    </row>
    <row r="98" spans="1:6" ht="26.25" customHeight="1" x14ac:dyDescent="0.2">
      <c r="A98" s="3" t="s">
        <v>347</v>
      </c>
      <c r="B98" s="2" t="s">
        <v>348</v>
      </c>
      <c r="C98" s="23">
        <v>1</v>
      </c>
      <c r="D98" s="2" t="s">
        <v>21</v>
      </c>
      <c r="E98" s="21" t="s">
        <v>139</v>
      </c>
      <c r="F98" s="17" t="s">
        <v>349</v>
      </c>
    </row>
    <row r="100" spans="1:6" x14ac:dyDescent="0.2">
      <c r="A100" s="6" t="s">
        <v>350</v>
      </c>
    </row>
    <row r="101" spans="1:6" x14ac:dyDescent="0.2">
      <c r="A101" s="3" t="s">
        <v>351</v>
      </c>
      <c r="B101" s="2" t="s">
        <v>352</v>
      </c>
      <c r="C101" s="48">
        <v>1</v>
      </c>
      <c r="D101" s="2" t="s">
        <v>138</v>
      </c>
      <c r="E101" s="21" t="s">
        <v>218</v>
      </c>
      <c r="F101" s="17" t="s">
        <v>353</v>
      </c>
    </row>
    <row r="102" spans="1:6" x14ac:dyDescent="0.2">
      <c r="A102" s="3" t="s">
        <v>354</v>
      </c>
      <c r="B102" s="2" t="s">
        <v>355</v>
      </c>
      <c r="C102" s="24" t="s">
        <v>356</v>
      </c>
      <c r="D102" s="2" t="s">
        <v>217</v>
      </c>
      <c r="E102" s="25" t="s">
        <v>218</v>
      </c>
      <c r="F102" s="17" t="s">
        <v>357</v>
      </c>
    </row>
    <row r="103" spans="1:6" x14ac:dyDescent="0.2">
      <c r="A103" s="3" t="s">
        <v>358</v>
      </c>
      <c r="B103" s="2" t="s">
        <v>359</v>
      </c>
      <c r="C103" s="48">
        <v>1</v>
      </c>
      <c r="D103" s="2" t="s">
        <v>138</v>
      </c>
      <c r="E103" s="21" t="s">
        <v>218</v>
      </c>
      <c r="F103" s="17" t="s">
        <v>360</v>
      </c>
    </row>
    <row r="104" spans="1:6" x14ac:dyDescent="0.2">
      <c r="A104" s="6" t="s">
        <v>361</v>
      </c>
    </row>
    <row r="105" spans="1:6" x14ac:dyDescent="0.2">
      <c r="A105" s="3" t="s">
        <v>362</v>
      </c>
      <c r="B105" s="2" t="s">
        <v>363</v>
      </c>
      <c r="C105" s="48">
        <v>1</v>
      </c>
      <c r="D105" s="2" t="s">
        <v>138</v>
      </c>
      <c r="E105" s="21" t="s">
        <v>218</v>
      </c>
      <c r="F105" s="17" t="s">
        <v>364</v>
      </c>
    </row>
    <row r="106" spans="1:6" x14ac:dyDescent="0.2">
      <c r="A106" s="3" t="s">
        <v>365</v>
      </c>
      <c r="B106" s="2" t="s">
        <v>366</v>
      </c>
      <c r="C106" s="48">
        <v>1</v>
      </c>
      <c r="D106" s="2" t="s">
        <v>138</v>
      </c>
      <c r="E106" s="21" t="s">
        <v>218</v>
      </c>
      <c r="F106" s="17" t="s">
        <v>367</v>
      </c>
    </row>
    <row r="107" spans="1:6" x14ac:dyDescent="0.2">
      <c r="A107" s="3" t="s">
        <v>368</v>
      </c>
      <c r="B107" s="2" t="s">
        <v>369</v>
      </c>
      <c r="C107" s="24" t="s">
        <v>216</v>
      </c>
      <c r="D107" s="2" t="s">
        <v>217</v>
      </c>
      <c r="E107" s="25" t="s">
        <v>218</v>
      </c>
      <c r="F107" s="17" t="s">
        <v>370</v>
      </c>
    </row>
    <row r="108" spans="1:6" x14ac:dyDescent="0.2">
      <c r="A108" s="3" t="s">
        <v>371</v>
      </c>
      <c r="B108" s="2" t="s">
        <v>372</v>
      </c>
      <c r="C108" s="49">
        <v>0.18</v>
      </c>
      <c r="D108" s="2" t="s">
        <v>21</v>
      </c>
      <c r="E108" s="21" t="s">
        <v>139</v>
      </c>
      <c r="F108" s="17" t="s">
        <v>373</v>
      </c>
    </row>
    <row r="109" spans="1:6" x14ac:dyDescent="0.2">
      <c r="A109" s="3" t="s">
        <v>374</v>
      </c>
      <c r="B109" s="2" t="s">
        <v>375</v>
      </c>
      <c r="C109" s="50">
        <v>5.73</v>
      </c>
      <c r="D109" s="2" t="s">
        <v>110</v>
      </c>
      <c r="E109" s="21" t="s">
        <v>94</v>
      </c>
      <c r="F109" s="17" t="s">
        <v>376</v>
      </c>
    </row>
    <row r="110" spans="1:6" x14ac:dyDescent="0.2">
      <c r="A110" s="3" t="s">
        <v>377</v>
      </c>
      <c r="B110" s="2" t="s">
        <v>378</v>
      </c>
      <c r="C110" s="50">
        <v>5.73</v>
      </c>
      <c r="D110" s="2" t="s">
        <v>110</v>
      </c>
      <c r="E110" s="21" t="s">
        <v>94</v>
      </c>
      <c r="F110" s="17" t="s">
        <v>379</v>
      </c>
    </row>
    <row r="111" spans="1:6" x14ac:dyDescent="0.2">
      <c r="A111" s="3" t="s">
        <v>380</v>
      </c>
      <c r="B111" s="2" t="s">
        <v>381</v>
      </c>
      <c r="C111" s="50">
        <v>7</v>
      </c>
      <c r="D111" s="2" t="s">
        <v>110</v>
      </c>
      <c r="E111" s="21" t="s">
        <v>139</v>
      </c>
      <c r="F111" s="17" t="s">
        <v>382</v>
      </c>
    </row>
    <row r="112" spans="1:6" x14ac:dyDescent="0.2">
      <c r="A112" s="3" t="s">
        <v>383</v>
      </c>
      <c r="B112" s="2" t="s">
        <v>384</v>
      </c>
      <c r="C112" s="50">
        <v>9</v>
      </c>
      <c r="D112" s="2" t="s">
        <v>110</v>
      </c>
      <c r="E112" s="21" t="s">
        <v>139</v>
      </c>
      <c r="F112" s="17" t="s">
        <v>385</v>
      </c>
    </row>
    <row r="113" spans="1:6" x14ac:dyDescent="0.2">
      <c r="A113" s="3" t="s">
        <v>386</v>
      </c>
      <c r="B113" s="2" t="s">
        <v>387</v>
      </c>
      <c r="C113" s="50">
        <v>3</v>
      </c>
      <c r="D113" s="2" t="s">
        <v>110</v>
      </c>
      <c r="E113" s="21" t="s">
        <v>218</v>
      </c>
      <c r="F113" s="17" t="s">
        <v>388</v>
      </c>
    </row>
    <row r="114" spans="1:6" x14ac:dyDescent="0.2">
      <c r="A114" s="3" t="s">
        <v>389</v>
      </c>
      <c r="B114" s="2" t="s">
        <v>390</v>
      </c>
      <c r="C114" s="24" t="s">
        <v>67</v>
      </c>
      <c r="D114" s="2" t="s">
        <v>217</v>
      </c>
      <c r="E114" s="25" t="s">
        <v>218</v>
      </c>
      <c r="F114" s="17" t="s">
        <v>391</v>
      </c>
    </row>
    <row r="115" spans="1:6" x14ac:dyDescent="0.2">
      <c r="A115" s="3" t="s">
        <v>392</v>
      </c>
      <c r="B115" s="2" t="s">
        <v>393</v>
      </c>
      <c r="C115" s="24" t="s">
        <v>68</v>
      </c>
      <c r="D115" s="2" t="s">
        <v>217</v>
      </c>
      <c r="E115" s="25" t="s">
        <v>218</v>
      </c>
      <c r="F115" s="17" t="s">
        <v>370</v>
      </c>
    </row>
    <row r="116" spans="1:6" x14ac:dyDescent="0.2">
      <c r="A116" s="3" t="s">
        <v>394</v>
      </c>
      <c r="B116" s="2" t="s">
        <v>395</v>
      </c>
      <c r="C116" s="50">
        <v>8</v>
      </c>
      <c r="D116" s="2" t="s">
        <v>110</v>
      </c>
      <c r="E116" s="21" t="s">
        <v>139</v>
      </c>
      <c r="F116" s="17" t="s">
        <v>396</v>
      </c>
    </row>
    <row r="117" spans="1:6" x14ac:dyDescent="0.2">
      <c r="A117" s="3" t="s">
        <v>397</v>
      </c>
      <c r="B117" s="2" t="s">
        <v>398</v>
      </c>
      <c r="C117" s="24" t="s">
        <v>68</v>
      </c>
      <c r="D117" s="2" t="s">
        <v>217</v>
      </c>
      <c r="E117" s="25" t="s">
        <v>218</v>
      </c>
      <c r="F117" s="17" t="s">
        <v>399</v>
      </c>
    </row>
    <row r="118" spans="1:6" x14ac:dyDescent="0.2">
      <c r="A118" s="3" t="s">
        <v>400</v>
      </c>
      <c r="B118" s="2" t="s">
        <v>401</v>
      </c>
      <c r="C118" s="24" t="s">
        <v>402</v>
      </c>
      <c r="D118" s="2" t="s">
        <v>217</v>
      </c>
      <c r="E118" s="25" t="s">
        <v>218</v>
      </c>
      <c r="F118" s="17" t="s">
        <v>403</v>
      </c>
    </row>
    <row r="119" spans="1:6" x14ac:dyDescent="0.2">
      <c r="A119" s="3" t="s">
        <v>404</v>
      </c>
      <c r="B119" s="2" t="s">
        <v>405</v>
      </c>
      <c r="C119" s="48">
        <v>1</v>
      </c>
      <c r="D119" s="2" t="s">
        <v>162</v>
      </c>
      <c r="E119" s="21" t="s">
        <v>218</v>
      </c>
      <c r="F119" s="17" t="s">
        <v>406</v>
      </c>
    </row>
  </sheetData>
  <mergeCells count="1">
    <mergeCell ref="A2:F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6"/>
  <sheetViews>
    <sheetView zoomScaleNormal="100" workbookViewId="0">
      <pane xSplit="4" ySplit="4" topLeftCell="E5" activePane="bottomRight" state="frozen"/>
      <selection pane="topRight" activeCell="E1" sqref="E1"/>
      <selection pane="bottomLeft" activeCell="A5" sqref="A5"/>
      <selection pane="bottomRight"/>
    </sheetView>
  </sheetViews>
  <sheetFormatPr baseColWidth="10" defaultColWidth="8.6640625" defaultRowHeight="15" x14ac:dyDescent="0.2"/>
  <cols>
    <col min="1" max="1" width="52" customWidth="1"/>
    <col min="2" max="2" width="14" customWidth="1"/>
    <col min="3" max="19" width="10.5" customWidth="1"/>
  </cols>
  <sheetData>
    <row r="1" spans="1:19" ht="17.25" customHeight="1" x14ac:dyDescent="0.2">
      <c r="A1" s="1" t="s">
        <v>407</v>
      </c>
      <c r="B1" s="2"/>
      <c r="C1" s="2"/>
      <c r="D1" s="2"/>
      <c r="E1" s="2"/>
      <c r="F1" s="2"/>
      <c r="G1" s="2"/>
      <c r="H1" s="2"/>
      <c r="I1" s="2"/>
      <c r="J1" s="2"/>
      <c r="K1" s="2"/>
      <c r="L1" s="2"/>
      <c r="M1" s="2"/>
      <c r="N1" s="2"/>
      <c r="O1" s="2"/>
      <c r="P1" s="2"/>
      <c r="Q1" s="2"/>
      <c r="R1" s="2"/>
      <c r="S1" s="2"/>
    </row>
    <row r="2" spans="1:19" ht="15" customHeight="1" x14ac:dyDescent="0.2">
      <c r="A2" s="3" t="s">
        <v>408</v>
      </c>
      <c r="B2" s="2"/>
      <c r="C2" s="2"/>
      <c r="D2" s="2"/>
      <c r="E2" s="2"/>
      <c r="F2" s="2"/>
      <c r="G2" s="2"/>
      <c r="H2" s="2"/>
      <c r="I2" s="2"/>
      <c r="J2" s="2"/>
      <c r="K2" s="2"/>
      <c r="L2" s="2"/>
      <c r="M2" s="2"/>
      <c r="N2" s="2"/>
      <c r="O2" s="2"/>
      <c r="P2" s="2"/>
      <c r="Q2" s="2"/>
      <c r="R2" s="2"/>
      <c r="S2" s="2"/>
    </row>
    <row r="3" spans="1:19" ht="15" customHeight="1" x14ac:dyDescent="0.2">
      <c r="A3" s="2"/>
      <c r="B3" s="2"/>
      <c r="C3" s="2"/>
      <c r="D3" s="2"/>
      <c r="E3" s="2"/>
      <c r="F3" s="2"/>
      <c r="G3" s="2"/>
      <c r="H3" s="2"/>
      <c r="I3" s="2"/>
      <c r="J3" s="2"/>
      <c r="K3" s="2"/>
      <c r="L3" s="2"/>
      <c r="M3" s="2"/>
      <c r="N3" s="2"/>
      <c r="O3" s="2"/>
      <c r="P3" s="2"/>
      <c r="Q3" s="2"/>
      <c r="R3" s="2"/>
      <c r="S3" s="2"/>
    </row>
    <row r="4" spans="1:19" ht="15" customHeight="1" x14ac:dyDescent="0.2">
      <c r="A4" s="27" t="s">
        <v>409</v>
      </c>
      <c r="B4" s="27" t="s">
        <v>6</v>
      </c>
      <c r="C4" s="27" t="s">
        <v>410</v>
      </c>
      <c r="D4" s="27" t="s">
        <v>411</v>
      </c>
      <c r="E4" s="27" t="s">
        <v>66</v>
      </c>
      <c r="F4" s="27" t="s">
        <v>412</v>
      </c>
      <c r="G4" s="27" t="s">
        <v>413</v>
      </c>
      <c r="H4" s="27" t="s">
        <v>216</v>
      </c>
      <c r="I4" s="27" t="s">
        <v>414</v>
      </c>
      <c r="J4" s="27" t="s">
        <v>356</v>
      </c>
      <c r="K4" s="27" t="s">
        <v>67</v>
      </c>
      <c r="L4" s="27" t="s">
        <v>415</v>
      </c>
      <c r="M4" s="27" t="s">
        <v>416</v>
      </c>
      <c r="N4" s="27" t="s">
        <v>68</v>
      </c>
      <c r="O4" s="27" t="s">
        <v>417</v>
      </c>
      <c r="P4" s="27" t="s">
        <v>418</v>
      </c>
      <c r="Q4" s="27" t="s">
        <v>402</v>
      </c>
      <c r="R4" s="27" t="s">
        <v>419</v>
      </c>
      <c r="S4" s="27" t="s">
        <v>420</v>
      </c>
    </row>
    <row r="5" spans="1:19" ht="15" customHeight="1" x14ac:dyDescent="0.2">
      <c r="A5" s="6" t="s">
        <v>421</v>
      </c>
      <c r="B5" s="7"/>
      <c r="C5" s="7"/>
      <c r="D5" s="7"/>
      <c r="E5" s="7"/>
      <c r="F5" s="7"/>
      <c r="G5" s="7"/>
      <c r="H5" s="7"/>
      <c r="I5" s="7"/>
      <c r="J5" s="7"/>
      <c r="K5" s="7"/>
      <c r="L5" s="7"/>
      <c r="M5" s="7"/>
      <c r="N5" s="7"/>
      <c r="O5" s="7"/>
      <c r="P5" s="7"/>
      <c r="Q5" s="7"/>
      <c r="R5" s="7"/>
      <c r="S5" s="7"/>
    </row>
    <row r="6" spans="1:19" ht="15" customHeight="1" x14ac:dyDescent="0.2">
      <c r="A6" s="28" t="s">
        <v>422</v>
      </c>
      <c r="B6" s="3" t="s">
        <v>423</v>
      </c>
      <c r="C6" s="29"/>
      <c r="D6" s="29"/>
      <c r="E6" s="10">
        <v>1</v>
      </c>
      <c r="F6" s="10">
        <v>2</v>
      </c>
      <c r="G6" s="10">
        <v>3</v>
      </c>
      <c r="H6" s="10">
        <v>4</v>
      </c>
      <c r="I6" s="10">
        <v>5</v>
      </c>
      <c r="J6" s="10">
        <v>6</v>
      </c>
      <c r="K6" s="10">
        <v>7</v>
      </c>
      <c r="L6" s="10">
        <v>8</v>
      </c>
      <c r="M6" s="10">
        <v>9</v>
      </c>
      <c r="N6" s="10">
        <v>10</v>
      </c>
      <c r="O6" s="10">
        <v>11</v>
      </c>
      <c r="P6" s="10">
        <v>12</v>
      </c>
      <c r="Q6" s="10">
        <v>13</v>
      </c>
      <c r="R6" s="10">
        <v>14</v>
      </c>
      <c r="S6" s="10">
        <v>15</v>
      </c>
    </row>
    <row r="7" spans="1:19" ht="15" customHeight="1" x14ac:dyDescent="0.2">
      <c r="A7" s="28" t="s">
        <v>424</v>
      </c>
      <c r="B7" s="3" t="s">
        <v>425</v>
      </c>
      <c r="C7" s="29"/>
      <c r="D7" s="29"/>
      <c r="E7" s="10">
        <v>0</v>
      </c>
      <c r="F7" s="10">
        <v>0</v>
      </c>
      <c r="G7" s="10">
        <v>0</v>
      </c>
      <c r="H7" s="10">
        <v>1</v>
      </c>
      <c r="I7" s="10">
        <v>1</v>
      </c>
      <c r="J7" s="10">
        <v>1</v>
      </c>
      <c r="K7" s="10">
        <v>1</v>
      </c>
      <c r="L7" s="10">
        <v>1</v>
      </c>
      <c r="M7" s="10">
        <v>1</v>
      </c>
      <c r="N7" s="10">
        <v>1</v>
      </c>
      <c r="O7" s="10">
        <v>1</v>
      </c>
      <c r="P7" s="10">
        <v>1</v>
      </c>
      <c r="Q7" s="10">
        <v>1</v>
      </c>
      <c r="R7" s="10">
        <v>1</v>
      </c>
      <c r="S7" s="10">
        <v>1</v>
      </c>
    </row>
    <row r="8" spans="1:19" ht="15" customHeight="1" x14ac:dyDescent="0.2">
      <c r="A8" s="28" t="s">
        <v>426</v>
      </c>
      <c r="B8" s="3" t="s">
        <v>425</v>
      </c>
      <c r="C8" s="29"/>
      <c r="D8" s="29"/>
      <c r="E8" s="10">
        <v>0</v>
      </c>
      <c r="F8" s="10">
        <v>0</v>
      </c>
      <c r="G8" s="10">
        <v>0</v>
      </c>
      <c r="H8" s="10">
        <v>1</v>
      </c>
      <c r="I8" s="10">
        <v>1</v>
      </c>
      <c r="J8" s="10">
        <v>1</v>
      </c>
      <c r="K8" s="10">
        <v>1</v>
      </c>
      <c r="L8" s="10">
        <v>1</v>
      </c>
      <c r="M8" s="10">
        <v>1</v>
      </c>
      <c r="N8" s="10">
        <v>0</v>
      </c>
      <c r="O8" s="10">
        <v>0</v>
      </c>
      <c r="P8" s="10">
        <v>0</v>
      </c>
      <c r="Q8" s="10">
        <v>0</v>
      </c>
      <c r="R8" s="10">
        <v>0</v>
      </c>
      <c r="S8" s="10">
        <v>0</v>
      </c>
    </row>
    <row r="9" spans="1:19" ht="15" customHeight="1" x14ac:dyDescent="0.2">
      <c r="A9" s="28" t="s">
        <v>427</v>
      </c>
      <c r="B9" s="3" t="s">
        <v>425</v>
      </c>
      <c r="C9" s="29"/>
      <c r="D9" s="29"/>
      <c r="E9" s="10">
        <f>IF(AND(OR(Inputs!$C$6=2,Inputs!$C$6=4),E8=1),0,1)</f>
        <v>1</v>
      </c>
      <c r="F9" s="10">
        <f>IF(AND(OR(Inputs!$C$6=2,Inputs!$C$6=4),F8=1),0,1)</f>
        <v>1</v>
      </c>
      <c r="G9" s="10">
        <f>IF(AND(OR(Inputs!$C$6=2,Inputs!$C$6=4),G8=1),0,1)</f>
        <v>1</v>
      </c>
      <c r="H9" s="10">
        <f>IF(AND(OR(Inputs!$C$6=2,Inputs!$C$6=4),H8=1),0,1)</f>
        <v>1</v>
      </c>
      <c r="I9" s="10">
        <f>IF(AND(OR(Inputs!$C$6=2,Inputs!$C$6=4),I8=1),0,1)</f>
        <v>1</v>
      </c>
      <c r="J9" s="10">
        <f>IF(AND(OR(Inputs!$C$6=2,Inputs!$C$6=4),J8=1),0,1)</f>
        <v>1</v>
      </c>
      <c r="K9" s="10">
        <f>IF(AND(OR(Inputs!$C$6=2,Inputs!$C$6=4),K8=1),0,1)</f>
        <v>1</v>
      </c>
      <c r="L9" s="10">
        <f>IF(AND(OR(Inputs!$C$6=2,Inputs!$C$6=4),L8=1),0,1)</f>
        <v>1</v>
      </c>
      <c r="M9" s="10">
        <f>IF(AND(OR(Inputs!$C$6=2,Inputs!$C$6=4),M8=1),0,1)</f>
        <v>1</v>
      </c>
      <c r="N9" s="10">
        <f>IF(AND(OR(Inputs!$C$6=2,Inputs!$C$6=4),N8=1),0,1)</f>
        <v>1</v>
      </c>
      <c r="O9" s="10">
        <f>IF(AND(OR(Inputs!$C$6=2,Inputs!$C$6=4),O8=1),0,1)</f>
        <v>1</v>
      </c>
      <c r="P9" s="10">
        <f>IF(AND(OR(Inputs!$C$6=2,Inputs!$C$6=4),P8=1),0,1)</f>
        <v>1</v>
      </c>
      <c r="Q9" s="10">
        <f>IF(AND(OR(Inputs!$C$6=2,Inputs!$C$6=4),Q8=1),0,1)</f>
        <v>1</v>
      </c>
      <c r="R9" s="10">
        <f>IF(AND(OR(Inputs!$C$6=2,Inputs!$C$6=4),R8=1),0,1)</f>
        <v>1</v>
      </c>
      <c r="S9" s="10">
        <f>IF(AND(OR(Inputs!$C$6=2,Inputs!$C$6=4),S8=1),0,1)</f>
        <v>1</v>
      </c>
    </row>
    <row r="10" spans="1:19" ht="15" customHeight="1" x14ac:dyDescent="0.2">
      <c r="A10" s="28" t="s">
        <v>428</v>
      </c>
      <c r="B10" s="3" t="s">
        <v>342</v>
      </c>
      <c r="C10" s="30"/>
      <c r="D10" s="30"/>
      <c r="E10" s="9">
        <f>IF(OR(Inputs!$C$6=3,Inputs!$C$6=4),1-Inputs!$C$7,1)</f>
        <v>1</v>
      </c>
      <c r="F10" s="9">
        <f>IF(OR(Inputs!$C$6=3,Inputs!$C$6=4),1-Inputs!$C$7,1)</f>
        <v>1</v>
      </c>
      <c r="G10" s="9">
        <f>IF(OR(Inputs!$C$6=3,Inputs!$C$6=4),1-Inputs!$C$7,1)</f>
        <v>1</v>
      </c>
      <c r="H10" s="9">
        <f>IF(OR(Inputs!$C$6=3,Inputs!$C$6=4),1-Inputs!$C$7,1)</f>
        <v>1</v>
      </c>
      <c r="I10" s="9">
        <f>IF(OR(Inputs!$C$6=3,Inputs!$C$6=4),1-Inputs!$C$7,1)</f>
        <v>1</v>
      </c>
      <c r="J10" s="9">
        <f>IF(OR(Inputs!$C$6=3,Inputs!$C$6=4),1-Inputs!$C$7,1)</f>
        <v>1</v>
      </c>
      <c r="K10" s="9">
        <f>IF(OR(Inputs!$C$6=3,Inputs!$C$6=4),1-Inputs!$C$7,1)</f>
        <v>1</v>
      </c>
      <c r="L10" s="9">
        <f>IF(OR(Inputs!$C$6=3,Inputs!$C$6=4),1-Inputs!$C$7,1)</f>
        <v>1</v>
      </c>
      <c r="M10" s="9">
        <f>IF(OR(Inputs!$C$6=3,Inputs!$C$6=4),1-Inputs!$C$7,1)</f>
        <v>1</v>
      </c>
      <c r="N10" s="9">
        <f>IF(OR(Inputs!$C$6=3,Inputs!$C$6=4),1-Inputs!$C$7,1)</f>
        <v>1</v>
      </c>
      <c r="O10" s="9">
        <f>IF(OR(Inputs!$C$6=3,Inputs!$C$6=4),1-Inputs!$C$7,1)</f>
        <v>1</v>
      </c>
      <c r="P10" s="9">
        <f>IF(OR(Inputs!$C$6=3,Inputs!$C$6=4),1-Inputs!$C$7,1)</f>
        <v>1</v>
      </c>
      <c r="Q10" s="9">
        <f>IF(OR(Inputs!$C$6=3,Inputs!$C$6=4),1-Inputs!$C$7,1)</f>
        <v>1</v>
      </c>
      <c r="R10" s="9">
        <f>IF(OR(Inputs!$C$6=3,Inputs!$C$6=4),1-Inputs!$C$7,1)</f>
        <v>1</v>
      </c>
      <c r="S10" s="9">
        <f>IF(OR(Inputs!$C$6=3,Inputs!$C$6=4),1-Inputs!$C$7,1)</f>
        <v>1</v>
      </c>
    </row>
    <row r="11" spans="1:19" ht="15" customHeight="1" x14ac:dyDescent="0.2">
      <c r="A11" s="28" t="s">
        <v>429</v>
      </c>
      <c r="B11" s="3" t="s">
        <v>425</v>
      </c>
      <c r="C11" s="29"/>
      <c r="D11" s="29"/>
      <c r="E11" s="10">
        <f>IF(AND(Inputs!$C$85=2,E6&gt;=IFERROR(MATCH(Inputs!$C$86,$E$4:$S$4,0),99)),1,0)</f>
        <v>0</v>
      </c>
      <c r="F11" s="10">
        <f>IF(AND(Inputs!$C$85=2,F6&gt;=IFERROR(MATCH(Inputs!$C$86,$E$4:$S$4,0),99)),1,0)</f>
        <v>0</v>
      </c>
      <c r="G11" s="10">
        <f>IF(AND(Inputs!$C$85=2,G6&gt;=IFERROR(MATCH(Inputs!$C$86,$E$4:$S$4,0),99)),1,0)</f>
        <v>0</v>
      </c>
      <c r="H11" s="10">
        <f>IF(AND(Inputs!$C$85=2,H6&gt;=IFERROR(MATCH(Inputs!$C$86,$E$4:$S$4,0),99)),1,0)</f>
        <v>1</v>
      </c>
      <c r="I11" s="10">
        <f>IF(AND(Inputs!$C$85=2,I6&gt;=IFERROR(MATCH(Inputs!$C$86,$E$4:$S$4,0),99)),1,0)</f>
        <v>1</v>
      </c>
      <c r="J11" s="10">
        <f>IF(AND(Inputs!$C$85=2,J6&gt;=IFERROR(MATCH(Inputs!$C$86,$E$4:$S$4,0),99)),1,0)</f>
        <v>1</v>
      </c>
      <c r="K11" s="10">
        <f>IF(AND(Inputs!$C$85=2,K6&gt;=IFERROR(MATCH(Inputs!$C$86,$E$4:$S$4,0),99)),1,0)</f>
        <v>1</v>
      </c>
      <c r="L11" s="10">
        <f>IF(AND(Inputs!$C$85=2,L6&gt;=IFERROR(MATCH(Inputs!$C$86,$E$4:$S$4,0),99)),1,0)</f>
        <v>1</v>
      </c>
      <c r="M11" s="10">
        <f>IF(AND(Inputs!$C$85=2,M6&gt;=IFERROR(MATCH(Inputs!$C$86,$E$4:$S$4,0),99)),1,0)</f>
        <v>1</v>
      </c>
      <c r="N11" s="10">
        <f>IF(AND(Inputs!$C$85=2,N6&gt;=IFERROR(MATCH(Inputs!$C$86,$E$4:$S$4,0),99)),1,0)</f>
        <v>1</v>
      </c>
      <c r="O11" s="10">
        <f>IF(AND(Inputs!$C$85=2,O6&gt;=IFERROR(MATCH(Inputs!$C$86,$E$4:$S$4,0),99)),1,0)</f>
        <v>1</v>
      </c>
      <c r="P11" s="10">
        <f>IF(AND(Inputs!$C$85=2,P6&gt;=IFERROR(MATCH(Inputs!$C$86,$E$4:$S$4,0),99)),1,0)</f>
        <v>1</v>
      </c>
      <c r="Q11" s="10">
        <f>IF(AND(Inputs!$C$85=2,Q6&gt;=IFERROR(MATCH(Inputs!$C$86,$E$4:$S$4,0),99)),1,0)</f>
        <v>1</v>
      </c>
      <c r="R11" s="10">
        <f>IF(AND(Inputs!$C$85=2,R6&gt;=IFERROR(MATCH(Inputs!$C$86,$E$4:$S$4,0),99)),1,0)</f>
        <v>1</v>
      </c>
      <c r="S11" s="10">
        <f>IF(AND(Inputs!$C$85=2,S6&gt;=IFERROR(MATCH(Inputs!$C$86,$E$4:$S$4,0),99)),1,0)</f>
        <v>1</v>
      </c>
    </row>
    <row r="12" spans="1:19" ht="15" customHeight="1" x14ac:dyDescent="0.2">
      <c r="A12" s="28" t="s">
        <v>430</v>
      </c>
      <c r="B12" s="3" t="s">
        <v>342</v>
      </c>
      <c r="C12" s="30"/>
      <c r="D12" s="30"/>
      <c r="E12" s="9">
        <f>IF(E11=1,Inputs!$C$98,1)</f>
        <v>1</v>
      </c>
      <c r="F12" s="9">
        <f>IF(F11=1,Inputs!$C$98,1)</f>
        <v>1</v>
      </c>
      <c r="G12" s="9">
        <f>IF(G11=1,Inputs!$C$98,1)</f>
        <v>1</v>
      </c>
      <c r="H12" s="9">
        <f>IF(H11=1,Inputs!$C$98,1)</f>
        <v>1</v>
      </c>
      <c r="I12" s="9">
        <f>IF(I11=1,Inputs!$C$98,1)</f>
        <v>1</v>
      </c>
      <c r="J12" s="9">
        <f>IF(J11=1,Inputs!$C$98,1)</f>
        <v>1</v>
      </c>
      <c r="K12" s="9">
        <f>IF(K11=1,Inputs!$C$98,1)</f>
        <v>1</v>
      </c>
      <c r="L12" s="9">
        <f>IF(L11=1,Inputs!$C$98,1)</f>
        <v>1</v>
      </c>
      <c r="M12" s="9">
        <f>IF(M11=1,Inputs!$C$98,1)</f>
        <v>1</v>
      </c>
      <c r="N12" s="9">
        <f>IF(N11=1,Inputs!$C$98,1)</f>
        <v>1</v>
      </c>
      <c r="O12" s="9">
        <f>IF(O11=1,Inputs!$C$98,1)</f>
        <v>1</v>
      </c>
      <c r="P12" s="9">
        <f>IF(P11=1,Inputs!$C$98,1)</f>
        <v>1</v>
      </c>
      <c r="Q12" s="9">
        <f>IF(Q11=1,Inputs!$C$98,1)</f>
        <v>1</v>
      </c>
      <c r="R12" s="9">
        <f>IF(R11=1,Inputs!$C$98,1)</f>
        <v>1</v>
      </c>
      <c r="S12" s="9">
        <f>IF(S11=1,Inputs!$C$98,1)</f>
        <v>1</v>
      </c>
    </row>
    <row r="13" spans="1:19" ht="15" customHeight="1" x14ac:dyDescent="0.2">
      <c r="A13" s="2"/>
      <c r="B13" s="2"/>
      <c r="C13" s="2"/>
      <c r="D13" s="2"/>
      <c r="E13" s="2"/>
      <c r="F13" s="2"/>
      <c r="G13" s="2"/>
      <c r="H13" s="2"/>
      <c r="I13" s="2"/>
      <c r="J13" s="2"/>
      <c r="K13" s="2"/>
      <c r="L13" s="2"/>
      <c r="M13" s="2"/>
      <c r="N13" s="2"/>
      <c r="O13" s="2"/>
      <c r="P13" s="2"/>
      <c r="Q13" s="2"/>
      <c r="R13" s="2"/>
      <c r="S13" s="2"/>
    </row>
    <row r="14" spans="1:19" ht="15" customHeight="1" x14ac:dyDescent="0.2">
      <c r="A14" s="6" t="s">
        <v>431</v>
      </c>
      <c r="B14" s="7"/>
      <c r="C14" s="7"/>
      <c r="D14" s="7"/>
      <c r="E14" s="7"/>
      <c r="F14" s="7"/>
      <c r="G14" s="7"/>
      <c r="H14" s="7"/>
      <c r="I14" s="7"/>
      <c r="J14" s="7"/>
      <c r="K14" s="7"/>
      <c r="L14" s="7"/>
      <c r="M14" s="7"/>
      <c r="N14" s="7"/>
      <c r="O14" s="7"/>
      <c r="P14" s="7"/>
      <c r="Q14" s="7"/>
      <c r="R14" s="7"/>
      <c r="S14" s="7"/>
    </row>
    <row r="15" spans="1:19" ht="15" customHeight="1" x14ac:dyDescent="0.2">
      <c r="A15" s="28" t="s">
        <v>432</v>
      </c>
      <c r="B15" s="3" t="s">
        <v>26</v>
      </c>
      <c r="C15" s="29">
        <f>SUM(E15:G15)</f>
        <v>1</v>
      </c>
      <c r="D15" s="29">
        <f>SUM(H15:S15)</f>
        <v>5</v>
      </c>
      <c r="E15" s="16">
        <v>0</v>
      </c>
      <c r="F15" s="16">
        <v>1</v>
      </c>
      <c r="G15" s="16">
        <v>0</v>
      </c>
      <c r="H15" s="16">
        <v>0</v>
      </c>
      <c r="I15" s="16">
        <v>0</v>
      </c>
      <c r="J15" s="16">
        <v>1</v>
      </c>
      <c r="K15" s="16">
        <v>0</v>
      </c>
      <c r="L15" s="16">
        <v>1</v>
      </c>
      <c r="M15" s="16">
        <v>0</v>
      </c>
      <c r="N15" s="16">
        <v>1</v>
      </c>
      <c r="O15" s="16">
        <v>0</v>
      </c>
      <c r="P15" s="16">
        <v>1</v>
      </c>
      <c r="Q15" s="16">
        <v>0</v>
      </c>
      <c r="R15" s="16">
        <v>1</v>
      </c>
      <c r="S15" s="16">
        <v>0</v>
      </c>
    </row>
    <row r="16" spans="1:19" ht="15" customHeight="1" x14ac:dyDescent="0.2">
      <c r="A16" s="28" t="s">
        <v>433</v>
      </c>
      <c r="B16" s="3" t="s">
        <v>26</v>
      </c>
      <c r="C16" s="29">
        <f>SUM(E16:G16)</f>
        <v>10</v>
      </c>
      <c r="D16" s="29">
        <f>SUM(H16:S16)</f>
        <v>17</v>
      </c>
      <c r="E16" s="16">
        <v>2</v>
      </c>
      <c r="F16" s="16">
        <v>3</v>
      </c>
      <c r="G16" s="16">
        <v>5</v>
      </c>
      <c r="H16" s="16">
        <v>0</v>
      </c>
      <c r="I16" s="16">
        <v>0</v>
      </c>
      <c r="J16" s="16">
        <v>1</v>
      </c>
      <c r="K16" s="16">
        <v>0</v>
      </c>
      <c r="L16" s="16">
        <v>1</v>
      </c>
      <c r="M16" s="16">
        <v>1</v>
      </c>
      <c r="N16" s="16">
        <v>1</v>
      </c>
      <c r="O16" s="16">
        <v>1</v>
      </c>
      <c r="P16" s="16">
        <v>2</v>
      </c>
      <c r="Q16" s="16">
        <v>2</v>
      </c>
      <c r="R16" s="16">
        <v>3</v>
      </c>
      <c r="S16" s="16">
        <v>5</v>
      </c>
    </row>
    <row r="17" spans="1:19" ht="15" customHeight="1" x14ac:dyDescent="0.2">
      <c r="A17" s="28" t="s">
        <v>434</v>
      </c>
      <c r="B17" s="3" t="s">
        <v>26</v>
      </c>
      <c r="C17" s="29">
        <f>SUM(E17:G17)</f>
        <v>2</v>
      </c>
      <c r="D17" s="29">
        <f>SUM(H17:S17)</f>
        <v>4</v>
      </c>
      <c r="E17" s="16">
        <v>1</v>
      </c>
      <c r="F17" s="16">
        <v>1</v>
      </c>
      <c r="G17" s="16">
        <v>0</v>
      </c>
      <c r="H17" s="16">
        <v>0</v>
      </c>
      <c r="I17" s="16">
        <v>0</v>
      </c>
      <c r="J17" s="16">
        <v>0</v>
      </c>
      <c r="K17" s="16">
        <v>1</v>
      </c>
      <c r="L17" s="16">
        <v>0</v>
      </c>
      <c r="M17" s="16">
        <v>0</v>
      </c>
      <c r="N17" s="16">
        <v>1</v>
      </c>
      <c r="O17" s="16">
        <v>0</v>
      </c>
      <c r="P17" s="16">
        <v>0</v>
      </c>
      <c r="Q17" s="16">
        <v>1</v>
      </c>
      <c r="R17" s="16">
        <v>1</v>
      </c>
      <c r="S17" s="16">
        <v>0</v>
      </c>
    </row>
    <row r="18" spans="1:19" ht="15" customHeight="1" x14ac:dyDescent="0.2">
      <c r="A18" s="28" t="s">
        <v>435</v>
      </c>
      <c r="B18" s="3" t="s">
        <v>436</v>
      </c>
      <c r="C18" s="29">
        <f>MAX(E18:G18)</f>
        <v>1</v>
      </c>
      <c r="D18" s="29">
        <f>MAX(H18:S18)</f>
        <v>1</v>
      </c>
      <c r="E18" s="16">
        <v>1</v>
      </c>
      <c r="F18" s="16">
        <v>1</v>
      </c>
      <c r="G18" s="16">
        <v>1</v>
      </c>
      <c r="H18" s="16">
        <v>1</v>
      </c>
      <c r="I18" s="16">
        <v>1</v>
      </c>
      <c r="J18" s="16">
        <v>1</v>
      </c>
      <c r="K18" s="16">
        <v>1</v>
      </c>
      <c r="L18" s="16">
        <v>1</v>
      </c>
      <c r="M18" s="16">
        <v>1</v>
      </c>
      <c r="N18" s="16">
        <v>1</v>
      </c>
      <c r="O18" s="16">
        <v>1</v>
      </c>
      <c r="P18" s="16">
        <v>1</v>
      </c>
      <c r="Q18" s="16">
        <v>1</v>
      </c>
      <c r="R18" s="16">
        <v>1</v>
      </c>
      <c r="S18" s="16">
        <v>1</v>
      </c>
    </row>
    <row r="19" spans="1:19" ht="15" customHeight="1" x14ac:dyDescent="0.2">
      <c r="A19" s="28" t="s">
        <v>437</v>
      </c>
      <c r="B19" s="3" t="s">
        <v>26</v>
      </c>
      <c r="C19" s="29">
        <f>SUM(E19:G19)</f>
        <v>3</v>
      </c>
      <c r="D19" s="29">
        <f>SUM(H19:S19)</f>
        <v>5</v>
      </c>
      <c r="E19" s="16">
        <v>1</v>
      </c>
      <c r="F19" s="16">
        <v>1</v>
      </c>
      <c r="G19" s="16">
        <v>1</v>
      </c>
      <c r="H19" s="16">
        <v>1</v>
      </c>
      <c r="I19" s="16">
        <v>1</v>
      </c>
      <c r="J19" s="16">
        <v>0</v>
      </c>
      <c r="K19" s="16">
        <v>0</v>
      </c>
      <c r="L19" s="16">
        <v>0</v>
      </c>
      <c r="M19" s="16">
        <v>0</v>
      </c>
      <c r="N19" s="16">
        <v>0</v>
      </c>
      <c r="O19" s="16">
        <v>0</v>
      </c>
      <c r="P19" s="16">
        <v>0</v>
      </c>
      <c r="Q19" s="16">
        <v>1</v>
      </c>
      <c r="R19" s="16">
        <v>1</v>
      </c>
      <c r="S19" s="16">
        <v>1</v>
      </c>
    </row>
    <row r="20" spans="1:19" ht="15" customHeight="1" x14ac:dyDescent="0.2">
      <c r="A20" s="28" t="s">
        <v>438</v>
      </c>
      <c r="B20" s="3" t="s">
        <v>270</v>
      </c>
      <c r="C20" s="29">
        <f>SUM(E20:G20)</f>
        <v>6</v>
      </c>
      <c r="D20" s="29">
        <f>SUM(H20:S20)</f>
        <v>23</v>
      </c>
      <c r="E20" s="16">
        <v>2</v>
      </c>
      <c r="F20" s="16">
        <v>2</v>
      </c>
      <c r="G20" s="16">
        <v>2</v>
      </c>
      <c r="H20" s="16">
        <v>3</v>
      </c>
      <c r="I20" s="16">
        <v>2</v>
      </c>
      <c r="J20" s="16">
        <v>1</v>
      </c>
      <c r="K20" s="16">
        <v>1</v>
      </c>
      <c r="L20" s="16">
        <v>0</v>
      </c>
      <c r="M20" s="16">
        <v>2</v>
      </c>
      <c r="N20" s="16">
        <v>1</v>
      </c>
      <c r="O20" s="16">
        <v>3</v>
      </c>
      <c r="P20" s="16">
        <v>4</v>
      </c>
      <c r="Q20" s="16">
        <v>2</v>
      </c>
      <c r="R20" s="16">
        <v>2</v>
      </c>
      <c r="S20" s="16">
        <v>2</v>
      </c>
    </row>
    <row r="21" spans="1:19" ht="15" customHeight="1" x14ac:dyDescent="0.2">
      <c r="A21" s="2"/>
      <c r="B21" s="2"/>
      <c r="C21" s="2"/>
      <c r="D21" s="2"/>
      <c r="E21" s="2"/>
      <c r="F21" s="2"/>
      <c r="G21" s="2"/>
      <c r="H21" s="2"/>
      <c r="I21" s="2"/>
      <c r="J21" s="2"/>
      <c r="K21" s="2"/>
      <c r="L21" s="2"/>
      <c r="M21" s="2"/>
      <c r="N21" s="2"/>
      <c r="O21" s="2"/>
      <c r="P21" s="2"/>
      <c r="Q21" s="2"/>
      <c r="R21" s="2"/>
      <c r="S21" s="2"/>
    </row>
    <row r="22" spans="1:19" ht="15" customHeight="1" x14ac:dyDescent="0.2">
      <c r="A22" s="6" t="s">
        <v>439</v>
      </c>
      <c r="B22" s="7"/>
      <c r="C22" s="7"/>
      <c r="D22" s="7"/>
      <c r="E22" s="7"/>
      <c r="F22" s="7"/>
      <c r="G22" s="7"/>
      <c r="H22" s="7"/>
      <c r="I22" s="7"/>
      <c r="J22" s="7"/>
      <c r="K22" s="7"/>
      <c r="L22" s="7"/>
      <c r="M22" s="7"/>
      <c r="N22" s="7"/>
      <c r="O22" s="7"/>
      <c r="P22" s="7"/>
      <c r="Q22" s="7"/>
      <c r="R22" s="7"/>
      <c r="S22" s="7"/>
    </row>
    <row r="23" spans="1:19" ht="15" customHeight="1" x14ac:dyDescent="0.2">
      <c r="A23" s="28" t="s">
        <v>432</v>
      </c>
      <c r="B23" s="3" t="s">
        <v>26</v>
      </c>
      <c r="C23" s="31">
        <f>SUM(E23:G23)</f>
        <v>0</v>
      </c>
      <c r="D23" s="31">
        <f>SUM(H23:S23)</f>
        <v>5</v>
      </c>
      <c r="E23" s="8">
        <f t="shared" ref="E23:S23" si="0">E15*E9*E12*E10*(1-E34)</f>
        <v>0</v>
      </c>
      <c r="F23" s="8">
        <f t="shared" si="0"/>
        <v>0</v>
      </c>
      <c r="G23" s="8">
        <f t="shared" si="0"/>
        <v>0</v>
      </c>
      <c r="H23" s="8">
        <f t="shared" si="0"/>
        <v>0</v>
      </c>
      <c r="I23" s="8">
        <f t="shared" si="0"/>
        <v>0</v>
      </c>
      <c r="J23" s="8">
        <f t="shared" si="0"/>
        <v>1</v>
      </c>
      <c r="K23" s="8">
        <f t="shared" si="0"/>
        <v>0</v>
      </c>
      <c r="L23" s="8">
        <f t="shared" si="0"/>
        <v>1</v>
      </c>
      <c r="M23" s="8">
        <f t="shared" si="0"/>
        <v>0</v>
      </c>
      <c r="N23" s="8">
        <f t="shared" si="0"/>
        <v>1</v>
      </c>
      <c r="O23" s="8">
        <f t="shared" si="0"/>
        <v>0</v>
      </c>
      <c r="P23" s="8">
        <f t="shared" si="0"/>
        <v>1</v>
      </c>
      <c r="Q23" s="8">
        <f t="shared" si="0"/>
        <v>0</v>
      </c>
      <c r="R23" s="8">
        <f t="shared" si="0"/>
        <v>1</v>
      </c>
      <c r="S23" s="8">
        <f t="shared" si="0"/>
        <v>0</v>
      </c>
    </row>
    <row r="24" spans="1:19" ht="15" customHeight="1" x14ac:dyDescent="0.2">
      <c r="A24" s="28" t="s">
        <v>433</v>
      </c>
      <c r="B24" s="3" t="s">
        <v>26</v>
      </c>
      <c r="C24" s="31">
        <f>SUM(E24:G24)</f>
        <v>0</v>
      </c>
      <c r="D24" s="31">
        <f>SUM(H24:S24)</f>
        <v>17</v>
      </c>
      <c r="E24" s="8">
        <f>E16*E9*E12*(1-Inputs!$C$83*(1-E10))*(1-E34)</f>
        <v>0</v>
      </c>
      <c r="F24" s="8">
        <f>F16*F9*F12*(1-Inputs!$C$83*(1-F10))*(1-F34)</f>
        <v>0</v>
      </c>
      <c r="G24" s="8">
        <f>G16*G9*G12*(1-Inputs!$C$83*(1-G10))*(1-G34)</f>
        <v>0</v>
      </c>
      <c r="H24" s="8">
        <f>H16*H9*H12*(1-Inputs!$C$83*(1-H10))*(1-H34)</f>
        <v>0</v>
      </c>
      <c r="I24" s="8">
        <f>I16*I9*I12*(1-Inputs!$C$83*(1-I10))*(1-I34)</f>
        <v>0</v>
      </c>
      <c r="J24" s="8">
        <f>J16*J9*J12*(1-Inputs!$C$83*(1-J10))*(1-J34)</f>
        <v>1</v>
      </c>
      <c r="K24" s="8">
        <f>K16*K9*K12*(1-Inputs!$C$83*(1-K10))*(1-K34)</f>
        <v>0</v>
      </c>
      <c r="L24" s="8">
        <f>L16*L9*L12*(1-Inputs!$C$83*(1-L10))*(1-L34)</f>
        <v>1</v>
      </c>
      <c r="M24" s="8">
        <f>M16*M9*M12*(1-Inputs!$C$83*(1-M10))*(1-M34)</f>
        <v>1</v>
      </c>
      <c r="N24" s="8">
        <f>N16*N9*N12*(1-Inputs!$C$83*(1-N10))*(1-N34)</f>
        <v>1</v>
      </c>
      <c r="O24" s="8">
        <f>O16*O9*O12*(1-Inputs!$C$83*(1-O10))*(1-O34)</f>
        <v>1</v>
      </c>
      <c r="P24" s="8">
        <f>P16*P9*P12*(1-Inputs!$C$83*(1-P10))*(1-P34)</f>
        <v>2</v>
      </c>
      <c r="Q24" s="8">
        <f>Q16*Q9*Q12*(1-Inputs!$C$83*(1-Q10))*(1-Q34)</f>
        <v>2</v>
      </c>
      <c r="R24" s="8">
        <f>R16*R9*R12*(1-Inputs!$C$83*(1-R10))*(1-R34)</f>
        <v>3</v>
      </c>
      <c r="S24" s="8">
        <f>S16*S9*S12*(1-Inputs!$C$83*(1-S10))*(1-S34)</f>
        <v>5</v>
      </c>
    </row>
    <row r="25" spans="1:19" ht="15" customHeight="1" x14ac:dyDescent="0.2">
      <c r="A25" s="28" t="s">
        <v>440</v>
      </c>
      <c r="B25" s="3" t="s">
        <v>26</v>
      </c>
      <c r="C25" s="31">
        <f>SUM(E25:G25)</f>
        <v>0</v>
      </c>
      <c r="D25" s="31">
        <f>SUM(H25:S25)</f>
        <v>7</v>
      </c>
      <c r="E25" s="8">
        <f t="shared" ref="E25:S25" si="1">E17*E9*E12*(1-E34)+E36</f>
        <v>0</v>
      </c>
      <c r="F25" s="8">
        <f t="shared" si="1"/>
        <v>0</v>
      </c>
      <c r="G25" s="8">
        <f t="shared" si="1"/>
        <v>0</v>
      </c>
      <c r="H25" s="8">
        <f t="shared" si="1"/>
        <v>0</v>
      </c>
      <c r="I25" s="8">
        <f t="shared" si="1"/>
        <v>0</v>
      </c>
      <c r="J25" s="8">
        <f t="shared" si="1"/>
        <v>0</v>
      </c>
      <c r="K25" s="8">
        <f t="shared" si="1"/>
        <v>1</v>
      </c>
      <c r="L25" s="8">
        <f t="shared" si="1"/>
        <v>0</v>
      </c>
      <c r="M25" s="8">
        <f t="shared" si="1"/>
        <v>0</v>
      </c>
      <c r="N25" s="8">
        <f t="shared" si="1"/>
        <v>1</v>
      </c>
      <c r="O25" s="8">
        <f t="shared" si="1"/>
        <v>0</v>
      </c>
      <c r="P25" s="8">
        <f t="shared" si="1"/>
        <v>0</v>
      </c>
      <c r="Q25" s="8">
        <f t="shared" si="1"/>
        <v>2</v>
      </c>
      <c r="R25" s="8">
        <f t="shared" si="1"/>
        <v>2</v>
      </c>
      <c r="S25" s="8">
        <f t="shared" si="1"/>
        <v>1</v>
      </c>
    </row>
    <row r="26" spans="1:19" ht="15" customHeight="1" x14ac:dyDescent="0.2">
      <c r="A26" s="28" t="s">
        <v>441</v>
      </c>
      <c r="B26" s="3" t="s">
        <v>436</v>
      </c>
      <c r="C26" s="31">
        <f>MAX(E26:G26)</f>
        <v>1</v>
      </c>
      <c r="D26" s="31">
        <f>MAX(H26:S26)</f>
        <v>3</v>
      </c>
      <c r="E26" s="8">
        <f t="shared" ref="E26:S26" si="2">E18+E35</f>
        <v>1</v>
      </c>
      <c r="F26" s="8">
        <f t="shared" si="2"/>
        <v>1</v>
      </c>
      <c r="G26" s="8">
        <f t="shared" si="2"/>
        <v>1</v>
      </c>
      <c r="H26" s="8">
        <f t="shared" si="2"/>
        <v>1</v>
      </c>
      <c r="I26" s="8">
        <f t="shared" si="2"/>
        <v>1</v>
      </c>
      <c r="J26" s="8">
        <f t="shared" si="2"/>
        <v>1</v>
      </c>
      <c r="K26" s="8">
        <f t="shared" si="2"/>
        <v>2</v>
      </c>
      <c r="L26" s="8">
        <f t="shared" si="2"/>
        <v>2</v>
      </c>
      <c r="M26" s="8">
        <f t="shared" si="2"/>
        <v>2</v>
      </c>
      <c r="N26" s="8">
        <f t="shared" si="2"/>
        <v>3</v>
      </c>
      <c r="O26" s="8">
        <f t="shared" si="2"/>
        <v>3</v>
      </c>
      <c r="P26" s="8">
        <f t="shared" si="2"/>
        <v>3</v>
      </c>
      <c r="Q26" s="8">
        <f t="shared" si="2"/>
        <v>3</v>
      </c>
      <c r="R26" s="8">
        <f t="shared" si="2"/>
        <v>3</v>
      </c>
      <c r="S26" s="8">
        <f t="shared" si="2"/>
        <v>3</v>
      </c>
    </row>
    <row r="27" spans="1:19" ht="15" customHeight="1" x14ac:dyDescent="0.2">
      <c r="A27" s="28" t="s">
        <v>437</v>
      </c>
      <c r="B27" s="3" t="s">
        <v>26</v>
      </c>
      <c r="C27" s="31">
        <f>SUM(E27:G27)</f>
        <v>0</v>
      </c>
      <c r="D27" s="31">
        <f>SUM(H27:S27)</f>
        <v>3</v>
      </c>
      <c r="E27" s="8">
        <f>E19*(1-E34*Inputs!$C$103)</f>
        <v>0</v>
      </c>
      <c r="F27" s="8">
        <f>F19*(1-F34*Inputs!$C$103)</f>
        <v>0</v>
      </c>
      <c r="G27" s="8">
        <f>G19*(1-G34*Inputs!$C$103)</f>
        <v>0</v>
      </c>
      <c r="H27" s="8">
        <f>H19*(1-H34*Inputs!$C$103)</f>
        <v>0</v>
      </c>
      <c r="I27" s="8">
        <f>I19*(1-I34*Inputs!$C$103)</f>
        <v>0</v>
      </c>
      <c r="J27" s="8">
        <f>J19*(1-J34*Inputs!$C$103)</f>
        <v>0</v>
      </c>
      <c r="K27" s="8">
        <f>K19*(1-K34*Inputs!$C$103)</f>
        <v>0</v>
      </c>
      <c r="L27" s="8">
        <f>L19*(1-L34*Inputs!$C$103)</f>
        <v>0</v>
      </c>
      <c r="M27" s="8">
        <f>M19*(1-M34*Inputs!$C$103)</f>
        <v>0</v>
      </c>
      <c r="N27" s="8">
        <f>N19*(1-N34*Inputs!$C$103)</f>
        <v>0</v>
      </c>
      <c r="O27" s="8">
        <f>O19*(1-O34*Inputs!$C$103)</f>
        <v>0</v>
      </c>
      <c r="P27" s="8">
        <f>P19*(1-P34*Inputs!$C$103)</f>
        <v>0</v>
      </c>
      <c r="Q27" s="8">
        <f>Q19*(1-Q34*Inputs!$C$103)</f>
        <v>1</v>
      </c>
      <c r="R27" s="8">
        <f>R19*(1-R34*Inputs!$C$103)</f>
        <v>1</v>
      </c>
      <c r="S27" s="8">
        <f>S19*(1-S34*Inputs!$C$103)</f>
        <v>1</v>
      </c>
    </row>
    <row r="28" spans="1:19" ht="15" customHeight="1" x14ac:dyDescent="0.2">
      <c r="A28" s="28" t="s">
        <v>438</v>
      </c>
      <c r="B28" s="3" t="s">
        <v>270</v>
      </c>
      <c r="C28" s="31">
        <f>SUM(E28:G28)</f>
        <v>6</v>
      </c>
      <c r="D28" s="31">
        <f>SUM(H28:S28)</f>
        <v>23</v>
      </c>
      <c r="E28" s="8">
        <f t="shared" ref="E28:S28" si="3">E20</f>
        <v>2</v>
      </c>
      <c r="F28" s="8">
        <f t="shared" si="3"/>
        <v>2</v>
      </c>
      <c r="G28" s="8">
        <f t="shared" si="3"/>
        <v>2</v>
      </c>
      <c r="H28" s="8">
        <f t="shared" si="3"/>
        <v>3</v>
      </c>
      <c r="I28" s="8">
        <f t="shared" si="3"/>
        <v>2</v>
      </c>
      <c r="J28" s="8">
        <f t="shared" si="3"/>
        <v>1</v>
      </c>
      <c r="K28" s="8">
        <f t="shared" si="3"/>
        <v>1</v>
      </c>
      <c r="L28" s="8">
        <f t="shared" si="3"/>
        <v>0</v>
      </c>
      <c r="M28" s="8">
        <f t="shared" si="3"/>
        <v>2</v>
      </c>
      <c r="N28" s="8">
        <f t="shared" si="3"/>
        <v>1</v>
      </c>
      <c r="O28" s="8">
        <f t="shared" si="3"/>
        <v>3</v>
      </c>
      <c r="P28" s="8">
        <f t="shared" si="3"/>
        <v>4</v>
      </c>
      <c r="Q28" s="8">
        <f t="shared" si="3"/>
        <v>2</v>
      </c>
      <c r="R28" s="8">
        <f t="shared" si="3"/>
        <v>2</v>
      </c>
      <c r="S28" s="8">
        <f t="shared" si="3"/>
        <v>2</v>
      </c>
    </row>
    <row r="29" spans="1:19" ht="15" customHeight="1" x14ac:dyDescent="0.2">
      <c r="A29" s="11" t="s">
        <v>442</v>
      </c>
      <c r="B29" s="3" t="s">
        <v>26</v>
      </c>
      <c r="C29" s="31">
        <f>SUM(E29:G29)</f>
        <v>0</v>
      </c>
      <c r="D29" s="31">
        <f>SUM(H29:S29)</f>
        <v>29</v>
      </c>
      <c r="E29" s="32">
        <f t="shared" ref="E29:S29" si="4">E23+E24+E25</f>
        <v>0</v>
      </c>
      <c r="F29" s="32">
        <f t="shared" si="4"/>
        <v>0</v>
      </c>
      <c r="G29" s="32">
        <f t="shared" si="4"/>
        <v>0</v>
      </c>
      <c r="H29" s="32">
        <f t="shared" si="4"/>
        <v>0</v>
      </c>
      <c r="I29" s="32">
        <f t="shared" si="4"/>
        <v>0</v>
      </c>
      <c r="J29" s="32">
        <f t="shared" si="4"/>
        <v>2</v>
      </c>
      <c r="K29" s="32">
        <f t="shared" si="4"/>
        <v>1</v>
      </c>
      <c r="L29" s="32">
        <f t="shared" si="4"/>
        <v>2</v>
      </c>
      <c r="M29" s="32">
        <f t="shared" si="4"/>
        <v>1</v>
      </c>
      <c r="N29" s="32">
        <f t="shared" si="4"/>
        <v>3</v>
      </c>
      <c r="O29" s="32">
        <f t="shared" si="4"/>
        <v>1</v>
      </c>
      <c r="P29" s="32">
        <f t="shared" si="4"/>
        <v>3</v>
      </c>
      <c r="Q29" s="32">
        <f t="shared" si="4"/>
        <v>4</v>
      </c>
      <c r="R29" s="32">
        <f t="shared" si="4"/>
        <v>6</v>
      </c>
      <c r="S29" s="32">
        <f t="shared" si="4"/>
        <v>6</v>
      </c>
    </row>
    <row r="30" spans="1:19" ht="15" customHeight="1" x14ac:dyDescent="0.2">
      <c r="A30" s="2"/>
      <c r="B30" s="2"/>
      <c r="C30" s="2"/>
      <c r="D30" s="2"/>
      <c r="E30" s="2"/>
      <c r="F30" s="2"/>
      <c r="G30" s="2"/>
      <c r="H30" s="2"/>
      <c r="I30" s="2"/>
      <c r="J30" s="2"/>
      <c r="K30" s="2"/>
      <c r="L30" s="2"/>
      <c r="M30" s="2"/>
      <c r="N30" s="2"/>
      <c r="O30" s="2"/>
      <c r="P30" s="2"/>
      <c r="Q30" s="2"/>
      <c r="R30" s="2"/>
      <c r="S30" s="2"/>
    </row>
    <row r="31" spans="1:19" ht="15" customHeight="1" x14ac:dyDescent="0.2">
      <c r="A31" s="3" t="s">
        <v>443</v>
      </c>
      <c r="B31" s="2"/>
      <c r="C31" s="2"/>
      <c r="D31" s="2"/>
      <c r="E31" s="2"/>
      <c r="F31" s="2"/>
      <c r="G31" s="2"/>
      <c r="H31" s="2"/>
      <c r="I31" s="2"/>
      <c r="J31" s="2"/>
      <c r="K31" s="2"/>
      <c r="L31" s="2"/>
      <c r="M31" s="2"/>
      <c r="N31" s="2"/>
      <c r="O31" s="2"/>
      <c r="P31" s="2"/>
      <c r="Q31" s="2"/>
      <c r="R31" s="2"/>
      <c r="S31" s="2"/>
    </row>
    <row r="33" spans="1:19" x14ac:dyDescent="0.2">
      <c r="A33" s="6" t="s">
        <v>444</v>
      </c>
    </row>
    <row r="34" spans="1:19" x14ac:dyDescent="0.2">
      <c r="A34" s="11" t="s">
        <v>445</v>
      </c>
      <c r="B34" s="3" t="s">
        <v>425</v>
      </c>
      <c r="C34" s="31">
        <f>MAX(E34:G34)</f>
        <v>1</v>
      </c>
      <c r="D34" s="31">
        <f>MAX(H34:S34)</f>
        <v>1</v>
      </c>
      <c r="E34" s="32">
        <f>IF(AND(Inputs!$C$101=1,E6&lt;IFERROR(MATCH(Inputs!$C$102,$E$4:$S$4,0),1)),1,0)</f>
        <v>1</v>
      </c>
      <c r="F34" s="32">
        <f>IF(AND(Inputs!$C$101=1,F6&lt;IFERROR(MATCH(Inputs!$C$102,$E$4:$S$4,0),1)),1,0)</f>
        <v>1</v>
      </c>
      <c r="G34" s="32">
        <f>IF(AND(Inputs!$C$101=1,G6&lt;IFERROR(MATCH(Inputs!$C$102,$E$4:$S$4,0),1)),1,0)</f>
        <v>1</v>
      </c>
      <c r="H34" s="32">
        <f>IF(AND(Inputs!$C$101=1,H6&lt;IFERROR(MATCH(Inputs!$C$102,$E$4:$S$4,0),1)),1,0)</f>
        <v>1</v>
      </c>
      <c r="I34" s="32">
        <f>IF(AND(Inputs!$C$101=1,I6&lt;IFERROR(MATCH(Inputs!$C$102,$E$4:$S$4,0),1)),1,0)</f>
        <v>1</v>
      </c>
      <c r="J34" s="32">
        <f>IF(AND(Inputs!$C$101=1,J6&lt;IFERROR(MATCH(Inputs!$C$102,$E$4:$S$4,0),1)),1,0)</f>
        <v>0</v>
      </c>
      <c r="K34" s="32">
        <f>IF(AND(Inputs!$C$101=1,K6&lt;IFERROR(MATCH(Inputs!$C$102,$E$4:$S$4,0),1)),1,0)</f>
        <v>0</v>
      </c>
      <c r="L34" s="32">
        <f>IF(AND(Inputs!$C$101=1,L6&lt;IFERROR(MATCH(Inputs!$C$102,$E$4:$S$4,0),1)),1,0)</f>
        <v>0</v>
      </c>
      <c r="M34" s="32">
        <f>IF(AND(Inputs!$C$101=1,M6&lt;IFERROR(MATCH(Inputs!$C$102,$E$4:$S$4,0),1)),1,0)</f>
        <v>0</v>
      </c>
      <c r="N34" s="32">
        <f>IF(AND(Inputs!$C$101=1,N6&lt;IFERROR(MATCH(Inputs!$C$102,$E$4:$S$4,0),1)),1,0)</f>
        <v>0</v>
      </c>
      <c r="O34" s="32">
        <f>IF(AND(Inputs!$C$101=1,O6&lt;IFERROR(MATCH(Inputs!$C$102,$E$4:$S$4,0),1)),1,0)</f>
        <v>0</v>
      </c>
      <c r="P34" s="32">
        <f>IF(AND(Inputs!$C$101=1,P6&lt;IFERROR(MATCH(Inputs!$C$102,$E$4:$S$4,0),1)),1,0)</f>
        <v>0</v>
      </c>
      <c r="Q34" s="32">
        <f>IF(AND(Inputs!$C$101=1,Q6&lt;IFERROR(MATCH(Inputs!$C$102,$E$4:$S$4,0),1)),1,0)</f>
        <v>0</v>
      </c>
      <c r="R34" s="32">
        <f>IF(AND(Inputs!$C$101=1,R6&lt;IFERROR(MATCH(Inputs!$C$102,$E$4:$S$4,0),1)),1,0)</f>
        <v>0</v>
      </c>
      <c r="S34" s="32">
        <f>IF(AND(Inputs!$C$101=1,S6&lt;IFERROR(MATCH(Inputs!$C$102,$E$4:$S$4,0),1)),1,0)</f>
        <v>0</v>
      </c>
    </row>
    <row r="35" spans="1:19" x14ac:dyDescent="0.2">
      <c r="A35" s="11" t="s">
        <v>446</v>
      </c>
      <c r="B35" s="3" t="s">
        <v>436</v>
      </c>
      <c r="C35" s="31">
        <f>MAX(E35:G35)</f>
        <v>0</v>
      </c>
      <c r="D35" s="31">
        <f>MAX(H35:S35)</f>
        <v>2</v>
      </c>
      <c r="E35" s="32">
        <f>Inputs!$C$105*(IF(E6&gt;=IFERROR(MATCH(Inputs!$C$114,$E$4:$S$4,0),99),1,0)+IF(E6&gt;=IFERROR(MATCH(Inputs!$C$115,$E$4:$S$4,0),99),1,0))</f>
        <v>0</v>
      </c>
      <c r="F35" s="32">
        <f>Inputs!$C$105*(IF(F6&gt;=IFERROR(MATCH(Inputs!$C$114,$E$4:$S$4,0),99),1,0)+IF(F6&gt;=IFERROR(MATCH(Inputs!$C$115,$E$4:$S$4,0),99),1,0))</f>
        <v>0</v>
      </c>
      <c r="G35" s="32">
        <f>Inputs!$C$105*(IF(G6&gt;=IFERROR(MATCH(Inputs!$C$114,$E$4:$S$4,0),99),1,0)+IF(G6&gt;=IFERROR(MATCH(Inputs!$C$115,$E$4:$S$4,0),99),1,0))</f>
        <v>0</v>
      </c>
      <c r="H35" s="32">
        <f>Inputs!$C$105*(IF(H6&gt;=IFERROR(MATCH(Inputs!$C$114,$E$4:$S$4,0),99),1,0)+IF(H6&gt;=IFERROR(MATCH(Inputs!$C$115,$E$4:$S$4,0),99),1,0))</f>
        <v>0</v>
      </c>
      <c r="I35" s="32">
        <f>Inputs!$C$105*(IF(I6&gt;=IFERROR(MATCH(Inputs!$C$114,$E$4:$S$4,0),99),1,0)+IF(I6&gt;=IFERROR(MATCH(Inputs!$C$115,$E$4:$S$4,0),99),1,0))</f>
        <v>0</v>
      </c>
      <c r="J35" s="32">
        <f>Inputs!$C$105*(IF(J6&gt;=IFERROR(MATCH(Inputs!$C$114,$E$4:$S$4,0),99),1,0)+IF(J6&gt;=IFERROR(MATCH(Inputs!$C$115,$E$4:$S$4,0),99),1,0))</f>
        <v>0</v>
      </c>
      <c r="K35" s="32">
        <f>Inputs!$C$105*(IF(K6&gt;=IFERROR(MATCH(Inputs!$C$114,$E$4:$S$4,0),99),1,0)+IF(K6&gt;=IFERROR(MATCH(Inputs!$C$115,$E$4:$S$4,0),99),1,0))</f>
        <v>1</v>
      </c>
      <c r="L35" s="32">
        <f>Inputs!$C$105*(IF(L6&gt;=IFERROR(MATCH(Inputs!$C$114,$E$4:$S$4,0),99),1,0)+IF(L6&gt;=IFERROR(MATCH(Inputs!$C$115,$E$4:$S$4,0),99),1,0))</f>
        <v>1</v>
      </c>
      <c r="M35" s="32">
        <f>Inputs!$C$105*(IF(M6&gt;=IFERROR(MATCH(Inputs!$C$114,$E$4:$S$4,0),99),1,0)+IF(M6&gt;=IFERROR(MATCH(Inputs!$C$115,$E$4:$S$4,0),99),1,0))</f>
        <v>1</v>
      </c>
      <c r="N35" s="32">
        <f>Inputs!$C$105*(IF(N6&gt;=IFERROR(MATCH(Inputs!$C$114,$E$4:$S$4,0),99),1,0)+IF(N6&gt;=IFERROR(MATCH(Inputs!$C$115,$E$4:$S$4,0),99),1,0))</f>
        <v>2</v>
      </c>
      <c r="O35" s="32">
        <f>Inputs!$C$105*(IF(O6&gt;=IFERROR(MATCH(Inputs!$C$114,$E$4:$S$4,0),99),1,0)+IF(O6&gt;=IFERROR(MATCH(Inputs!$C$115,$E$4:$S$4,0),99),1,0))</f>
        <v>2</v>
      </c>
      <c r="P35" s="32">
        <f>Inputs!$C$105*(IF(P6&gt;=IFERROR(MATCH(Inputs!$C$114,$E$4:$S$4,0),99),1,0)+IF(P6&gt;=IFERROR(MATCH(Inputs!$C$115,$E$4:$S$4,0),99),1,0))</f>
        <v>2</v>
      </c>
      <c r="Q35" s="32">
        <f>Inputs!$C$105*(IF(Q6&gt;=IFERROR(MATCH(Inputs!$C$114,$E$4:$S$4,0),99),1,0)+IF(Q6&gt;=IFERROR(MATCH(Inputs!$C$115,$E$4:$S$4,0),99),1,0))</f>
        <v>2</v>
      </c>
      <c r="R35" s="32">
        <f>Inputs!$C$105*(IF(R6&gt;=IFERROR(MATCH(Inputs!$C$114,$E$4:$S$4,0),99),1,0)+IF(R6&gt;=IFERROR(MATCH(Inputs!$C$115,$E$4:$S$4,0),99),1,0))</f>
        <v>2</v>
      </c>
      <c r="S35" s="32">
        <f>Inputs!$C$105*(IF(S6&gt;=IFERROR(MATCH(Inputs!$C$114,$E$4:$S$4,0),99),1,0)+IF(S6&gt;=IFERROR(MATCH(Inputs!$C$115,$E$4:$S$4,0),99),1,0))</f>
        <v>2</v>
      </c>
    </row>
    <row r="36" spans="1:19" x14ac:dyDescent="0.2">
      <c r="A36" s="11" t="s">
        <v>447</v>
      </c>
      <c r="B36" s="3" t="s">
        <v>162</v>
      </c>
      <c r="C36" s="31">
        <f>SUM(E36:G36)</f>
        <v>0</v>
      </c>
      <c r="D36" s="31">
        <f>SUM(H36:S36)</f>
        <v>3</v>
      </c>
      <c r="E36" s="32">
        <f>Inputs!$C$105*IF(E6&gt;=IFERROR(MATCH(Inputs!$C$118,$E$4:$S$4,0),99),Inputs!$C$119,0)*(1-E34)</f>
        <v>0</v>
      </c>
      <c r="F36" s="32">
        <f>Inputs!$C$105*IF(F6&gt;=IFERROR(MATCH(Inputs!$C$118,$E$4:$S$4,0),99),Inputs!$C$119,0)*(1-F34)</f>
        <v>0</v>
      </c>
      <c r="G36" s="32">
        <f>Inputs!$C$105*IF(G6&gt;=IFERROR(MATCH(Inputs!$C$118,$E$4:$S$4,0),99),Inputs!$C$119,0)*(1-G34)</f>
        <v>0</v>
      </c>
      <c r="H36" s="32">
        <f>Inputs!$C$105*IF(H6&gt;=IFERROR(MATCH(Inputs!$C$118,$E$4:$S$4,0),99),Inputs!$C$119,0)*(1-H34)</f>
        <v>0</v>
      </c>
      <c r="I36" s="32">
        <f>Inputs!$C$105*IF(I6&gt;=IFERROR(MATCH(Inputs!$C$118,$E$4:$S$4,0),99),Inputs!$C$119,0)*(1-I34)</f>
        <v>0</v>
      </c>
      <c r="J36" s="32">
        <f>Inputs!$C$105*IF(J6&gt;=IFERROR(MATCH(Inputs!$C$118,$E$4:$S$4,0),99),Inputs!$C$119,0)*(1-J34)</f>
        <v>0</v>
      </c>
      <c r="K36" s="32">
        <f>Inputs!$C$105*IF(K6&gt;=IFERROR(MATCH(Inputs!$C$118,$E$4:$S$4,0),99),Inputs!$C$119,0)*(1-K34)</f>
        <v>0</v>
      </c>
      <c r="L36" s="32">
        <f>Inputs!$C$105*IF(L6&gt;=IFERROR(MATCH(Inputs!$C$118,$E$4:$S$4,0),99),Inputs!$C$119,0)*(1-L34)</f>
        <v>0</v>
      </c>
      <c r="M36" s="32">
        <f>Inputs!$C$105*IF(M6&gt;=IFERROR(MATCH(Inputs!$C$118,$E$4:$S$4,0),99),Inputs!$C$119,0)*(1-M34)</f>
        <v>0</v>
      </c>
      <c r="N36" s="32">
        <f>Inputs!$C$105*IF(N6&gt;=IFERROR(MATCH(Inputs!$C$118,$E$4:$S$4,0),99),Inputs!$C$119,0)*(1-N34)</f>
        <v>0</v>
      </c>
      <c r="O36" s="32">
        <f>Inputs!$C$105*IF(O6&gt;=IFERROR(MATCH(Inputs!$C$118,$E$4:$S$4,0),99),Inputs!$C$119,0)*(1-O34)</f>
        <v>0</v>
      </c>
      <c r="P36" s="32">
        <f>Inputs!$C$105*IF(P6&gt;=IFERROR(MATCH(Inputs!$C$118,$E$4:$S$4,0),99),Inputs!$C$119,0)*(1-P34)</f>
        <v>0</v>
      </c>
      <c r="Q36" s="32">
        <f>Inputs!$C$105*IF(Q6&gt;=IFERROR(MATCH(Inputs!$C$118,$E$4:$S$4,0),99),Inputs!$C$119,0)*(1-Q34)</f>
        <v>1</v>
      </c>
      <c r="R36" s="32">
        <f>Inputs!$C$105*IF(R6&gt;=IFERROR(MATCH(Inputs!$C$118,$E$4:$S$4,0),99),Inputs!$C$119,0)*(1-R34)</f>
        <v>1</v>
      </c>
      <c r="S36" s="32">
        <f>Inputs!$C$105*IF(S6&gt;=IFERROR(MATCH(Inputs!$C$118,$E$4:$S$4,0),99),Inputs!$C$119,0)*(1-S34)</f>
        <v>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2"/>
  <sheetViews>
    <sheetView zoomScaleNormal="100" workbookViewId="0"/>
  </sheetViews>
  <sheetFormatPr baseColWidth="10" defaultColWidth="8.6640625" defaultRowHeight="15" x14ac:dyDescent="0.2"/>
  <cols>
    <col min="1" max="1" width="58" customWidth="1"/>
    <col min="2" max="15" width="14" customWidth="1"/>
  </cols>
  <sheetData>
    <row r="1" spans="1:15" ht="17.25" customHeight="1" x14ac:dyDescent="0.2">
      <c r="A1" s="1" t="s">
        <v>448</v>
      </c>
      <c r="B1" s="2"/>
      <c r="C1" s="2"/>
      <c r="D1" s="2"/>
      <c r="E1" s="2"/>
      <c r="F1" s="2"/>
      <c r="G1" s="2"/>
      <c r="H1" s="2"/>
      <c r="I1" s="2"/>
      <c r="J1" s="2"/>
      <c r="K1" s="2"/>
      <c r="L1" s="2"/>
      <c r="M1" s="2"/>
      <c r="N1" s="2"/>
      <c r="O1" s="2"/>
    </row>
    <row r="2" spans="1:15" ht="15" customHeight="1" x14ac:dyDescent="0.2">
      <c r="A2" s="2"/>
      <c r="B2" s="2"/>
      <c r="C2" s="2"/>
      <c r="D2" s="2"/>
      <c r="E2" s="2"/>
      <c r="F2" s="2"/>
      <c r="G2" s="2"/>
      <c r="H2" s="2"/>
      <c r="I2" s="2"/>
      <c r="J2" s="2"/>
      <c r="K2" s="2"/>
      <c r="L2" s="2"/>
      <c r="M2" s="2"/>
      <c r="N2" s="2"/>
      <c r="O2" s="2"/>
    </row>
    <row r="3" spans="1:15" ht="48" customHeight="1" x14ac:dyDescent="0.2">
      <c r="A3" s="33" t="s">
        <v>449</v>
      </c>
      <c r="B3" s="33" t="s">
        <v>450</v>
      </c>
      <c r="C3" s="33" t="s">
        <v>73</v>
      </c>
      <c r="D3" s="33" t="s">
        <v>451</v>
      </c>
      <c r="E3" s="33" t="s">
        <v>452</v>
      </c>
      <c r="F3" s="33" t="s">
        <v>453</v>
      </c>
      <c r="G3" s="33" t="s">
        <v>454</v>
      </c>
      <c r="H3" s="33" t="s">
        <v>455</v>
      </c>
      <c r="I3" s="33" t="s">
        <v>456</v>
      </c>
      <c r="J3" s="33" t="s">
        <v>457</v>
      </c>
      <c r="K3" s="33" t="s">
        <v>458</v>
      </c>
      <c r="L3" s="33" t="s">
        <v>459</v>
      </c>
      <c r="M3" s="33" t="s">
        <v>460</v>
      </c>
      <c r="N3" s="33" t="s">
        <v>461</v>
      </c>
      <c r="O3" s="33" t="s">
        <v>462</v>
      </c>
    </row>
    <row r="4" spans="1:15" ht="15" customHeight="1" x14ac:dyDescent="0.2">
      <c r="A4" s="2" t="s">
        <v>432</v>
      </c>
      <c r="B4" s="34">
        <f>IF(Inputs!$C$85=2,Inputs!$C$87+Inputs!$C$93*Inputs!$C$63*Inputs!$C$92,Inputs!$C$9)</f>
        <v>100</v>
      </c>
      <c r="C4" s="34">
        <f>Inputs!$C$16</f>
        <v>25</v>
      </c>
      <c r="D4" s="8">
        <v>0</v>
      </c>
      <c r="E4" s="8">
        <f>IF(Inputs!$C$85=2,Inputs!$C$93*Inputs!$C$63*Inputs!$C$62,IF(Inputs!$C$61=1,0,Inputs!$C$63*Inputs!$C$62))</f>
        <v>3</v>
      </c>
      <c r="F4" s="8">
        <f>C4+D4+E4</f>
        <v>28</v>
      </c>
      <c r="G4" s="8">
        <f>B4-F4</f>
        <v>72</v>
      </c>
      <c r="H4" s="9">
        <f>IF(B4=0,0,G4/B4)</f>
        <v>0.72</v>
      </c>
      <c r="I4" s="35">
        <f>IF(C4+D4=0,0,B4/(C4+D4))</f>
        <v>4</v>
      </c>
      <c r="J4" s="2" t="str">
        <f>IF(I4&gt;=3,"Yes","No - below 3x")</f>
        <v>Yes</v>
      </c>
      <c r="K4" s="10">
        <f>Inputs!$C$26*Inputs!$C$30</f>
        <v>12</v>
      </c>
      <c r="L4" s="8">
        <f>IF(K4=0,0,G4/K4)</f>
        <v>6</v>
      </c>
      <c r="M4" s="8">
        <f>Inputs!$C$63*Inputs!$C$62</f>
        <v>3</v>
      </c>
      <c r="N4" s="8">
        <f>Inputs!$C$9</f>
        <v>85</v>
      </c>
      <c r="O4" s="8">
        <f>C4+D4+IF(Inputs!$C$61=1,0,Inputs!$C$63*Inputs!$C$62)</f>
        <v>25</v>
      </c>
    </row>
    <row r="5" spans="1:15" ht="15" customHeight="1" x14ac:dyDescent="0.2">
      <c r="A5" s="2" t="s">
        <v>433</v>
      </c>
      <c r="B5" s="34">
        <f>IF(Inputs!$C$85=2,Inputs!$C$88+Inputs!$C$94*Inputs!$C$64*Inputs!$C$92,Inputs!$C$10)</f>
        <v>28.5</v>
      </c>
      <c r="C5" s="34">
        <f>Inputs!$C$17</f>
        <v>8</v>
      </c>
      <c r="D5" s="8">
        <f>IF(Inputs!$C$22=1,0,Inputs!$C$27*Inputs!$C$23*Inputs!$C$24)</f>
        <v>0</v>
      </c>
      <c r="E5" s="8">
        <f>IF(Inputs!$C$85=2,Inputs!$C$94*Inputs!$C$64*Inputs!$C$62,IF(Inputs!$C$61=1,0,Inputs!$C$64*Inputs!$C$62))</f>
        <v>2.25</v>
      </c>
      <c r="F5" s="8">
        <f>C5+D5+E5</f>
        <v>10.25</v>
      </c>
      <c r="G5" s="8">
        <f>B5-F5</f>
        <v>18.25</v>
      </c>
      <c r="H5" s="9">
        <f>IF(B5=0,0,G5/B5)</f>
        <v>0.64035087719298245</v>
      </c>
      <c r="I5" s="35">
        <f>IF(C5+D5=0,0,B5/(C5+D5))</f>
        <v>3.5625</v>
      </c>
      <c r="J5" s="2" t="str">
        <f>IF(I5&gt;=3,"Yes","No - below 3x")</f>
        <v>Yes</v>
      </c>
      <c r="K5" s="10">
        <f>Inputs!$C$27*Inputs!$C$31</f>
        <v>2</v>
      </c>
      <c r="L5" s="8">
        <f>IF(K5=0,0,G5/K5)</f>
        <v>9.125</v>
      </c>
      <c r="M5" s="8">
        <f>Inputs!$C$64*Inputs!$C$62</f>
        <v>2.25</v>
      </c>
      <c r="N5" s="8">
        <f>Inputs!$C$10</f>
        <v>20</v>
      </c>
      <c r="O5" s="8">
        <f>C5+D5+IF(Inputs!$C$61=1,0,Inputs!$C$64*Inputs!$C$62)</f>
        <v>8</v>
      </c>
    </row>
    <row r="6" spans="1:15" ht="15" customHeight="1" x14ac:dyDescent="0.2">
      <c r="A6" s="2" t="s">
        <v>463</v>
      </c>
      <c r="B6" s="34">
        <f>IF(Inputs!$C$85=2,(1-Inputs!$C$91)*Inputs!$C$89+Inputs!$C$91*Inputs!$C$90+Inputs!$C$95*Inputs!$C$65*Inputs!$C$92,Inputs!$C$11)</f>
        <v>53.5</v>
      </c>
      <c r="C6" s="34">
        <f>Inputs!$C$18</f>
        <v>12</v>
      </c>
      <c r="D6" s="8">
        <v>0</v>
      </c>
      <c r="E6" s="8">
        <f>IF(Inputs!$C$85=2,Inputs!$C$95*Inputs!$C$65*Inputs!$C$62,IF(Inputs!$C$61=1,0,Inputs!$C$65*Inputs!$C$62))</f>
        <v>3</v>
      </c>
      <c r="F6" s="8">
        <f>C6+D6+E6</f>
        <v>15</v>
      </c>
      <c r="G6" s="8">
        <f>B6-F6</f>
        <v>38.5</v>
      </c>
      <c r="H6" s="9">
        <f>IF(B6=0,0,G6/B6)</f>
        <v>0.71962616822429903</v>
      </c>
      <c r="I6" s="35">
        <f>IF(C6+D6=0,0,B6/(C6+D6))</f>
        <v>4.458333333333333</v>
      </c>
      <c r="J6" s="2" t="str">
        <f>IF(I6&gt;=3,"Yes","No - below 3x")</f>
        <v>Yes</v>
      </c>
      <c r="K6" s="10">
        <f>Inputs!$C$28*Inputs!$C$32</f>
        <v>2</v>
      </c>
      <c r="L6" s="8">
        <f>IF(K6=0,0,G6/K6)</f>
        <v>19.25</v>
      </c>
      <c r="M6" s="8">
        <f>Inputs!$C$65*Inputs!$C$62</f>
        <v>3</v>
      </c>
      <c r="N6" s="8">
        <f>Inputs!$C$11</f>
        <v>35</v>
      </c>
      <c r="O6" s="8">
        <f>C6+D6+IF(Inputs!$C$61=1,0,Inputs!$C$65*Inputs!$C$62)</f>
        <v>12</v>
      </c>
    </row>
    <row r="7" spans="1:15" ht="15" customHeight="1" x14ac:dyDescent="0.2">
      <c r="A7" s="2" t="s">
        <v>464</v>
      </c>
      <c r="B7" s="34">
        <f>Inputs!$C$12</f>
        <v>15</v>
      </c>
      <c r="C7" s="34">
        <f>Inputs!$C$19</f>
        <v>5</v>
      </c>
      <c r="D7" s="8">
        <v>0</v>
      </c>
      <c r="E7" s="8">
        <v>0</v>
      </c>
      <c r="F7" s="8">
        <f>C7+D7+E7</f>
        <v>5</v>
      </c>
      <c r="G7" s="8">
        <f>B7-F7</f>
        <v>10</v>
      </c>
      <c r="H7" s="9">
        <f>IF(B7=0,0,G7/B7)</f>
        <v>0.66666666666666663</v>
      </c>
      <c r="I7" s="35">
        <f>IF(C7+D7=0,0,B7/(C7+D7))</f>
        <v>3</v>
      </c>
      <c r="J7" s="2" t="str">
        <f>IF(I7&gt;=3,"Yes","No - below 3x")</f>
        <v>Yes</v>
      </c>
      <c r="K7" s="10">
        <v>0</v>
      </c>
      <c r="L7" s="8">
        <f>IF(K7=0,0,G7/K7)</f>
        <v>0</v>
      </c>
      <c r="M7" s="8">
        <v>0</v>
      </c>
      <c r="N7" s="8">
        <f>Inputs!$C$12</f>
        <v>15</v>
      </c>
      <c r="O7" s="8">
        <f>C7+D7+0</f>
        <v>5</v>
      </c>
    </row>
    <row r="8" spans="1:15" ht="15" customHeight="1" x14ac:dyDescent="0.2">
      <c r="A8" s="2" t="s">
        <v>112</v>
      </c>
      <c r="B8" s="34">
        <f>Inputs!$C$13</f>
        <v>20</v>
      </c>
      <c r="C8" s="34">
        <f>Inputs!$C$20</f>
        <v>8</v>
      </c>
      <c r="D8" s="8">
        <v>0</v>
      </c>
      <c r="E8" s="8">
        <f>IF(Inputs!$C$61=1,0,Inputs!$C$66*Inputs!$C$62)</f>
        <v>0</v>
      </c>
      <c r="F8" s="8">
        <f>C8+D8+E8</f>
        <v>8</v>
      </c>
      <c r="G8" s="8">
        <f>B8-F8</f>
        <v>12</v>
      </c>
      <c r="H8" s="9">
        <f>IF(B8=0,0,G8/B8)</f>
        <v>0.6</v>
      </c>
      <c r="I8" s="35">
        <f>IF(C8+D8=0,0,B8/(C8+D8))</f>
        <v>2.5</v>
      </c>
      <c r="J8" s="2" t="str">
        <f>IF(I8&gt;=3,"Yes","No - below 3x")</f>
        <v>No - below 3x</v>
      </c>
      <c r="K8" s="10">
        <f>Inputs!$C$29*Inputs!$C$33</f>
        <v>2</v>
      </c>
      <c r="L8" s="8">
        <f>IF(K8=0,0,G8/K8)</f>
        <v>6</v>
      </c>
      <c r="M8" s="8">
        <f>Inputs!$C$66*Inputs!$C$62</f>
        <v>3.75</v>
      </c>
      <c r="N8" s="8">
        <f>Inputs!$C$13</f>
        <v>20</v>
      </c>
      <c r="O8" s="8">
        <f>C8+D8+IF(Inputs!$C$61=1,0,Inputs!$C$66*Inputs!$C$62)</f>
        <v>8</v>
      </c>
    </row>
    <row r="9" spans="1:15" ht="15" customHeight="1" x14ac:dyDescent="0.2">
      <c r="A9" s="2"/>
      <c r="B9" s="2"/>
      <c r="C9" s="2"/>
      <c r="D9" s="2"/>
      <c r="E9" s="2"/>
      <c r="F9" s="2"/>
      <c r="G9" s="2"/>
      <c r="H9" s="2"/>
      <c r="I9" s="2"/>
      <c r="J9" s="2"/>
      <c r="K9" s="2"/>
      <c r="L9" s="2"/>
      <c r="M9" s="2"/>
      <c r="N9" s="2"/>
      <c r="O9" s="2"/>
    </row>
    <row r="10" spans="1:15" ht="15" customHeight="1" x14ac:dyDescent="0.2">
      <c r="A10" s="6" t="s">
        <v>465</v>
      </c>
      <c r="B10" s="7"/>
      <c r="C10" s="7"/>
      <c r="D10" s="7"/>
      <c r="E10" s="7"/>
      <c r="F10" s="7"/>
      <c r="G10" s="7"/>
      <c r="H10" s="7"/>
      <c r="I10" s="7"/>
      <c r="J10" s="7"/>
      <c r="K10" s="7"/>
      <c r="L10" s="7"/>
      <c r="M10" s="7"/>
      <c r="N10" s="2"/>
      <c r="O10" s="2"/>
    </row>
    <row r="11" spans="1:15" ht="15" customHeight="1" x14ac:dyDescent="0.2">
      <c r="A11" s="2" t="s">
        <v>466</v>
      </c>
      <c r="B11" s="8">
        <f>IF(Inputs!$C$52=1,(Inputs!$C$53+Inputs!$C$55)*12,Inputs!$C$55*12)</f>
        <v>24</v>
      </c>
      <c r="C11" s="2"/>
      <c r="D11" s="2"/>
      <c r="E11" s="2"/>
      <c r="F11" s="2"/>
      <c r="G11" s="2"/>
      <c r="H11" s="2"/>
      <c r="I11" s="2"/>
      <c r="J11" s="2"/>
      <c r="K11" s="2"/>
      <c r="L11" s="2"/>
      <c r="M11" s="2"/>
      <c r="N11" s="2"/>
      <c r="O11" s="2"/>
    </row>
    <row r="12" spans="1:15" ht="15" customHeight="1" x14ac:dyDescent="0.2">
      <c r="A12" s="2" t="s">
        <v>467</v>
      </c>
      <c r="B12" s="8">
        <f>Inputs!$C$70</f>
        <v>4</v>
      </c>
      <c r="C12" s="2"/>
      <c r="D12" s="2"/>
      <c r="E12" s="2"/>
      <c r="F12" s="2"/>
      <c r="G12" s="2"/>
      <c r="H12" s="2"/>
      <c r="I12" s="2"/>
      <c r="J12" s="2"/>
      <c r="K12" s="2"/>
      <c r="L12" s="2"/>
      <c r="M12" s="2"/>
      <c r="N12" s="2"/>
      <c r="O12" s="2"/>
    </row>
    <row r="13" spans="1:15" ht="15" customHeight="1" x14ac:dyDescent="0.2">
      <c r="A13" s="2" t="s">
        <v>468</v>
      </c>
      <c r="B13" s="8">
        <f>IF(B12=0,0,B11/B12)</f>
        <v>6</v>
      </c>
      <c r="C13" s="2"/>
      <c r="D13" s="2"/>
      <c r="E13" s="2"/>
      <c r="F13" s="2"/>
      <c r="G13" s="2"/>
      <c r="H13" s="2"/>
      <c r="I13" s="2"/>
      <c r="J13" s="2"/>
      <c r="K13" s="2"/>
      <c r="L13" s="2"/>
      <c r="M13" s="2"/>
      <c r="N13" s="2"/>
      <c r="O13" s="2"/>
    </row>
    <row r="14" spans="1:15" ht="15" customHeight="1" x14ac:dyDescent="0.2">
      <c r="A14" s="2" t="s">
        <v>469</v>
      </c>
      <c r="B14" s="8">
        <f>IF(G4&lt;=0,0,B13/G4)</f>
        <v>8.3333333333333329E-2</v>
      </c>
      <c r="C14" s="2"/>
      <c r="D14" s="2"/>
      <c r="E14" s="2"/>
      <c r="F14" s="2"/>
      <c r="G14" s="2"/>
      <c r="H14" s="2"/>
      <c r="I14" s="2"/>
      <c r="J14" s="2"/>
      <c r="K14" s="2"/>
      <c r="L14" s="2"/>
      <c r="M14" s="2"/>
      <c r="N14" s="2"/>
      <c r="O14" s="2"/>
    </row>
    <row r="15" spans="1:15" ht="15" customHeight="1" x14ac:dyDescent="0.2">
      <c r="A15" s="2" t="s">
        <v>470</v>
      </c>
      <c r="B15" s="8">
        <f>IF(G5&lt;=0,0,B13/G5)</f>
        <v>0.32876712328767121</v>
      </c>
      <c r="C15" s="2"/>
      <c r="D15" s="2"/>
      <c r="E15" s="2"/>
      <c r="F15" s="2"/>
      <c r="G15" s="2"/>
      <c r="H15" s="2"/>
      <c r="I15" s="2"/>
      <c r="J15" s="2"/>
      <c r="K15" s="2"/>
      <c r="L15" s="2"/>
      <c r="M15" s="2"/>
      <c r="N15" s="2"/>
      <c r="O15" s="2"/>
    </row>
    <row r="16" spans="1:15" ht="15" customHeight="1" x14ac:dyDescent="0.2">
      <c r="A16" s="2" t="s">
        <v>471</v>
      </c>
      <c r="B16" s="8">
        <f>IF(G6&lt;=0,0,B13/G6)</f>
        <v>0.15584415584415584</v>
      </c>
      <c r="C16" s="2"/>
      <c r="D16" s="2"/>
      <c r="E16" s="2"/>
      <c r="F16" s="2"/>
      <c r="G16" s="2"/>
      <c r="H16" s="2"/>
      <c r="I16" s="2"/>
      <c r="J16" s="2"/>
      <c r="K16" s="2"/>
      <c r="L16" s="2"/>
      <c r="M16" s="2"/>
      <c r="N16" s="2"/>
      <c r="O16" s="2"/>
    </row>
    <row r="17" spans="1:15" ht="15" customHeight="1" x14ac:dyDescent="0.2">
      <c r="A17" s="2" t="s">
        <v>472</v>
      </c>
      <c r="B17" s="8">
        <f>IF(G7&lt;=0,0,B13/G7)</f>
        <v>0.6</v>
      </c>
      <c r="C17" s="2"/>
      <c r="D17" s="2"/>
      <c r="E17" s="2"/>
      <c r="F17" s="2"/>
      <c r="G17" s="2"/>
      <c r="H17" s="2"/>
      <c r="I17" s="2"/>
      <c r="J17" s="2"/>
      <c r="K17" s="2"/>
      <c r="L17" s="2"/>
      <c r="M17" s="2"/>
      <c r="N17" s="2"/>
      <c r="O17" s="2"/>
    </row>
    <row r="18" spans="1:15" ht="15" customHeight="1" x14ac:dyDescent="0.2">
      <c r="A18" s="2"/>
      <c r="B18" s="2"/>
      <c r="C18" s="2"/>
      <c r="D18" s="2"/>
      <c r="E18" s="2"/>
      <c r="F18" s="2"/>
      <c r="G18" s="2"/>
      <c r="H18" s="2"/>
      <c r="I18" s="2"/>
      <c r="J18" s="2"/>
      <c r="K18" s="2"/>
      <c r="L18" s="2"/>
      <c r="M18" s="2"/>
      <c r="N18" s="2"/>
      <c r="O18" s="2"/>
    </row>
    <row r="19" spans="1:15" ht="15" customHeight="1" x14ac:dyDescent="0.2">
      <c r="A19" s="3" t="s">
        <v>473</v>
      </c>
      <c r="B19" s="2"/>
      <c r="C19" s="2"/>
      <c r="D19" s="2"/>
      <c r="E19" s="2"/>
      <c r="F19" s="2"/>
      <c r="G19" s="2"/>
      <c r="H19" s="2"/>
      <c r="I19" s="2"/>
      <c r="J19" s="2"/>
      <c r="K19" s="2"/>
      <c r="L19" s="2"/>
      <c r="M19" s="2"/>
      <c r="N19" s="2"/>
      <c r="O19" s="2"/>
    </row>
    <row r="20" spans="1:15" ht="15" customHeight="1" x14ac:dyDescent="0.2">
      <c r="A20" s="3" t="s">
        <v>474</v>
      </c>
      <c r="B20" s="2"/>
      <c r="C20" s="2"/>
      <c r="D20" s="2"/>
      <c r="E20" s="2"/>
      <c r="F20" s="2"/>
      <c r="G20" s="2"/>
      <c r="H20" s="2"/>
      <c r="I20" s="2"/>
      <c r="J20" s="2"/>
      <c r="K20" s="2"/>
      <c r="L20" s="2"/>
      <c r="M20" s="2"/>
      <c r="N20" s="2"/>
      <c r="O20" s="2"/>
    </row>
    <row r="21" spans="1:15" ht="15" customHeight="1" x14ac:dyDescent="0.2">
      <c r="A21" s="3" t="s">
        <v>475</v>
      </c>
      <c r="B21" s="2"/>
      <c r="C21" s="2"/>
      <c r="D21" s="2"/>
      <c r="E21" s="2"/>
      <c r="F21" s="2"/>
      <c r="G21" s="2"/>
      <c r="H21" s="2"/>
      <c r="I21" s="2"/>
      <c r="J21" s="2"/>
      <c r="K21" s="2"/>
      <c r="L21" s="2"/>
      <c r="M21" s="2"/>
      <c r="N21" s="2"/>
      <c r="O21" s="2"/>
    </row>
    <row r="22" spans="1:15" ht="15" customHeight="1" x14ac:dyDescent="0.2">
      <c r="A22" s="3" t="s">
        <v>476</v>
      </c>
      <c r="B22" s="2"/>
      <c r="C22" s="2"/>
      <c r="D22" s="2"/>
      <c r="E22" s="2"/>
      <c r="F22" s="2"/>
      <c r="G22" s="2"/>
      <c r="H22" s="2"/>
      <c r="I22" s="2"/>
      <c r="J22" s="2"/>
      <c r="K22" s="2"/>
      <c r="L22" s="2"/>
      <c r="M22" s="2"/>
      <c r="N22" s="2"/>
      <c r="O22" s="2"/>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32"/>
  <sheetViews>
    <sheetView zoomScaleNormal="100" workbookViewId="0"/>
  </sheetViews>
  <sheetFormatPr baseColWidth="10" defaultColWidth="8.6640625" defaultRowHeight="15" x14ac:dyDescent="0.2"/>
  <cols>
    <col min="1" max="1" width="44" customWidth="1"/>
    <col min="2" max="2" width="40" customWidth="1"/>
    <col min="3" max="12" width="13" customWidth="1"/>
    <col min="13" max="13" width="44" customWidth="1"/>
  </cols>
  <sheetData>
    <row r="1" spans="1:13" ht="17.25" customHeight="1" x14ac:dyDescent="0.2">
      <c r="A1" s="1" t="s">
        <v>477</v>
      </c>
      <c r="B1" s="2"/>
      <c r="C1" s="2"/>
      <c r="D1" s="2"/>
      <c r="E1" s="2"/>
      <c r="F1" s="2"/>
      <c r="G1" s="2"/>
      <c r="H1" s="2"/>
      <c r="I1" s="2"/>
      <c r="J1" s="2"/>
      <c r="K1" s="2"/>
      <c r="L1" s="2"/>
      <c r="M1" s="2"/>
    </row>
    <row r="2" spans="1:13" ht="15" customHeight="1" x14ac:dyDescent="0.2">
      <c r="A2" s="3" t="s">
        <v>478</v>
      </c>
      <c r="B2" s="2"/>
      <c r="C2" s="2"/>
      <c r="D2" s="2"/>
      <c r="E2" s="2"/>
      <c r="F2" s="2"/>
      <c r="G2" s="2"/>
      <c r="H2" s="2"/>
      <c r="I2" s="2"/>
      <c r="J2" s="2"/>
      <c r="K2" s="2"/>
      <c r="L2" s="2"/>
      <c r="M2" s="2"/>
    </row>
    <row r="3" spans="1:13" ht="15" customHeight="1" x14ac:dyDescent="0.2">
      <c r="A3" s="2"/>
      <c r="B3" s="2"/>
      <c r="C3" s="2"/>
      <c r="D3" s="2"/>
      <c r="E3" s="2"/>
      <c r="F3" s="2"/>
      <c r="G3" s="2"/>
      <c r="H3" s="2"/>
      <c r="I3" s="2"/>
      <c r="J3" s="2"/>
      <c r="K3" s="2"/>
      <c r="L3" s="2"/>
      <c r="M3" s="2"/>
    </row>
    <row r="4" spans="1:13" ht="48" customHeight="1" x14ac:dyDescent="0.2">
      <c r="A4" s="33" t="s">
        <v>479</v>
      </c>
      <c r="B4" s="33" t="s">
        <v>480</v>
      </c>
      <c r="C4" s="33" t="s">
        <v>481</v>
      </c>
      <c r="D4" s="33" t="s">
        <v>482</v>
      </c>
      <c r="E4" s="33" t="s">
        <v>483</v>
      </c>
      <c r="F4" s="33" t="s">
        <v>484</v>
      </c>
      <c r="G4" s="33" t="s">
        <v>485</v>
      </c>
      <c r="H4" s="33" t="s">
        <v>486</v>
      </c>
      <c r="I4" s="33" t="s">
        <v>487</v>
      </c>
      <c r="J4" s="33" t="s">
        <v>456</v>
      </c>
      <c r="K4" s="33" t="s">
        <v>488</v>
      </c>
      <c r="L4" s="33" t="s">
        <v>489</v>
      </c>
      <c r="M4" s="33" t="s">
        <v>490</v>
      </c>
    </row>
    <row r="5" spans="1:13" ht="26.25" customHeight="1" x14ac:dyDescent="0.2">
      <c r="A5" s="17" t="s">
        <v>491</v>
      </c>
      <c r="B5" s="17" t="s">
        <v>492</v>
      </c>
      <c r="C5" s="34">
        <f>Inputs!$C$87</f>
        <v>94</v>
      </c>
      <c r="D5" s="10">
        <f>Inputs!$C$30</f>
        <v>3</v>
      </c>
      <c r="E5" s="36">
        <f>IF(D5=0,0,C5/D5)</f>
        <v>31.333333333333332</v>
      </c>
      <c r="F5" s="36">
        <f>Inputs!$C$92*Inputs!$C$93</f>
        <v>0.15</v>
      </c>
      <c r="G5" s="10">
        <f>Inputs!$C$63</f>
        <v>40</v>
      </c>
      <c r="H5" s="36">
        <f>C5+F5*G5</f>
        <v>100</v>
      </c>
      <c r="I5" s="36">
        <f>Inputs!$C$16</f>
        <v>25</v>
      </c>
      <c r="J5" s="35">
        <f>IF(I5=0,0,H5/I5)</f>
        <v>4</v>
      </c>
      <c r="K5" s="2" t="str">
        <f>IF(J5&gt;=3,"Yes","No")</f>
        <v>Yes</v>
      </c>
      <c r="L5" s="9">
        <f>IF((Inputs!$C$96*Inputs!$C$11)=0,0,E5/(Inputs!$C$96*Inputs!$C$11))</f>
        <v>0.35809523809523808</v>
      </c>
      <c r="M5" s="17" t="s">
        <v>493</v>
      </c>
    </row>
    <row r="6" spans="1:13" ht="15" customHeight="1" x14ac:dyDescent="0.2">
      <c r="A6" s="17" t="s">
        <v>494</v>
      </c>
      <c r="B6" s="17" t="s">
        <v>495</v>
      </c>
      <c r="C6" s="34">
        <f>Inputs!$C$88</f>
        <v>24</v>
      </c>
      <c r="D6" s="10">
        <f>Inputs!$C$31</f>
        <v>1</v>
      </c>
      <c r="E6" s="36">
        <f>IF(D6=0,0,C6/D6)</f>
        <v>24</v>
      </c>
      <c r="F6" s="36">
        <f>Inputs!$C$92*Inputs!$C$94</f>
        <v>0.15</v>
      </c>
      <c r="G6" s="10">
        <f>Inputs!$C$64</f>
        <v>30</v>
      </c>
      <c r="H6" s="36">
        <f>C6+F6*G6</f>
        <v>28.5</v>
      </c>
      <c r="I6" s="36">
        <f>Inputs!$C$17</f>
        <v>8</v>
      </c>
      <c r="J6" s="35">
        <f>IF(I6=0,0,H6/I6)</f>
        <v>3.5625</v>
      </c>
      <c r="K6" s="2" t="str">
        <f>IF(J6&gt;=3,"Yes","No")</f>
        <v>Yes</v>
      </c>
      <c r="L6" s="9">
        <f>IF((Inputs!$C$96*Inputs!$C$11)=0,0,E6/(Inputs!$C$96*Inputs!$C$11))</f>
        <v>0.2742857142857143</v>
      </c>
      <c r="M6" s="17" t="s">
        <v>496</v>
      </c>
    </row>
    <row r="7" spans="1:13" ht="26.25" customHeight="1" x14ac:dyDescent="0.2">
      <c r="A7" s="17" t="s">
        <v>497</v>
      </c>
      <c r="B7" s="17" t="s">
        <v>498</v>
      </c>
      <c r="C7" s="34">
        <f>Inputs!$C$89</f>
        <v>45</v>
      </c>
      <c r="D7" s="10">
        <f>Inputs!$C$32</f>
        <v>1</v>
      </c>
      <c r="E7" s="36">
        <f>IF(D7=0,0,C7/D7)</f>
        <v>45</v>
      </c>
      <c r="F7" s="36">
        <f>Inputs!$C$92*Inputs!$C$95</f>
        <v>0.15</v>
      </c>
      <c r="G7" s="10">
        <f>Inputs!$C$65</f>
        <v>40</v>
      </c>
      <c r="H7" s="36">
        <f>C7+F7*G7</f>
        <v>51</v>
      </c>
      <c r="I7" s="36">
        <f>Inputs!$C$18</f>
        <v>12</v>
      </c>
      <c r="J7" s="35">
        <f>IF(I7=0,0,H7/I7)</f>
        <v>4.25</v>
      </c>
      <c r="K7" s="2" t="str">
        <f>IF(J7&gt;=3,"Yes","No")</f>
        <v>Yes</v>
      </c>
      <c r="L7" s="9">
        <f>IF((Inputs!$C$96*Inputs!$C$11)=0,0,E7/(Inputs!$C$96*Inputs!$C$11))</f>
        <v>0.51428571428571423</v>
      </c>
      <c r="M7" s="17" t="s">
        <v>499</v>
      </c>
    </row>
    <row r="8" spans="1:13" ht="26.25" customHeight="1" x14ac:dyDescent="0.2">
      <c r="A8" s="17" t="s">
        <v>500</v>
      </c>
      <c r="B8" s="17" t="s">
        <v>501</v>
      </c>
      <c r="C8" s="34">
        <f>Inputs!$C$90</f>
        <v>55</v>
      </c>
      <c r="D8" s="10">
        <f>Inputs!$C$32</f>
        <v>1</v>
      </c>
      <c r="E8" s="36">
        <f>IF(D8=0,0,C8/D8)</f>
        <v>55</v>
      </c>
      <c r="F8" s="36">
        <f>Inputs!$C$92*Inputs!$C$95</f>
        <v>0.15</v>
      </c>
      <c r="G8" s="10">
        <f>Inputs!$C$65</f>
        <v>40</v>
      </c>
      <c r="H8" s="36">
        <f>C8+F8*G8</f>
        <v>61</v>
      </c>
      <c r="I8" s="36">
        <f>Inputs!$C$18</f>
        <v>12</v>
      </c>
      <c r="J8" s="35">
        <f>IF(I8=0,0,H8/I8)</f>
        <v>5.083333333333333</v>
      </c>
      <c r="K8" s="2" t="str">
        <f>IF(J8&gt;=3,"Yes","No")</f>
        <v>Yes</v>
      </c>
      <c r="L8" s="9">
        <f>IF((Inputs!$C$96*Inputs!$C$11)=0,0,E8/(Inputs!$C$96*Inputs!$C$11))</f>
        <v>0.62857142857142856</v>
      </c>
      <c r="M8" s="17" t="s">
        <v>502</v>
      </c>
    </row>
    <row r="9" spans="1:13" ht="15" customHeight="1" x14ac:dyDescent="0.2">
      <c r="A9" s="2" t="s">
        <v>503</v>
      </c>
      <c r="B9" s="2" t="s">
        <v>504</v>
      </c>
      <c r="C9" s="2"/>
      <c r="D9" s="2"/>
      <c r="E9" s="8">
        <f>(Inputs!$C$96*Inputs!$C$11)</f>
        <v>87.5</v>
      </c>
      <c r="F9" s="2"/>
      <c r="G9" s="2"/>
      <c r="H9" s="2"/>
      <c r="I9" s="2"/>
      <c r="J9" s="2"/>
      <c r="K9" s="2"/>
      <c r="L9" s="2"/>
      <c r="M9" s="2"/>
    </row>
    <row r="10" spans="1:13" ht="15" customHeight="1" x14ac:dyDescent="0.2">
      <c r="A10" s="2"/>
      <c r="B10" s="2"/>
      <c r="C10" s="2"/>
      <c r="D10" s="2"/>
      <c r="E10" s="2"/>
      <c r="F10" s="2"/>
      <c r="G10" s="2"/>
      <c r="H10" s="2"/>
      <c r="I10" s="2"/>
      <c r="J10" s="2"/>
      <c r="K10" s="2"/>
      <c r="L10" s="2"/>
      <c r="M10" s="2"/>
    </row>
    <row r="11" spans="1:13" ht="15" customHeight="1" x14ac:dyDescent="0.2">
      <c r="A11" s="6" t="s">
        <v>505</v>
      </c>
      <c r="B11" s="7"/>
      <c r="C11" s="7"/>
      <c r="D11" s="7"/>
      <c r="E11" s="7"/>
      <c r="F11" s="7"/>
      <c r="G11" s="7"/>
      <c r="H11" s="7"/>
      <c r="I11" s="7"/>
      <c r="J11" s="7"/>
      <c r="K11" s="7"/>
      <c r="L11" s="7"/>
      <c r="M11" s="7"/>
    </row>
    <row r="12" spans="1:13" ht="15" customHeight="1" x14ac:dyDescent="0.2">
      <c r="A12" s="5" t="s">
        <v>506</v>
      </c>
      <c r="B12" s="5" t="s">
        <v>507</v>
      </c>
      <c r="C12" s="5" t="s">
        <v>508</v>
      </c>
      <c r="D12" s="5"/>
      <c r="E12" s="5" t="s">
        <v>509</v>
      </c>
      <c r="F12" s="2"/>
      <c r="G12" s="2"/>
      <c r="H12" s="2"/>
      <c r="I12" s="2"/>
      <c r="J12" s="2"/>
      <c r="K12" s="2"/>
      <c r="L12" s="2"/>
      <c r="M12" s="2"/>
    </row>
    <row r="13" spans="1:13" ht="15" customHeight="1" x14ac:dyDescent="0.2">
      <c r="A13" s="2" t="s">
        <v>510</v>
      </c>
      <c r="B13" s="2" t="s">
        <v>511</v>
      </c>
      <c r="C13" s="8">
        <f>C7</f>
        <v>45</v>
      </c>
      <c r="D13" s="2"/>
      <c r="E13" s="8">
        <f>C8</f>
        <v>55</v>
      </c>
      <c r="F13" s="2"/>
      <c r="G13" s="2"/>
      <c r="H13" s="2"/>
      <c r="I13" s="2"/>
      <c r="J13" s="2"/>
      <c r="K13" s="2"/>
      <c r="L13" s="2"/>
      <c r="M13" s="2"/>
    </row>
    <row r="14" spans="1:13" ht="15" customHeight="1" x14ac:dyDescent="0.2">
      <c r="A14" s="2" t="s">
        <v>512</v>
      </c>
      <c r="B14" s="2" t="s">
        <v>513</v>
      </c>
      <c r="C14" s="8">
        <f>H7</f>
        <v>51</v>
      </c>
      <c r="D14" s="2"/>
      <c r="E14" s="8">
        <f>H8</f>
        <v>61</v>
      </c>
      <c r="F14" s="2"/>
      <c r="G14" s="2"/>
      <c r="H14" s="2"/>
      <c r="I14" s="2"/>
      <c r="J14" s="2"/>
      <c r="K14" s="2"/>
      <c r="L14" s="2"/>
      <c r="M14" s="2"/>
    </row>
    <row r="15" spans="1:13" ht="15" customHeight="1" x14ac:dyDescent="0.2">
      <c r="A15" s="2" t="s">
        <v>514</v>
      </c>
      <c r="B15" s="2" t="s">
        <v>515</v>
      </c>
      <c r="C15" s="8">
        <f>H7*(1+Inputs!$C$97)</f>
        <v>66.3</v>
      </c>
      <c r="D15" s="2"/>
      <c r="E15" s="8">
        <f>H8*(1+Inputs!$C$97)</f>
        <v>79.3</v>
      </c>
      <c r="F15" s="2"/>
      <c r="G15" s="2"/>
      <c r="H15" s="2"/>
      <c r="I15" s="2"/>
      <c r="J15" s="2"/>
      <c r="K15" s="2"/>
      <c r="L15" s="2"/>
      <c r="M15" s="2"/>
    </row>
    <row r="16" spans="1:13" ht="15" customHeight="1" x14ac:dyDescent="0.2">
      <c r="A16" s="2"/>
      <c r="B16" s="2"/>
      <c r="C16" s="2"/>
      <c r="D16" s="2"/>
      <c r="E16" s="2"/>
      <c r="F16" s="2"/>
      <c r="G16" s="2"/>
      <c r="H16" s="2"/>
      <c r="I16" s="2"/>
      <c r="J16" s="2"/>
      <c r="K16" s="2"/>
      <c r="L16" s="2"/>
      <c r="M16" s="2"/>
    </row>
    <row r="17" spans="1:13" ht="15" customHeight="1" x14ac:dyDescent="0.2">
      <c r="A17" s="6" t="s">
        <v>516</v>
      </c>
      <c r="B17" s="7"/>
      <c r="C17" s="7"/>
      <c r="D17" s="7"/>
      <c r="E17" s="7"/>
      <c r="F17" s="7"/>
      <c r="G17" s="7"/>
      <c r="H17" s="7"/>
      <c r="I17" s="7"/>
      <c r="J17" s="7"/>
      <c r="K17" s="7"/>
      <c r="L17" s="7"/>
      <c r="M17" s="7"/>
    </row>
    <row r="18" spans="1:13" ht="15" customHeight="1" x14ac:dyDescent="0.2">
      <c r="A18" s="5" t="s">
        <v>449</v>
      </c>
      <c r="B18" s="5" t="s">
        <v>517</v>
      </c>
      <c r="C18" s="5" t="s">
        <v>518</v>
      </c>
      <c r="D18" s="5" t="s">
        <v>519</v>
      </c>
      <c r="E18" s="5" t="s">
        <v>520</v>
      </c>
      <c r="F18" s="2"/>
      <c r="G18" s="2"/>
      <c r="H18" s="2"/>
      <c r="I18" s="2"/>
      <c r="J18" s="2"/>
      <c r="K18" s="2"/>
      <c r="L18" s="2"/>
      <c r="M18" s="2"/>
    </row>
    <row r="19" spans="1:13" ht="15" customHeight="1" x14ac:dyDescent="0.2">
      <c r="A19" s="2" t="s">
        <v>521</v>
      </c>
      <c r="B19" s="8">
        <f>Inputs!$C$9-Inputs!$C$16</f>
        <v>60</v>
      </c>
      <c r="C19" s="8">
        <f>H5-I5-Inputs!$C$93*G5*Inputs!$C$62</f>
        <v>72</v>
      </c>
      <c r="D19" s="9">
        <f>IF(C19&lt;=0,0,1-B19/C19)</f>
        <v>0.16666666666666663</v>
      </c>
      <c r="E19" s="2" t="str">
        <f>"Lose fewer than "&amp;TEXT(D19,"0%")&amp;" of these events and profit still goes up."</f>
        <v>Lose fewer than 17% of these events and profit still goes up.</v>
      </c>
      <c r="F19" s="2"/>
      <c r="G19" s="2"/>
      <c r="H19" s="2"/>
      <c r="I19" s="2"/>
      <c r="J19" s="2"/>
      <c r="K19" s="2"/>
      <c r="L19" s="2"/>
      <c r="M19" s="2"/>
    </row>
    <row r="20" spans="1:13" ht="15" customHeight="1" x14ac:dyDescent="0.2">
      <c r="A20" s="2" t="s">
        <v>522</v>
      </c>
      <c r="B20" s="8">
        <f>Inputs!$C$10-Inputs!$C$17</f>
        <v>12</v>
      </c>
      <c r="C20" s="8">
        <f>H6-I6-Inputs!$C$94*G6*Inputs!$C$62</f>
        <v>18.25</v>
      </c>
      <c r="D20" s="9">
        <f>IF(C20&lt;=0,0,1-B20/C20)</f>
        <v>0.34246575342465757</v>
      </c>
      <c r="E20" s="2" t="str">
        <f>"Lose fewer than "&amp;TEXT(D20,"0%")&amp;" of these events and profit still goes up."</f>
        <v>Lose fewer than 34% of these events and profit still goes up.</v>
      </c>
      <c r="F20" s="2"/>
      <c r="G20" s="2"/>
      <c r="H20" s="2"/>
      <c r="I20" s="2"/>
      <c r="J20" s="2"/>
      <c r="K20" s="2"/>
      <c r="L20" s="2"/>
      <c r="M20" s="2"/>
    </row>
    <row r="21" spans="1:13" ht="15" customHeight="1" x14ac:dyDescent="0.2">
      <c r="A21" s="2" t="s">
        <v>523</v>
      </c>
      <c r="B21" s="8">
        <f>Inputs!$C$11-Inputs!$C$18</f>
        <v>23</v>
      </c>
      <c r="C21" s="8">
        <f>H7-I7-Inputs!$C$95*G7*Inputs!$C$62</f>
        <v>36</v>
      </c>
      <c r="D21" s="9">
        <f>IF(C21&lt;=0,0,1-B21/C21)</f>
        <v>0.36111111111111116</v>
      </c>
      <c r="E21" s="2" t="str">
        <f>"Lose fewer than "&amp;TEXT(D21,"0%")&amp;" of these events and profit still goes up."</f>
        <v>Lose fewer than 36% of these events and profit still goes up.</v>
      </c>
      <c r="F21" s="2"/>
      <c r="G21" s="2"/>
      <c r="H21" s="2"/>
      <c r="I21" s="2"/>
      <c r="J21" s="2"/>
      <c r="K21" s="2"/>
      <c r="L21" s="2"/>
      <c r="M21" s="2"/>
    </row>
    <row r="22" spans="1:13" ht="15" customHeight="1" x14ac:dyDescent="0.2">
      <c r="A22" s="2" t="s">
        <v>524</v>
      </c>
      <c r="B22" s="8">
        <f>Inputs!$C$11-Inputs!$C$18</f>
        <v>23</v>
      </c>
      <c r="C22" s="8">
        <f>H8-I8-Inputs!$C$95*G8*Inputs!$C$62</f>
        <v>46</v>
      </c>
      <c r="D22" s="9">
        <f>IF(C22&lt;=0,0,1-B22/C22)</f>
        <v>0.5</v>
      </c>
      <c r="E22" s="2" t="str">
        <f>"Lose fewer than "&amp;TEXT(D22,"0%")&amp;" of these events and profit still goes up."</f>
        <v>Lose fewer than 50% of these events and profit still goes up.</v>
      </c>
      <c r="F22" s="2"/>
      <c r="G22" s="2"/>
      <c r="H22" s="2"/>
      <c r="I22" s="2"/>
      <c r="J22" s="2"/>
      <c r="K22" s="2"/>
      <c r="L22" s="2"/>
      <c r="M22" s="2"/>
    </row>
    <row r="23" spans="1:13" ht="15" customHeight="1" x14ac:dyDescent="0.2">
      <c r="A23" s="2"/>
      <c r="B23" s="2"/>
      <c r="C23" s="2"/>
      <c r="D23" s="2"/>
      <c r="E23" s="2"/>
      <c r="F23" s="2"/>
      <c r="G23" s="2"/>
      <c r="H23" s="2"/>
      <c r="I23" s="2"/>
      <c r="J23" s="2"/>
      <c r="K23" s="2"/>
      <c r="L23" s="2"/>
      <c r="M23" s="2"/>
    </row>
    <row r="24" spans="1:13" ht="15" customHeight="1" x14ac:dyDescent="0.2">
      <c r="A24" s="6" t="s">
        <v>525</v>
      </c>
      <c r="B24" s="7"/>
      <c r="C24" s="7"/>
      <c r="D24" s="7"/>
      <c r="E24" s="7"/>
      <c r="F24" s="7"/>
      <c r="G24" s="7"/>
      <c r="H24" s="7"/>
      <c r="I24" s="7"/>
      <c r="J24" s="7"/>
      <c r="K24" s="7"/>
      <c r="L24" s="7"/>
      <c r="M24" s="7"/>
    </row>
    <row r="25" spans="1:13" ht="15" customHeight="1" x14ac:dyDescent="0.2">
      <c r="A25" s="2" t="s">
        <v>526</v>
      </c>
      <c r="B25" s="2"/>
      <c r="C25" s="2"/>
      <c r="D25" s="2"/>
      <c r="E25" s="2"/>
      <c r="F25" s="2"/>
      <c r="G25" s="2"/>
      <c r="H25" s="2"/>
      <c r="I25" s="2"/>
      <c r="J25" s="2"/>
      <c r="K25" s="2"/>
      <c r="L25" s="2"/>
      <c r="M25" s="2"/>
    </row>
    <row r="26" spans="1:13" ht="15" customHeight="1" x14ac:dyDescent="0.2">
      <c r="A26" s="2" t="s">
        <v>527</v>
      </c>
      <c r="B26" s="2"/>
      <c r="C26" s="2"/>
      <c r="D26" s="2"/>
      <c r="E26" s="2"/>
      <c r="F26" s="2"/>
      <c r="G26" s="2"/>
      <c r="H26" s="2"/>
      <c r="I26" s="2"/>
      <c r="J26" s="2"/>
      <c r="K26" s="2"/>
      <c r="L26" s="2"/>
      <c r="M26" s="2"/>
    </row>
    <row r="27" spans="1:13" ht="15" customHeight="1" x14ac:dyDescent="0.2">
      <c r="A27" s="2" t="s">
        <v>528</v>
      </c>
      <c r="B27" s="2"/>
      <c r="C27" s="2"/>
      <c r="D27" s="2"/>
      <c r="E27" s="2"/>
      <c r="F27" s="2"/>
      <c r="G27" s="2"/>
      <c r="H27" s="2"/>
      <c r="I27" s="2"/>
      <c r="J27" s="2"/>
      <c r="K27" s="2"/>
      <c r="L27" s="2"/>
      <c r="M27" s="2"/>
    </row>
    <row r="28" spans="1:13" ht="15" customHeight="1" x14ac:dyDescent="0.2">
      <c r="A28" s="2" t="s">
        <v>529</v>
      </c>
      <c r="B28" s="2"/>
      <c r="C28" s="2"/>
      <c r="D28" s="2"/>
      <c r="E28" s="2"/>
      <c r="F28" s="2"/>
      <c r="G28" s="2"/>
      <c r="H28" s="2"/>
      <c r="I28" s="2"/>
      <c r="J28" s="2"/>
      <c r="K28" s="2"/>
      <c r="L28" s="2"/>
      <c r="M28" s="2"/>
    </row>
    <row r="29" spans="1:13" ht="15" customHeight="1" x14ac:dyDescent="0.2">
      <c r="A29" s="2" t="s">
        <v>530</v>
      </c>
      <c r="B29" s="2"/>
      <c r="C29" s="2"/>
      <c r="D29" s="2"/>
      <c r="E29" s="2"/>
      <c r="F29" s="2"/>
      <c r="G29" s="2"/>
      <c r="H29" s="2"/>
      <c r="I29" s="2"/>
      <c r="J29" s="2"/>
      <c r="K29" s="2"/>
      <c r="L29" s="2"/>
      <c r="M29" s="2"/>
    </row>
    <row r="30" spans="1:13" ht="15" customHeight="1" x14ac:dyDescent="0.2">
      <c r="A30" s="2" t="s">
        <v>531</v>
      </c>
      <c r="B30" s="2"/>
      <c r="C30" s="2"/>
      <c r="D30" s="2"/>
      <c r="E30" s="2"/>
      <c r="F30" s="2"/>
      <c r="G30" s="2"/>
      <c r="H30" s="2"/>
      <c r="I30" s="2"/>
      <c r="J30" s="2"/>
      <c r="K30" s="2"/>
      <c r="L30" s="2"/>
      <c r="M30" s="2"/>
    </row>
    <row r="31" spans="1:13" ht="15" customHeight="1" x14ac:dyDescent="0.2">
      <c r="A31" s="2" t="s">
        <v>532</v>
      </c>
      <c r="B31" s="2"/>
      <c r="C31" s="2"/>
      <c r="D31" s="2"/>
      <c r="E31" s="2"/>
      <c r="F31" s="2"/>
      <c r="G31" s="2"/>
      <c r="H31" s="2"/>
      <c r="I31" s="2"/>
      <c r="J31" s="2"/>
      <c r="K31" s="2"/>
      <c r="L31" s="2"/>
      <c r="M31" s="2"/>
    </row>
    <row r="32" spans="1:13" ht="15" customHeight="1" x14ac:dyDescent="0.2">
      <c r="A32" s="2" t="s">
        <v>533</v>
      </c>
      <c r="B32" s="2"/>
      <c r="C32" s="2"/>
      <c r="D32" s="2"/>
      <c r="E32" s="2"/>
      <c r="F32" s="2"/>
      <c r="G32" s="2"/>
      <c r="H32" s="2"/>
      <c r="I32" s="2"/>
      <c r="J32" s="2"/>
      <c r="K32" s="2"/>
      <c r="L32" s="2"/>
      <c r="M32" s="2"/>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41"/>
  <sheetViews>
    <sheetView zoomScaleNormal="100" workbookViewId="0">
      <pane xSplit="4" ySplit="4" topLeftCell="E5" activePane="bottomRight" state="frozen"/>
      <selection pane="topRight" activeCell="E1" sqref="E1"/>
      <selection pane="bottomLeft" activeCell="A5" sqref="A5"/>
      <selection pane="bottomRight"/>
    </sheetView>
  </sheetViews>
  <sheetFormatPr baseColWidth="10" defaultColWidth="8.6640625" defaultRowHeight="15" x14ac:dyDescent="0.2"/>
  <cols>
    <col min="1" max="1" width="52" customWidth="1"/>
    <col min="2" max="2" width="14" customWidth="1"/>
    <col min="3" max="19" width="10.5" customWidth="1"/>
  </cols>
  <sheetData>
    <row r="1" spans="1:19" ht="17.25" customHeight="1" x14ac:dyDescent="0.2">
      <c r="A1" s="1" t="s">
        <v>534</v>
      </c>
      <c r="B1" s="2"/>
      <c r="C1" s="2"/>
      <c r="D1" s="2"/>
      <c r="E1" s="2"/>
      <c r="F1" s="2"/>
      <c r="G1" s="2"/>
      <c r="H1" s="2"/>
      <c r="I1" s="2"/>
      <c r="J1" s="2"/>
      <c r="K1" s="2"/>
      <c r="L1" s="2"/>
      <c r="M1" s="2"/>
      <c r="N1" s="2"/>
      <c r="O1" s="2"/>
      <c r="P1" s="2"/>
      <c r="Q1" s="2"/>
      <c r="R1" s="2"/>
      <c r="S1" s="2"/>
    </row>
    <row r="2" spans="1:19" ht="15" customHeight="1" x14ac:dyDescent="0.2">
      <c r="A2" s="3" t="s">
        <v>408</v>
      </c>
      <c r="B2" s="2"/>
      <c r="C2" s="2"/>
      <c r="D2" s="2"/>
      <c r="E2" s="2"/>
      <c r="F2" s="2"/>
      <c r="G2" s="2"/>
      <c r="H2" s="2"/>
      <c r="I2" s="2"/>
      <c r="J2" s="2"/>
      <c r="K2" s="2"/>
      <c r="L2" s="2"/>
      <c r="M2" s="2"/>
      <c r="N2" s="2"/>
      <c r="O2" s="2"/>
      <c r="P2" s="2"/>
      <c r="Q2" s="2"/>
      <c r="R2" s="2"/>
      <c r="S2" s="2"/>
    </row>
    <row r="3" spans="1:19" ht="15" customHeight="1" x14ac:dyDescent="0.2">
      <c r="A3" s="2"/>
      <c r="B3" s="2"/>
      <c r="C3" s="2"/>
      <c r="D3" s="2"/>
      <c r="E3" s="2"/>
      <c r="F3" s="2"/>
      <c r="G3" s="2"/>
      <c r="H3" s="2"/>
      <c r="I3" s="2"/>
      <c r="J3" s="2"/>
      <c r="K3" s="2"/>
      <c r="L3" s="2"/>
      <c r="M3" s="2"/>
      <c r="N3" s="2"/>
      <c r="O3" s="2"/>
      <c r="P3" s="2"/>
      <c r="Q3" s="2"/>
      <c r="R3" s="2"/>
      <c r="S3" s="2"/>
    </row>
    <row r="4" spans="1:19" ht="15" customHeight="1" x14ac:dyDescent="0.2">
      <c r="A4" s="27" t="s">
        <v>409</v>
      </c>
      <c r="B4" s="27" t="s">
        <v>6</v>
      </c>
      <c r="C4" s="27" t="s">
        <v>410</v>
      </c>
      <c r="D4" s="27" t="s">
        <v>411</v>
      </c>
      <c r="E4" s="27" t="s">
        <v>66</v>
      </c>
      <c r="F4" s="27" t="s">
        <v>412</v>
      </c>
      <c r="G4" s="27" t="s">
        <v>413</v>
      </c>
      <c r="H4" s="27" t="s">
        <v>216</v>
      </c>
      <c r="I4" s="27" t="s">
        <v>414</v>
      </c>
      <c r="J4" s="27" t="s">
        <v>356</v>
      </c>
      <c r="K4" s="27" t="s">
        <v>67</v>
      </c>
      <c r="L4" s="27" t="s">
        <v>415</v>
      </c>
      <c r="M4" s="27" t="s">
        <v>416</v>
      </c>
      <c r="N4" s="27" t="s">
        <v>68</v>
      </c>
      <c r="O4" s="27" t="s">
        <v>417</v>
      </c>
      <c r="P4" s="27" t="s">
        <v>418</v>
      </c>
      <c r="Q4" s="27" t="s">
        <v>402</v>
      </c>
      <c r="R4" s="27" t="s">
        <v>419</v>
      </c>
      <c r="S4" s="27" t="s">
        <v>420</v>
      </c>
    </row>
    <row r="5" spans="1:19" ht="15" customHeight="1" x14ac:dyDescent="0.2">
      <c r="A5" s="6" t="s">
        <v>535</v>
      </c>
      <c r="B5" s="7"/>
      <c r="C5" s="7"/>
      <c r="D5" s="7"/>
      <c r="E5" s="7"/>
      <c r="F5" s="7"/>
      <c r="G5" s="7"/>
      <c r="H5" s="7"/>
      <c r="I5" s="7"/>
      <c r="J5" s="7"/>
      <c r="K5" s="7"/>
      <c r="L5" s="7"/>
      <c r="M5" s="7"/>
      <c r="N5" s="7"/>
      <c r="O5" s="7"/>
      <c r="P5" s="7"/>
      <c r="Q5" s="7"/>
      <c r="R5" s="7"/>
      <c r="S5" s="7"/>
    </row>
    <row r="6" spans="1:19" ht="15" customHeight="1" x14ac:dyDescent="0.2">
      <c r="A6" s="28" t="s">
        <v>536</v>
      </c>
      <c r="B6" s="3" t="s">
        <v>537</v>
      </c>
      <c r="C6" s="31">
        <f>SUM(E6:G6)</f>
        <v>0</v>
      </c>
      <c r="D6" s="31">
        <f>SUM(H6:S6)</f>
        <v>74</v>
      </c>
      <c r="E6" s="8">
        <f>Volume!E23*Inputs!$C$26+Volume!E24*Inputs!$C$27+Volume!E25*Inputs!$C$28+Volume!E27*Inputs!$C$29</f>
        <v>0</v>
      </c>
      <c r="F6" s="8">
        <f>Volume!F23*Inputs!$C$26+Volume!F24*Inputs!$C$27+Volume!F25*Inputs!$C$28+Volume!F27*Inputs!$C$29</f>
        <v>0</v>
      </c>
      <c r="G6" s="8">
        <f>Volume!G23*Inputs!$C$26+Volume!G24*Inputs!$C$27+Volume!G25*Inputs!$C$28+Volume!G27*Inputs!$C$29</f>
        <v>0</v>
      </c>
      <c r="H6" s="8">
        <f>Volume!H23*Inputs!$C$26+Volume!H24*Inputs!$C$27+Volume!H25*Inputs!$C$28+Volume!H27*Inputs!$C$29</f>
        <v>0</v>
      </c>
      <c r="I6" s="8">
        <f>Volume!I23*Inputs!$C$26+Volume!I24*Inputs!$C$27+Volume!I25*Inputs!$C$28+Volume!I27*Inputs!$C$29</f>
        <v>0</v>
      </c>
      <c r="J6" s="8">
        <f>Volume!J23*Inputs!$C$26+Volume!J24*Inputs!$C$27+Volume!J25*Inputs!$C$28+Volume!J27*Inputs!$C$29</f>
        <v>6</v>
      </c>
      <c r="K6" s="8">
        <f>Volume!K23*Inputs!$C$26+Volume!K24*Inputs!$C$27+Volume!K25*Inputs!$C$28+Volume!K27*Inputs!$C$29</f>
        <v>2</v>
      </c>
      <c r="L6" s="8">
        <f>Volume!L23*Inputs!$C$26+Volume!L24*Inputs!$C$27+Volume!L25*Inputs!$C$28+Volume!L27*Inputs!$C$29</f>
        <v>6</v>
      </c>
      <c r="M6" s="8">
        <f>Volume!M23*Inputs!$C$26+Volume!M24*Inputs!$C$27+Volume!M25*Inputs!$C$28+Volume!M27*Inputs!$C$29</f>
        <v>2</v>
      </c>
      <c r="N6" s="8">
        <f>Volume!N23*Inputs!$C$26+Volume!N24*Inputs!$C$27+Volume!N25*Inputs!$C$28+Volume!N27*Inputs!$C$29</f>
        <v>8</v>
      </c>
      <c r="O6" s="8">
        <f>Volume!O23*Inputs!$C$26+Volume!O24*Inputs!$C$27+Volume!O25*Inputs!$C$28+Volume!O27*Inputs!$C$29</f>
        <v>2</v>
      </c>
      <c r="P6" s="8">
        <f>Volume!P23*Inputs!$C$26+Volume!P24*Inputs!$C$27+Volume!P25*Inputs!$C$28+Volume!P27*Inputs!$C$29</f>
        <v>8</v>
      </c>
      <c r="Q6" s="8">
        <f>Volume!Q23*Inputs!$C$26+Volume!Q24*Inputs!$C$27+Volume!Q25*Inputs!$C$28+Volume!Q27*Inputs!$C$29</f>
        <v>10</v>
      </c>
      <c r="R6" s="8">
        <f>Volume!R23*Inputs!$C$26+Volume!R24*Inputs!$C$27+Volume!R25*Inputs!$C$28+Volume!R27*Inputs!$C$29</f>
        <v>16</v>
      </c>
      <c r="S6" s="8">
        <f>Volume!S23*Inputs!$C$26+Volume!S24*Inputs!$C$27+Volume!S25*Inputs!$C$28+Volume!S27*Inputs!$C$29</f>
        <v>14</v>
      </c>
    </row>
    <row r="7" spans="1:19" ht="15" customHeight="1" x14ac:dyDescent="0.2">
      <c r="A7" s="28" t="s">
        <v>538</v>
      </c>
      <c r="B7" s="3" t="s">
        <v>162</v>
      </c>
      <c r="C7" s="31">
        <f>SUM(E7:G7)</f>
        <v>0</v>
      </c>
      <c r="D7" s="31">
        <f>SUM(H7:S7)</f>
        <v>114</v>
      </c>
      <c r="E7" s="8">
        <f>Volume!E23*Inputs!$C$26*Inputs!$C$30+Volume!E24*Inputs!$C$27*Inputs!$C$31+Volume!E25*Inputs!$C$28*Inputs!$C$32+Volume!E27*Inputs!$C$29*Inputs!$C$33</f>
        <v>0</v>
      </c>
      <c r="F7" s="8">
        <f>Volume!F23*Inputs!$C$26*Inputs!$C$30+Volume!F24*Inputs!$C$27*Inputs!$C$31+Volume!F25*Inputs!$C$28*Inputs!$C$32+Volume!F27*Inputs!$C$29*Inputs!$C$33</f>
        <v>0</v>
      </c>
      <c r="G7" s="8">
        <f>Volume!G23*Inputs!$C$26*Inputs!$C$30+Volume!G24*Inputs!$C$27*Inputs!$C$31+Volume!G25*Inputs!$C$28*Inputs!$C$32+Volume!G27*Inputs!$C$29*Inputs!$C$33</f>
        <v>0</v>
      </c>
      <c r="H7" s="8">
        <f>Volume!H23*Inputs!$C$26*Inputs!$C$30+Volume!H24*Inputs!$C$27*Inputs!$C$31+Volume!H25*Inputs!$C$28*Inputs!$C$32+Volume!H27*Inputs!$C$29*Inputs!$C$33</f>
        <v>0</v>
      </c>
      <c r="I7" s="8">
        <f>Volume!I23*Inputs!$C$26*Inputs!$C$30+Volume!I24*Inputs!$C$27*Inputs!$C$31+Volume!I25*Inputs!$C$28*Inputs!$C$32+Volume!I27*Inputs!$C$29*Inputs!$C$33</f>
        <v>0</v>
      </c>
      <c r="J7" s="8">
        <f>Volume!J23*Inputs!$C$26*Inputs!$C$30+Volume!J24*Inputs!$C$27*Inputs!$C$31+Volume!J25*Inputs!$C$28*Inputs!$C$32+Volume!J27*Inputs!$C$29*Inputs!$C$33</f>
        <v>14</v>
      </c>
      <c r="K7" s="8">
        <f>Volume!K23*Inputs!$C$26*Inputs!$C$30+Volume!K24*Inputs!$C$27*Inputs!$C$31+Volume!K25*Inputs!$C$28*Inputs!$C$32+Volume!K27*Inputs!$C$29*Inputs!$C$33</f>
        <v>2</v>
      </c>
      <c r="L7" s="8">
        <f>Volume!L23*Inputs!$C$26*Inputs!$C$30+Volume!L24*Inputs!$C$27*Inputs!$C$31+Volume!L25*Inputs!$C$28*Inputs!$C$32+Volume!L27*Inputs!$C$29*Inputs!$C$33</f>
        <v>14</v>
      </c>
      <c r="M7" s="8">
        <f>Volume!M23*Inputs!$C$26*Inputs!$C$30+Volume!M24*Inputs!$C$27*Inputs!$C$31+Volume!M25*Inputs!$C$28*Inputs!$C$32+Volume!M27*Inputs!$C$29*Inputs!$C$33</f>
        <v>2</v>
      </c>
      <c r="N7" s="8">
        <f>Volume!N23*Inputs!$C$26*Inputs!$C$30+Volume!N24*Inputs!$C$27*Inputs!$C$31+Volume!N25*Inputs!$C$28*Inputs!$C$32+Volume!N27*Inputs!$C$29*Inputs!$C$33</f>
        <v>16</v>
      </c>
      <c r="O7" s="8">
        <f>Volume!O23*Inputs!$C$26*Inputs!$C$30+Volume!O24*Inputs!$C$27*Inputs!$C$31+Volume!O25*Inputs!$C$28*Inputs!$C$32+Volume!O27*Inputs!$C$29*Inputs!$C$33</f>
        <v>2</v>
      </c>
      <c r="P7" s="8">
        <f>Volume!P23*Inputs!$C$26*Inputs!$C$30+Volume!P24*Inputs!$C$27*Inputs!$C$31+Volume!P25*Inputs!$C$28*Inputs!$C$32+Volume!P27*Inputs!$C$29*Inputs!$C$33</f>
        <v>16</v>
      </c>
      <c r="Q7" s="8">
        <f>Volume!Q23*Inputs!$C$26*Inputs!$C$30+Volume!Q24*Inputs!$C$27*Inputs!$C$31+Volume!Q25*Inputs!$C$28*Inputs!$C$32+Volume!Q27*Inputs!$C$29*Inputs!$C$33</f>
        <v>10</v>
      </c>
      <c r="R7" s="8">
        <f>Volume!R23*Inputs!$C$26*Inputs!$C$30+Volume!R24*Inputs!$C$27*Inputs!$C$31+Volume!R25*Inputs!$C$28*Inputs!$C$32+Volume!R27*Inputs!$C$29*Inputs!$C$33</f>
        <v>24</v>
      </c>
      <c r="S7" s="8">
        <f>Volume!S23*Inputs!$C$26*Inputs!$C$30+Volume!S24*Inputs!$C$27*Inputs!$C$31+Volume!S25*Inputs!$C$28*Inputs!$C$32+Volume!S27*Inputs!$C$29*Inputs!$C$33</f>
        <v>14</v>
      </c>
    </row>
    <row r="8" spans="1:19" ht="15" customHeight="1" x14ac:dyDescent="0.2">
      <c r="A8" s="28" t="s">
        <v>539</v>
      </c>
      <c r="B8" s="3" t="s">
        <v>43</v>
      </c>
      <c r="C8" s="29">
        <f>MAX(E8:G8)</f>
        <v>0</v>
      </c>
      <c r="D8" s="29">
        <f>MAX(H8:S8)</f>
        <v>8</v>
      </c>
      <c r="E8" s="10">
        <f>ROUNDUP(E6/Inputs!$C$34,0)</f>
        <v>0</v>
      </c>
      <c r="F8" s="10">
        <f>ROUNDUP(F6/Inputs!$C$34,0)</f>
        <v>0</v>
      </c>
      <c r="G8" s="10">
        <f>ROUNDUP(G6/Inputs!$C$34,0)</f>
        <v>0</v>
      </c>
      <c r="H8" s="10">
        <f>ROUNDUP(H6/Inputs!$C$34,0)</f>
        <v>0</v>
      </c>
      <c r="I8" s="10">
        <f>ROUNDUP(I6/Inputs!$C$34,0)</f>
        <v>0</v>
      </c>
      <c r="J8" s="10">
        <f>ROUNDUP(J6/Inputs!$C$34,0)</f>
        <v>3</v>
      </c>
      <c r="K8" s="10">
        <f>ROUNDUP(K6/Inputs!$C$34,0)</f>
        <v>1</v>
      </c>
      <c r="L8" s="10">
        <f>ROUNDUP(L6/Inputs!$C$34,0)</f>
        <v>3</v>
      </c>
      <c r="M8" s="10">
        <f>ROUNDUP(M6/Inputs!$C$34,0)</f>
        <v>1</v>
      </c>
      <c r="N8" s="10">
        <f>ROUNDUP(N6/Inputs!$C$34,0)</f>
        <v>4</v>
      </c>
      <c r="O8" s="10">
        <f>ROUNDUP(O6/Inputs!$C$34,0)</f>
        <v>1</v>
      </c>
      <c r="P8" s="10">
        <f>ROUNDUP(P6/Inputs!$C$34,0)</f>
        <v>4</v>
      </c>
      <c r="Q8" s="10">
        <f>ROUNDUP(Q6/Inputs!$C$34,0)</f>
        <v>5</v>
      </c>
      <c r="R8" s="10">
        <f>ROUNDUP(R6/Inputs!$C$34,0)</f>
        <v>8</v>
      </c>
      <c r="S8" s="10">
        <f>ROUNDUP(S6/Inputs!$C$34,0)</f>
        <v>7</v>
      </c>
    </row>
    <row r="9" spans="1:19" ht="15" customHeight="1" x14ac:dyDescent="0.2">
      <c r="A9" s="28" t="s">
        <v>540</v>
      </c>
      <c r="B9" s="3" t="s">
        <v>43</v>
      </c>
      <c r="C9" s="29">
        <f>G9</f>
        <v>2</v>
      </c>
      <c r="D9" s="29">
        <f>S9</f>
        <v>8</v>
      </c>
      <c r="E9" s="10">
        <f>MAX(Inputs!$C$35,E8)</f>
        <v>2</v>
      </c>
      <c r="F9" s="10">
        <f t="shared" ref="F9:S9" si="0">MAX(E9,F8)</f>
        <v>2</v>
      </c>
      <c r="G9" s="10">
        <f t="shared" si="0"/>
        <v>2</v>
      </c>
      <c r="H9" s="10">
        <f t="shared" si="0"/>
        <v>2</v>
      </c>
      <c r="I9" s="10">
        <f t="shared" si="0"/>
        <v>2</v>
      </c>
      <c r="J9" s="10">
        <f t="shared" si="0"/>
        <v>3</v>
      </c>
      <c r="K9" s="10">
        <f t="shared" si="0"/>
        <v>3</v>
      </c>
      <c r="L9" s="10">
        <f t="shared" si="0"/>
        <v>3</v>
      </c>
      <c r="M9" s="10">
        <f t="shared" si="0"/>
        <v>3</v>
      </c>
      <c r="N9" s="10">
        <f t="shared" si="0"/>
        <v>4</v>
      </c>
      <c r="O9" s="10">
        <f t="shared" si="0"/>
        <v>4</v>
      </c>
      <c r="P9" s="10">
        <f t="shared" si="0"/>
        <v>4</v>
      </c>
      <c r="Q9" s="10">
        <f t="shared" si="0"/>
        <v>5</v>
      </c>
      <c r="R9" s="10">
        <f t="shared" si="0"/>
        <v>8</v>
      </c>
      <c r="S9" s="10">
        <f t="shared" si="0"/>
        <v>8</v>
      </c>
    </row>
    <row r="10" spans="1:19" ht="15" customHeight="1" x14ac:dyDescent="0.2">
      <c r="A10" s="28" t="s">
        <v>541</v>
      </c>
      <c r="B10" s="3" t="s">
        <v>43</v>
      </c>
      <c r="C10" s="29">
        <f>SUM(E10:G10)</f>
        <v>0</v>
      </c>
      <c r="D10" s="29">
        <f>SUM(H10:S10)</f>
        <v>6</v>
      </c>
      <c r="E10" s="10">
        <f>E9-Inputs!$C$35</f>
        <v>0</v>
      </c>
      <c r="F10" s="10">
        <f t="shared" ref="F10:S10" si="1">F9-E9</f>
        <v>0</v>
      </c>
      <c r="G10" s="10">
        <f t="shared" si="1"/>
        <v>0</v>
      </c>
      <c r="H10" s="10">
        <f t="shared" si="1"/>
        <v>0</v>
      </c>
      <c r="I10" s="10">
        <f t="shared" si="1"/>
        <v>0</v>
      </c>
      <c r="J10" s="10">
        <f t="shared" si="1"/>
        <v>1</v>
      </c>
      <c r="K10" s="10">
        <f t="shared" si="1"/>
        <v>0</v>
      </c>
      <c r="L10" s="10">
        <f t="shared" si="1"/>
        <v>0</v>
      </c>
      <c r="M10" s="10">
        <f t="shared" si="1"/>
        <v>0</v>
      </c>
      <c r="N10" s="10">
        <f t="shared" si="1"/>
        <v>1</v>
      </c>
      <c r="O10" s="10">
        <f t="shared" si="1"/>
        <v>0</v>
      </c>
      <c r="P10" s="10">
        <f t="shared" si="1"/>
        <v>0</v>
      </c>
      <c r="Q10" s="10">
        <f t="shared" si="1"/>
        <v>1</v>
      </c>
      <c r="R10" s="10">
        <f t="shared" si="1"/>
        <v>3</v>
      </c>
      <c r="S10" s="10">
        <f t="shared" si="1"/>
        <v>0</v>
      </c>
    </row>
    <row r="11" spans="1:19" ht="15" customHeight="1" x14ac:dyDescent="0.2">
      <c r="A11" s="28" t="s">
        <v>542</v>
      </c>
      <c r="B11" s="3" t="s">
        <v>43</v>
      </c>
      <c r="C11" s="29">
        <f>MIN(E11:G11)</f>
        <v>11</v>
      </c>
      <c r="D11" s="29">
        <f>MIN(H11:S11)</f>
        <v>3</v>
      </c>
      <c r="E11" s="10">
        <f>Inputs!$C$36-E8</f>
        <v>11</v>
      </c>
      <c r="F11" s="10">
        <f>Inputs!$C$36-F8</f>
        <v>11</v>
      </c>
      <c r="G11" s="10">
        <f>Inputs!$C$36-G8</f>
        <v>11</v>
      </c>
      <c r="H11" s="10">
        <f>Inputs!$C$36-H8</f>
        <v>11</v>
      </c>
      <c r="I11" s="10">
        <f>Inputs!$C$36-I8</f>
        <v>11</v>
      </c>
      <c r="J11" s="10">
        <f>Inputs!$C$36-J8</f>
        <v>8</v>
      </c>
      <c r="K11" s="10">
        <f>Inputs!$C$36-K8</f>
        <v>10</v>
      </c>
      <c r="L11" s="10">
        <f>Inputs!$C$36-L8</f>
        <v>8</v>
      </c>
      <c r="M11" s="10">
        <f>Inputs!$C$36-M8</f>
        <v>10</v>
      </c>
      <c r="N11" s="10">
        <f>Inputs!$C$36-N8</f>
        <v>7</v>
      </c>
      <c r="O11" s="10">
        <f>Inputs!$C$36-O8</f>
        <v>10</v>
      </c>
      <c r="P11" s="10">
        <f>Inputs!$C$36-P8</f>
        <v>7</v>
      </c>
      <c r="Q11" s="10">
        <f>Inputs!$C$36-Q8</f>
        <v>6</v>
      </c>
      <c r="R11" s="10">
        <f>Inputs!$C$36-R8</f>
        <v>3</v>
      </c>
      <c r="S11" s="10">
        <f>Inputs!$C$36-S8</f>
        <v>4</v>
      </c>
    </row>
    <row r="12" spans="1:19" ht="15" customHeight="1" x14ac:dyDescent="0.2">
      <c r="A12" s="2"/>
      <c r="B12" s="2"/>
      <c r="C12" s="2"/>
      <c r="D12" s="2"/>
      <c r="E12" s="2"/>
      <c r="F12" s="2"/>
      <c r="G12" s="2"/>
      <c r="H12" s="2"/>
      <c r="I12" s="2"/>
      <c r="J12" s="2"/>
      <c r="K12" s="2"/>
      <c r="L12" s="2"/>
      <c r="M12" s="2"/>
      <c r="N12" s="2"/>
      <c r="O12" s="2"/>
      <c r="P12" s="2"/>
      <c r="Q12" s="2"/>
      <c r="R12" s="2"/>
      <c r="S12" s="2"/>
    </row>
    <row r="13" spans="1:19" ht="15" customHeight="1" x14ac:dyDescent="0.2">
      <c r="A13" s="6" t="s">
        <v>543</v>
      </c>
      <c r="B13" s="7"/>
      <c r="C13" s="7"/>
      <c r="D13" s="7"/>
      <c r="E13" s="7"/>
      <c r="F13" s="7"/>
      <c r="G13" s="7"/>
      <c r="H13" s="7"/>
      <c r="I13" s="7"/>
      <c r="J13" s="7"/>
      <c r="K13" s="7"/>
      <c r="L13" s="7"/>
      <c r="M13" s="7"/>
      <c r="N13" s="7"/>
      <c r="O13" s="7"/>
      <c r="P13" s="7"/>
      <c r="Q13" s="7"/>
      <c r="R13" s="7"/>
      <c r="S13" s="7"/>
    </row>
    <row r="14" spans="1:19" ht="15" customHeight="1" x14ac:dyDescent="0.2">
      <c r="A14" s="28" t="s">
        <v>544</v>
      </c>
      <c r="B14" s="3" t="s">
        <v>26</v>
      </c>
      <c r="C14" s="31">
        <f>MAX(E14:G14)</f>
        <v>0</v>
      </c>
      <c r="D14" s="31">
        <f>MAX(H14:S14)</f>
        <v>5.333333333333333</v>
      </c>
      <c r="E14" s="8">
        <f>AVERAGE(Volume!E29:E29)</f>
        <v>0</v>
      </c>
      <c r="F14" s="8">
        <f>AVERAGE(Volume!E29:F29)</f>
        <v>0</v>
      </c>
      <c r="G14" s="8">
        <f>AVERAGE(Volume!E29:G29)</f>
        <v>0</v>
      </c>
      <c r="H14" s="8">
        <f>AVERAGE(Volume!F29:H29)</f>
        <v>0</v>
      </c>
      <c r="I14" s="8">
        <f>AVERAGE(Volume!G29:I29)</f>
        <v>0</v>
      </c>
      <c r="J14" s="8">
        <f>AVERAGE(Volume!H29:J29)</f>
        <v>0.66666666666666663</v>
      </c>
      <c r="K14" s="8">
        <f>AVERAGE(Volume!I29:K29)</f>
        <v>1</v>
      </c>
      <c r="L14" s="8">
        <f>AVERAGE(Volume!J29:L29)</f>
        <v>1.6666666666666667</v>
      </c>
      <c r="M14" s="8">
        <f>AVERAGE(Volume!K29:M29)</f>
        <v>1.3333333333333333</v>
      </c>
      <c r="N14" s="8">
        <f>AVERAGE(Volume!L29:N29)</f>
        <v>2</v>
      </c>
      <c r="O14" s="8">
        <f>AVERAGE(Volume!M29:O29)</f>
        <v>1.6666666666666667</v>
      </c>
      <c r="P14" s="8">
        <f>AVERAGE(Volume!N29:P29)</f>
        <v>2.3333333333333335</v>
      </c>
      <c r="Q14" s="8">
        <f>AVERAGE(Volume!O29:Q29)</f>
        <v>2.6666666666666665</v>
      </c>
      <c r="R14" s="8">
        <f>AVERAGE(Volume!P29:R29)</f>
        <v>4.333333333333333</v>
      </c>
      <c r="S14" s="8">
        <f>AVERAGE(Volume!Q29:S29)</f>
        <v>5.333333333333333</v>
      </c>
    </row>
    <row r="15" spans="1:19" ht="15" customHeight="1" x14ac:dyDescent="0.2">
      <c r="A15" s="28" t="s">
        <v>545</v>
      </c>
      <c r="B15" s="3" t="s">
        <v>425</v>
      </c>
      <c r="C15" s="29">
        <f>G15</f>
        <v>0</v>
      </c>
      <c r="D15" s="29">
        <f>S15</f>
        <v>1</v>
      </c>
      <c r="E15" s="10">
        <f>0</f>
        <v>0</v>
      </c>
      <c r="F15" s="10">
        <f>IF(OR(E15=1,E14&gt;=Inputs!$C$57),1,0)</f>
        <v>0</v>
      </c>
      <c r="G15" s="10">
        <f>IF(OR(F15=1,F14&gt;=Inputs!$C$57),1,0)</f>
        <v>0</v>
      </c>
      <c r="H15" s="10">
        <f>IF(OR(G15=1,G14&gt;=Inputs!$C$57),1,0)</f>
        <v>0</v>
      </c>
      <c r="I15" s="10">
        <f>IF(OR(H15=1,H14&gt;=Inputs!$C$57),1,0)</f>
        <v>0</v>
      </c>
      <c r="J15" s="10">
        <f>IF(OR(I15=1,I14&gt;=Inputs!$C$57),1,0)</f>
        <v>0</v>
      </c>
      <c r="K15" s="10">
        <f>IF(OR(J15=1,J14&gt;=Inputs!$C$57),1,0)</f>
        <v>0</v>
      </c>
      <c r="L15" s="10">
        <f>IF(OR(K15=1,K14&gt;=Inputs!$C$57),1,0)</f>
        <v>0</v>
      </c>
      <c r="M15" s="10">
        <f>IF(OR(L15=1,L14&gt;=Inputs!$C$57),1,0)</f>
        <v>0</v>
      </c>
      <c r="N15" s="10">
        <f>IF(OR(M15=1,M14&gt;=Inputs!$C$57),1,0)</f>
        <v>0</v>
      </c>
      <c r="O15" s="10">
        <f>IF(OR(N15=1,N14&gt;=Inputs!$C$57),1,0)</f>
        <v>0</v>
      </c>
      <c r="P15" s="10">
        <f>IF(OR(O15=1,O14&gt;=Inputs!$C$57),1,0)</f>
        <v>0</v>
      </c>
      <c r="Q15" s="10">
        <f>IF(OR(P15=1,P14&gt;=Inputs!$C$57),1,0)</f>
        <v>0</v>
      </c>
      <c r="R15" s="10">
        <f>IF(OR(Q15=1,Q14&gt;=Inputs!$C$57),1,0)</f>
        <v>0</v>
      </c>
      <c r="S15" s="10">
        <f>IF(OR(R15=1,R14&gt;=Inputs!$C$57),1,0)</f>
        <v>1</v>
      </c>
    </row>
    <row r="16" spans="1:19" ht="15" customHeight="1" x14ac:dyDescent="0.2">
      <c r="A16" s="28" t="s">
        <v>546</v>
      </c>
      <c r="B16" s="3" t="s">
        <v>425</v>
      </c>
      <c r="C16" s="29">
        <f>G16</f>
        <v>0</v>
      </c>
      <c r="D16" s="29">
        <f>S16</f>
        <v>0</v>
      </c>
      <c r="E16" s="10">
        <f>IF(AND(Inputs!$C$52=1,Volume!E6&gt;=IFERROR(MATCH(Inputs!$C$54,Volume!$E$4:$S$4,0),99)),1,0)</f>
        <v>0</v>
      </c>
      <c r="F16" s="10">
        <f>IF(AND(Inputs!$C$52=1,Volume!F6&gt;=IFERROR(MATCH(Inputs!$C$54,Volume!$E$4:$S$4,0),99)),1,0)</f>
        <v>0</v>
      </c>
      <c r="G16" s="10">
        <f>IF(AND(Inputs!$C$52=1,Volume!G6&gt;=IFERROR(MATCH(Inputs!$C$54,Volume!$E$4:$S$4,0),99)),1,0)</f>
        <v>0</v>
      </c>
      <c r="H16" s="10">
        <f>IF(AND(Inputs!$C$52=1,Volume!H6&gt;=IFERROR(MATCH(Inputs!$C$54,Volume!$E$4:$S$4,0),99)),1,0)</f>
        <v>0</v>
      </c>
      <c r="I16" s="10">
        <f>IF(AND(Inputs!$C$52=1,Volume!I6&gt;=IFERROR(MATCH(Inputs!$C$54,Volume!$E$4:$S$4,0),99)),1,0)</f>
        <v>0</v>
      </c>
      <c r="J16" s="10">
        <f>IF(AND(Inputs!$C$52=1,Volume!J6&gt;=IFERROR(MATCH(Inputs!$C$54,Volume!$E$4:$S$4,0),99)),1,0)</f>
        <v>0</v>
      </c>
      <c r="K16" s="10">
        <f>IF(AND(Inputs!$C$52=1,Volume!K6&gt;=IFERROR(MATCH(Inputs!$C$54,Volume!$E$4:$S$4,0),99)),1,0)</f>
        <v>0</v>
      </c>
      <c r="L16" s="10">
        <f>IF(AND(Inputs!$C$52=1,Volume!L6&gt;=IFERROR(MATCH(Inputs!$C$54,Volume!$E$4:$S$4,0),99)),1,0)</f>
        <v>0</v>
      </c>
      <c r="M16" s="10">
        <f>IF(AND(Inputs!$C$52=1,Volume!M6&gt;=IFERROR(MATCH(Inputs!$C$54,Volume!$E$4:$S$4,0),99)),1,0)</f>
        <v>0</v>
      </c>
      <c r="N16" s="10">
        <f>IF(AND(Inputs!$C$52=1,Volume!N6&gt;=IFERROR(MATCH(Inputs!$C$54,Volume!$E$4:$S$4,0),99)),1,0)</f>
        <v>0</v>
      </c>
      <c r="O16" s="10">
        <f>IF(AND(Inputs!$C$52=1,Volume!O6&gt;=IFERROR(MATCH(Inputs!$C$54,Volume!$E$4:$S$4,0),99)),1,0)</f>
        <v>0</v>
      </c>
      <c r="P16" s="10">
        <f>IF(AND(Inputs!$C$52=1,Volume!P6&gt;=IFERROR(MATCH(Inputs!$C$54,Volume!$E$4:$S$4,0),99)),1,0)</f>
        <v>0</v>
      </c>
      <c r="Q16" s="10">
        <f>IF(AND(Inputs!$C$52=1,Volume!Q6&gt;=IFERROR(MATCH(Inputs!$C$54,Volume!$E$4:$S$4,0),99)),1,0)</f>
        <v>0</v>
      </c>
      <c r="R16" s="10">
        <f>IF(AND(Inputs!$C$52=1,Volume!R6&gt;=IFERROR(MATCH(Inputs!$C$54,Volume!$E$4:$S$4,0),99)),1,0)</f>
        <v>0</v>
      </c>
      <c r="S16" s="10">
        <f>IF(AND(Inputs!$C$52=1,Volume!S6&gt;=IFERROR(MATCH(Inputs!$C$54,Volume!$E$4:$S$4,0),99)),1,0)</f>
        <v>0</v>
      </c>
    </row>
    <row r="17" spans="1:19" ht="15" customHeight="1" x14ac:dyDescent="0.2">
      <c r="A17" s="28" t="s">
        <v>547</v>
      </c>
      <c r="B17" s="3" t="s">
        <v>425</v>
      </c>
      <c r="C17" s="29">
        <f>G17</f>
        <v>0</v>
      </c>
      <c r="D17" s="29">
        <f>S17</f>
        <v>1</v>
      </c>
      <c r="E17" s="10">
        <f>IF(Volume!E6&gt;=IFERROR(MATCH(Inputs!$C$51,Volume!$E$4:$S$4,0),99),1,0)</f>
        <v>0</v>
      </c>
      <c r="F17" s="10">
        <f>IF(Volume!F6&gt;=IFERROR(MATCH(Inputs!$C$51,Volume!$E$4:$S$4,0),99),1,0)</f>
        <v>0</v>
      </c>
      <c r="G17" s="10">
        <f>IF(Volume!G6&gt;=IFERROR(MATCH(Inputs!$C$51,Volume!$E$4:$S$4,0),99),1,0)</f>
        <v>0</v>
      </c>
      <c r="H17" s="10">
        <f>IF(Volume!H6&gt;=IFERROR(MATCH(Inputs!$C$51,Volume!$E$4:$S$4,0),99),1,0)</f>
        <v>0</v>
      </c>
      <c r="I17" s="10">
        <f>IF(Volume!I6&gt;=IFERROR(MATCH(Inputs!$C$51,Volume!$E$4:$S$4,0),99),1,0)</f>
        <v>0</v>
      </c>
      <c r="J17" s="10">
        <f>IF(Volume!J6&gt;=IFERROR(MATCH(Inputs!$C$51,Volume!$E$4:$S$4,0),99),1,0)</f>
        <v>0</v>
      </c>
      <c r="K17" s="10">
        <f>IF(Volume!K6&gt;=IFERROR(MATCH(Inputs!$C$51,Volume!$E$4:$S$4,0),99),1,0)</f>
        <v>0</v>
      </c>
      <c r="L17" s="10">
        <f>IF(Volume!L6&gt;=IFERROR(MATCH(Inputs!$C$51,Volume!$E$4:$S$4,0),99),1,0)</f>
        <v>1</v>
      </c>
      <c r="M17" s="10">
        <f>IF(Volume!M6&gt;=IFERROR(MATCH(Inputs!$C$51,Volume!$E$4:$S$4,0),99),1,0)</f>
        <v>1</v>
      </c>
      <c r="N17" s="10">
        <f>IF(Volume!N6&gt;=IFERROR(MATCH(Inputs!$C$51,Volume!$E$4:$S$4,0),99),1,0)</f>
        <v>1</v>
      </c>
      <c r="O17" s="10">
        <f>IF(Volume!O6&gt;=IFERROR(MATCH(Inputs!$C$51,Volume!$E$4:$S$4,0),99),1,0)</f>
        <v>1</v>
      </c>
      <c r="P17" s="10">
        <f>IF(Volume!P6&gt;=IFERROR(MATCH(Inputs!$C$51,Volume!$E$4:$S$4,0),99),1,0)</f>
        <v>1</v>
      </c>
      <c r="Q17" s="10">
        <f>IF(Volume!Q6&gt;=IFERROR(MATCH(Inputs!$C$51,Volume!$E$4:$S$4,0),99),1,0)</f>
        <v>1</v>
      </c>
      <c r="R17" s="10">
        <f>IF(Volume!R6&gt;=IFERROR(MATCH(Inputs!$C$51,Volume!$E$4:$S$4,0),99),1,0)</f>
        <v>1</v>
      </c>
      <c r="S17" s="10">
        <f>IF(Volume!S6&gt;=IFERROR(MATCH(Inputs!$C$51,Volume!$E$4:$S$4,0),99),1,0)</f>
        <v>1</v>
      </c>
    </row>
    <row r="18" spans="1:19" ht="15" customHeight="1" x14ac:dyDescent="0.2">
      <c r="A18" s="28" t="s">
        <v>548</v>
      </c>
      <c r="B18" s="3" t="s">
        <v>239</v>
      </c>
      <c r="C18" s="31">
        <f>MAX(E18:G18)</f>
        <v>2.33</v>
      </c>
      <c r="D18" s="31">
        <f>MAX(H18:S18)</f>
        <v>11.33</v>
      </c>
      <c r="E18" s="8">
        <f>Volume!E23+Volume!E24+Volume!E25+Volume!E26+Volume!E27+Inputs!$C$59</f>
        <v>2.33</v>
      </c>
      <c r="F18" s="8">
        <f>Volume!F23+Volume!F24+Volume!F25+Volume!F26+Volume!F27+Inputs!$C$59</f>
        <v>2.33</v>
      </c>
      <c r="G18" s="8">
        <f>Volume!G23+Volume!G24+Volume!G25+Volume!G26+Volume!G27+Inputs!$C$59</f>
        <v>2.33</v>
      </c>
      <c r="H18" s="8">
        <f>Volume!H23+Volume!H24+Volume!H25+Volume!H26+Volume!H27+Inputs!$C$59</f>
        <v>2.33</v>
      </c>
      <c r="I18" s="8">
        <f>Volume!I23+Volume!I24+Volume!I25+Volume!I26+Volume!I27+Inputs!$C$59</f>
        <v>2.33</v>
      </c>
      <c r="J18" s="8">
        <f>Volume!J23+Volume!J24+Volume!J25+Volume!J26+Volume!J27+Inputs!$C$59</f>
        <v>4.33</v>
      </c>
      <c r="K18" s="8">
        <f>Volume!K23+Volume!K24+Volume!K25+Volume!K26+Volume!K27+Inputs!$C$59</f>
        <v>4.33</v>
      </c>
      <c r="L18" s="8">
        <f>Volume!L23+Volume!L24+Volume!L25+Volume!L26+Volume!L27+Inputs!$C$59</f>
        <v>5.33</v>
      </c>
      <c r="M18" s="8">
        <f>Volume!M23+Volume!M24+Volume!M25+Volume!M26+Volume!M27+Inputs!$C$59</f>
        <v>4.33</v>
      </c>
      <c r="N18" s="8">
        <f>Volume!N23+Volume!N24+Volume!N25+Volume!N26+Volume!N27+Inputs!$C$59</f>
        <v>7.33</v>
      </c>
      <c r="O18" s="8">
        <f>Volume!O23+Volume!O24+Volume!O25+Volume!O26+Volume!O27+Inputs!$C$59</f>
        <v>5.33</v>
      </c>
      <c r="P18" s="8">
        <f>Volume!P23+Volume!P24+Volume!P25+Volume!P26+Volume!P27+Inputs!$C$59</f>
        <v>7.33</v>
      </c>
      <c r="Q18" s="8">
        <f>Volume!Q23+Volume!Q24+Volume!Q25+Volume!Q26+Volume!Q27+Inputs!$C$59</f>
        <v>9.33</v>
      </c>
      <c r="R18" s="8">
        <f>Volume!R23+Volume!R24+Volume!R25+Volume!R26+Volume!R27+Inputs!$C$59</f>
        <v>11.33</v>
      </c>
      <c r="S18" s="8">
        <f>Volume!S23+Volume!S24+Volume!S25+Volume!S26+Volume!S27+Inputs!$C$59</f>
        <v>11.33</v>
      </c>
    </row>
    <row r="19" spans="1:19" ht="15" customHeight="1" x14ac:dyDescent="0.2">
      <c r="A19" s="28" t="s">
        <v>549</v>
      </c>
      <c r="B19" s="3" t="s">
        <v>425</v>
      </c>
      <c r="C19" s="29">
        <f>G19</f>
        <v>0</v>
      </c>
      <c r="D19" s="29">
        <f>S19</f>
        <v>0</v>
      </c>
      <c r="E19" s="10">
        <f>IF(E18&gt;Inputs!$C$58,1,0)</f>
        <v>0</v>
      </c>
      <c r="F19" s="10">
        <f>IF(OR(E19=1,F18&gt;Inputs!$C$58),1,0)</f>
        <v>0</v>
      </c>
      <c r="G19" s="10">
        <f>IF(OR(F19=1,G18&gt;Inputs!$C$58),1,0)</f>
        <v>0</v>
      </c>
      <c r="H19" s="10">
        <f>IF(OR(G19=1,H18&gt;Inputs!$C$58),1,0)</f>
        <v>0</v>
      </c>
      <c r="I19" s="10">
        <f>IF(OR(H19=1,I18&gt;Inputs!$C$58),1,0)</f>
        <v>0</v>
      </c>
      <c r="J19" s="10">
        <f>IF(OR(I19=1,J18&gt;Inputs!$C$58),1,0)</f>
        <v>0</v>
      </c>
      <c r="K19" s="10">
        <f>IF(OR(J19=1,K18&gt;Inputs!$C$58),1,0)</f>
        <v>0</v>
      </c>
      <c r="L19" s="10">
        <f>IF(OR(K19=1,L18&gt;Inputs!$C$58),1,0)</f>
        <v>0</v>
      </c>
      <c r="M19" s="10">
        <f>IF(OR(L19=1,M18&gt;Inputs!$C$58),1,0)</f>
        <v>0</v>
      </c>
      <c r="N19" s="10">
        <f>IF(OR(M19=1,N18&gt;Inputs!$C$58),1,0)</f>
        <v>0</v>
      </c>
      <c r="O19" s="10">
        <f>IF(OR(N19=1,O18&gt;Inputs!$C$58),1,0)</f>
        <v>0</v>
      </c>
      <c r="P19" s="10">
        <f>IF(OR(O19=1,P18&gt;Inputs!$C$58),1,0)</f>
        <v>0</v>
      </c>
      <c r="Q19" s="10">
        <f>IF(OR(P19=1,Q18&gt;Inputs!$C$58),1,0)</f>
        <v>0</v>
      </c>
      <c r="R19" s="10">
        <f>IF(OR(Q19=1,R18&gt;Inputs!$C$58),1,0)</f>
        <v>0</v>
      </c>
      <c r="S19" s="10">
        <f>IF(OR(R19=1,S18&gt;Inputs!$C$58),1,0)</f>
        <v>0</v>
      </c>
    </row>
    <row r="20" spans="1:19" ht="15" customHeight="1" x14ac:dyDescent="0.2">
      <c r="A20" s="2"/>
      <c r="B20" s="2"/>
      <c r="C20" s="2"/>
      <c r="D20" s="2"/>
      <c r="E20" s="2"/>
      <c r="F20" s="2"/>
      <c r="G20" s="2"/>
      <c r="H20" s="2"/>
      <c r="I20" s="2"/>
      <c r="J20" s="2"/>
      <c r="K20" s="2"/>
      <c r="L20" s="2"/>
      <c r="M20" s="2"/>
      <c r="N20" s="2"/>
      <c r="O20" s="2"/>
      <c r="P20" s="2"/>
      <c r="Q20" s="2"/>
      <c r="R20" s="2"/>
      <c r="S20" s="2"/>
    </row>
    <row r="21" spans="1:19" ht="15" customHeight="1" x14ac:dyDescent="0.2">
      <c r="A21" s="6" t="s">
        <v>550</v>
      </c>
      <c r="B21" s="7"/>
      <c r="C21" s="7"/>
      <c r="D21" s="7"/>
      <c r="E21" s="7"/>
      <c r="F21" s="7"/>
      <c r="G21" s="7"/>
      <c r="H21" s="7"/>
      <c r="I21" s="7"/>
      <c r="J21" s="7"/>
      <c r="K21" s="7"/>
      <c r="L21" s="7"/>
      <c r="M21" s="7"/>
      <c r="N21" s="7"/>
      <c r="O21" s="7"/>
      <c r="P21" s="7"/>
      <c r="Q21" s="7"/>
      <c r="R21" s="7"/>
      <c r="S21" s="7"/>
    </row>
    <row r="22" spans="1:19" ht="15" customHeight="1" x14ac:dyDescent="0.2">
      <c r="A22" s="28" t="s">
        <v>551</v>
      </c>
      <c r="B22" s="3" t="s">
        <v>10</v>
      </c>
      <c r="C22" s="31">
        <f t="shared" ref="C22:C32" si="2">SUM(E22:G22)</f>
        <v>33.900000000000006</v>
      </c>
      <c r="D22" s="31">
        <f t="shared" ref="D22:D32" si="3">SUM(H22:S22)</f>
        <v>135.6</v>
      </c>
      <c r="E22" s="8">
        <f>Inputs!$C$39+Inputs!$C$40+Inputs!$C$41+Inputs!$C$42+Inputs!$C$43+Inputs!$C$44</f>
        <v>11.3</v>
      </c>
      <c r="F22" s="8">
        <f>Inputs!$C$39+Inputs!$C$40+Inputs!$C$41+Inputs!$C$42+Inputs!$C$43+Inputs!$C$44</f>
        <v>11.3</v>
      </c>
      <c r="G22" s="8">
        <f>Inputs!$C$39+Inputs!$C$40+Inputs!$C$41+Inputs!$C$42+Inputs!$C$43+Inputs!$C$44</f>
        <v>11.3</v>
      </c>
      <c r="H22" s="8">
        <f>Inputs!$C$39+Inputs!$C$40+Inputs!$C$41+Inputs!$C$42+Inputs!$C$43+Inputs!$C$44</f>
        <v>11.3</v>
      </c>
      <c r="I22" s="8">
        <f>Inputs!$C$39+Inputs!$C$40+Inputs!$C$41+Inputs!$C$42+Inputs!$C$43+Inputs!$C$44</f>
        <v>11.3</v>
      </c>
      <c r="J22" s="8">
        <f>Inputs!$C$39+Inputs!$C$40+Inputs!$C$41+Inputs!$C$42+Inputs!$C$43+Inputs!$C$44</f>
        <v>11.3</v>
      </c>
      <c r="K22" s="8">
        <f>Inputs!$C$39+Inputs!$C$40+Inputs!$C$41+Inputs!$C$42+Inputs!$C$43+Inputs!$C$44</f>
        <v>11.3</v>
      </c>
      <c r="L22" s="8">
        <f>Inputs!$C$39+Inputs!$C$40+Inputs!$C$41+Inputs!$C$42+Inputs!$C$43+Inputs!$C$44</f>
        <v>11.3</v>
      </c>
      <c r="M22" s="8">
        <f>Inputs!$C$39+Inputs!$C$40+Inputs!$C$41+Inputs!$C$42+Inputs!$C$43+Inputs!$C$44</f>
        <v>11.3</v>
      </c>
      <c r="N22" s="8">
        <f>Inputs!$C$39+Inputs!$C$40+Inputs!$C$41+Inputs!$C$42+Inputs!$C$43+Inputs!$C$44</f>
        <v>11.3</v>
      </c>
      <c r="O22" s="8">
        <f>Inputs!$C$39+Inputs!$C$40+Inputs!$C$41+Inputs!$C$42+Inputs!$C$43+Inputs!$C$44</f>
        <v>11.3</v>
      </c>
      <c r="P22" s="8">
        <f>Inputs!$C$39+Inputs!$C$40+Inputs!$C$41+Inputs!$C$42+Inputs!$C$43+Inputs!$C$44</f>
        <v>11.3</v>
      </c>
      <c r="Q22" s="8">
        <f>Inputs!$C$39+Inputs!$C$40+Inputs!$C$41+Inputs!$C$42+Inputs!$C$43+Inputs!$C$44</f>
        <v>11.3</v>
      </c>
      <c r="R22" s="8">
        <f>Inputs!$C$39+Inputs!$C$40+Inputs!$C$41+Inputs!$C$42+Inputs!$C$43+Inputs!$C$44</f>
        <v>11.3</v>
      </c>
      <c r="S22" s="8">
        <f>Inputs!$C$39+Inputs!$C$40+Inputs!$C$41+Inputs!$C$42+Inputs!$C$43+Inputs!$C$44</f>
        <v>11.3</v>
      </c>
    </row>
    <row r="23" spans="1:19" ht="15" customHeight="1" x14ac:dyDescent="0.2">
      <c r="A23" s="28" t="s">
        <v>552</v>
      </c>
      <c r="B23" s="3" t="s">
        <v>10</v>
      </c>
      <c r="C23" s="31">
        <f t="shared" si="2"/>
        <v>6.2397500000000106</v>
      </c>
      <c r="D23" s="31">
        <f t="shared" si="3"/>
        <v>24.959000000000035</v>
      </c>
      <c r="E23" s="8">
        <f>Inputs!$C$45</f>
        <v>2.0799166666666702</v>
      </c>
      <c r="F23" s="8">
        <f>Inputs!$C$45</f>
        <v>2.0799166666666702</v>
      </c>
      <c r="G23" s="8">
        <f>Inputs!$C$45</f>
        <v>2.0799166666666702</v>
      </c>
      <c r="H23" s="8">
        <f>Inputs!$C$45</f>
        <v>2.0799166666666702</v>
      </c>
      <c r="I23" s="8">
        <f>Inputs!$C$45</f>
        <v>2.0799166666666702</v>
      </c>
      <c r="J23" s="8">
        <f>Inputs!$C$45</f>
        <v>2.0799166666666702</v>
      </c>
      <c r="K23" s="8">
        <f>Inputs!$C$45</f>
        <v>2.0799166666666702</v>
      </c>
      <c r="L23" s="8">
        <f>Inputs!$C$45</f>
        <v>2.0799166666666702</v>
      </c>
      <c r="M23" s="8">
        <f>Inputs!$C$45</f>
        <v>2.0799166666666702</v>
      </c>
      <c r="N23" s="8">
        <f>Inputs!$C$45</f>
        <v>2.0799166666666702</v>
      </c>
      <c r="O23" s="8">
        <f>Inputs!$C$45</f>
        <v>2.0799166666666702</v>
      </c>
      <c r="P23" s="8">
        <f>Inputs!$C$45</f>
        <v>2.0799166666666702</v>
      </c>
      <c r="Q23" s="8">
        <f>Inputs!$C$45</f>
        <v>2.0799166666666702</v>
      </c>
      <c r="R23" s="8">
        <f>Inputs!$C$45</f>
        <v>2.0799166666666702</v>
      </c>
      <c r="S23" s="8">
        <f>Inputs!$C$45</f>
        <v>2.0799166666666702</v>
      </c>
    </row>
    <row r="24" spans="1:19" ht="15" customHeight="1" x14ac:dyDescent="0.2">
      <c r="A24" s="28" t="s">
        <v>553</v>
      </c>
      <c r="B24" s="3" t="s">
        <v>10</v>
      </c>
      <c r="C24" s="31">
        <f t="shared" si="2"/>
        <v>17.399999999999999</v>
      </c>
      <c r="D24" s="31">
        <f t="shared" si="3"/>
        <v>69.59999999999998</v>
      </c>
      <c r="E24" s="8">
        <f>Inputs!$C$46</f>
        <v>5.8</v>
      </c>
      <c r="F24" s="8">
        <f>Inputs!$C$46</f>
        <v>5.8</v>
      </c>
      <c r="G24" s="8">
        <f>Inputs!$C$46</f>
        <v>5.8</v>
      </c>
      <c r="H24" s="8">
        <f>Inputs!$C$46</f>
        <v>5.8</v>
      </c>
      <c r="I24" s="8">
        <f>Inputs!$C$46</f>
        <v>5.8</v>
      </c>
      <c r="J24" s="8">
        <f>Inputs!$C$46</f>
        <v>5.8</v>
      </c>
      <c r="K24" s="8">
        <f>Inputs!$C$46</f>
        <v>5.8</v>
      </c>
      <c r="L24" s="8">
        <f>Inputs!$C$46</f>
        <v>5.8</v>
      </c>
      <c r="M24" s="8">
        <f>Inputs!$C$46</f>
        <v>5.8</v>
      </c>
      <c r="N24" s="8">
        <f>Inputs!$C$46</f>
        <v>5.8</v>
      </c>
      <c r="O24" s="8">
        <f>Inputs!$C$46</f>
        <v>5.8</v>
      </c>
      <c r="P24" s="8">
        <f>Inputs!$C$46</f>
        <v>5.8</v>
      </c>
      <c r="Q24" s="8">
        <f>Inputs!$C$46</f>
        <v>5.8</v>
      </c>
      <c r="R24" s="8">
        <f>Inputs!$C$46</f>
        <v>5.8</v>
      </c>
      <c r="S24" s="8">
        <f>Inputs!$C$46</f>
        <v>5.8</v>
      </c>
    </row>
    <row r="25" spans="1:19" ht="15" customHeight="1" x14ac:dyDescent="0.2">
      <c r="A25" s="28" t="s">
        <v>554</v>
      </c>
      <c r="B25" s="3" t="s">
        <v>10</v>
      </c>
      <c r="C25" s="31">
        <f t="shared" si="2"/>
        <v>4.5</v>
      </c>
      <c r="D25" s="31">
        <f t="shared" si="3"/>
        <v>18</v>
      </c>
      <c r="E25" s="8">
        <f>Inputs!$C$47</f>
        <v>1.5</v>
      </c>
      <c r="F25" s="8">
        <f>Inputs!$C$47</f>
        <v>1.5</v>
      </c>
      <c r="G25" s="8">
        <f>Inputs!$C$47</f>
        <v>1.5</v>
      </c>
      <c r="H25" s="8">
        <f>Inputs!$C$47</f>
        <v>1.5</v>
      </c>
      <c r="I25" s="8">
        <f>Inputs!$C$47</f>
        <v>1.5</v>
      </c>
      <c r="J25" s="8">
        <f>Inputs!$C$47</f>
        <v>1.5</v>
      </c>
      <c r="K25" s="8">
        <f>Inputs!$C$47</f>
        <v>1.5</v>
      </c>
      <c r="L25" s="8">
        <f>Inputs!$C$47</f>
        <v>1.5</v>
      </c>
      <c r="M25" s="8">
        <f>Inputs!$C$47</f>
        <v>1.5</v>
      </c>
      <c r="N25" s="8">
        <f>Inputs!$C$47</f>
        <v>1.5</v>
      </c>
      <c r="O25" s="8">
        <f>Inputs!$C$47</f>
        <v>1.5</v>
      </c>
      <c r="P25" s="8">
        <f>Inputs!$C$47</f>
        <v>1.5</v>
      </c>
      <c r="Q25" s="8">
        <f>Inputs!$C$47</f>
        <v>1.5</v>
      </c>
      <c r="R25" s="8">
        <f>Inputs!$C$47</f>
        <v>1.5</v>
      </c>
      <c r="S25" s="8">
        <f>Inputs!$C$47</f>
        <v>1.5</v>
      </c>
    </row>
    <row r="26" spans="1:19" ht="15" customHeight="1" x14ac:dyDescent="0.2">
      <c r="A26" s="28" t="s">
        <v>555</v>
      </c>
      <c r="B26" s="3" t="s">
        <v>10</v>
      </c>
      <c r="C26" s="31">
        <f t="shared" si="2"/>
        <v>0</v>
      </c>
      <c r="D26" s="31">
        <f t="shared" si="3"/>
        <v>200</v>
      </c>
      <c r="E26" s="8">
        <f>E17*(Inputs!$C$49+Inputs!$C$50)</f>
        <v>0</v>
      </c>
      <c r="F26" s="8">
        <f>F17*(Inputs!$C$49+Inputs!$C$50)</f>
        <v>0</v>
      </c>
      <c r="G26" s="8">
        <f>G17*(Inputs!$C$49+Inputs!$C$50)</f>
        <v>0</v>
      </c>
      <c r="H26" s="8">
        <f>H17*(Inputs!$C$49+Inputs!$C$50)</f>
        <v>0</v>
      </c>
      <c r="I26" s="8">
        <f>I17*(Inputs!$C$49+Inputs!$C$50)</f>
        <v>0</v>
      </c>
      <c r="J26" s="8">
        <f>J17*(Inputs!$C$49+Inputs!$C$50)</f>
        <v>0</v>
      </c>
      <c r="K26" s="8">
        <f>K17*(Inputs!$C$49+Inputs!$C$50)</f>
        <v>0</v>
      </c>
      <c r="L26" s="8">
        <f>L17*(Inputs!$C$49+Inputs!$C$50)</f>
        <v>25</v>
      </c>
      <c r="M26" s="8">
        <f>M17*(Inputs!$C$49+Inputs!$C$50)</f>
        <v>25</v>
      </c>
      <c r="N26" s="8">
        <f>N17*(Inputs!$C$49+Inputs!$C$50)</f>
        <v>25</v>
      </c>
      <c r="O26" s="8">
        <f>O17*(Inputs!$C$49+Inputs!$C$50)</f>
        <v>25</v>
      </c>
      <c r="P26" s="8">
        <f>P17*(Inputs!$C$49+Inputs!$C$50)</f>
        <v>25</v>
      </c>
      <c r="Q26" s="8">
        <f>Q17*(Inputs!$C$49+Inputs!$C$50)</f>
        <v>25</v>
      </c>
      <c r="R26" s="8">
        <f>R17*(Inputs!$C$49+Inputs!$C$50)</f>
        <v>25</v>
      </c>
      <c r="S26" s="8">
        <f>S17*(Inputs!$C$49+Inputs!$C$50)</f>
        <v>25</v>
      </c>
    </row>
    <row r="27" spans="1:19" ht="15" customHeight="1" x14ac:dyDescent="0.2">
      <c r="A27" s="28" t="s">
        <v>556</v>
      </c>
      <c r="B27" s="3" t="s">
        <v>10</v>
      </c>
      <c r="C27" s="31">
        <f t="shared" si="2"/>
        <v>0</v>
      </c>
      <c r="D27" s="31">
        <f t="shared" si="3"/>
        <v>0</v>
      </c>
      <c r="E27" s="8">
        <f>E16*Inputs!$C$53</f>
        <v>0</v>
      </c>
      <c r="F27" s="8">
        <f>F16*Inputs!$C$53</f>
        <v>0</v>
      </c>
      <c r="G27" s="8">
        <f>G16*Inputs!$C$53</f>
        <v>0</v>
      </c>
      <c r="H27" s="8">
        <f>H16*Inputs!$C$53</f>
        <v>0</v>
      </c>
      <c r="I27" s="8">
        <f>I16*Inputs!$C$53</f>
        <v>0</v>
      </c>
      <c r="J27" s="8">
        <f>J16*Inputs!$C$53</f>
        <v>0</v>
      </c>
      <c r="K27" s="8">
        <f>K16*Inputs!$C$53</f>
        <v>0</v>
      </c>
      <c r="L27" s="8">
        <f>L16*Inputs!$C$53</f>
        <v>0</v>
      </c>
      <c r="M27" s="8">
        <f>M16*Inputs!$C$53</f>
        <v>0</v>
      </c>
      <c r="N27" s="8">
        <f>N16*Inputs!$C$53</f>
        <v>0</v>
      </c>
      <c r="O27" s="8">
        <f>O16*Inputs!$C$53</f>
        <v>0</v>
      </c>
      <c r="P27" s="8">
        <f>P16*Inputs!$C$53</f>
        <v>0</v>
      </c>
      <c r="Q27" s="8">
        <f>Q16*Inputs!$C$53</f>
        <v>0</v>
      </c>
      <c r="R27" s="8">
        <f>R16*Inputs!$C$53</f>
        <v>0</v>
      </c>
      <c r="S27" s="8">
        <f>S16*Inputs!$C$53</f>
        <v>0</v>
      </c>
    </row>
    <row r="28" spans="1:19" ht="15" customHeight="1" x14ac:dyDescent="0.2">
      <c r="A28" s="28" t="s">
        <v>557</v>
      </c>
      <c r="B28" s="3" t="s">
        <v>10</v>
      </c>
      <c r="C28" s="31">
        <f t="shared" si="2"/>
        <v>0</v>
      </c>
      <c r="D28" s="31">
        <f t="shared" si="3"/>
        <v>24</v>
      </c>
      <c r="E28" s="8">
        <f>IF(Volume!E6&gt;=IFERROR(MATCH(Inputs!$C$54,Volume!$E$4:$S$4,0),99),Inputs!$C$55,0)</f>
        <v>0</v>
      </c>
      <c r="F28" s="8">
        <f>IF(Volume!F6&gt;=IFERROR(MATCH(Inputs!$C$54,Volume!$E$4:$S$4,0),99),Inputs!$C$55,0)</f>
        <v>0</v>
      </c>
      <c r="G28" s="8">
        <f>IF(Volume!G6&gt;=IFERROR(MATCH(Inputs!$C$54,Volume!$E$4:$S$4,0),99),Inputs!$C$55,0)</f>
        <v>0</v>
      </c>
      <c r="H28" s="8">
        <f>IF(Volume!H6&gt;=IFERROR(MATCH(Inputs!$C$54,Volume!$E$4:$S$4,0),99),Inputs!$C$55,0)</f>
        <v>2</v>
      </c>
      <c r="I28" s="8">
        <f>IF(Volume!I6&gt;=IFERROR(MATCH(Inputs!$C$54,Volume!$E$4:$S$4,0),99),Inputs!$C$55,0)</f>
        <v>2</v>
      </c>
      <c r="J28" s="8">
        <f>IF(Volume!J6&gt;=IFERROR(MATCH(Inputs!$C$54,Volume!$E$4:$S$4,0),99),Inputs!$C$55,0)</f>
        <v>2</v>
      </c>
      <c r="K28" s="8">
        <f>IF(Volume!K6&gt;=IFERROR(MATCH(Inputs!$C$54,Volume!$E$4:$S$4,0),99),Inputs!$C$55,0)</f>
        <v>2</v>
      </c>
      <c r="L28" s="8">
        <f>IF(Volume!L6&gt;=IFERROR(MATCH(Inputs!$C$54,Volume!$E$4:$S$4,0),99),Inputs!$C$55,0)</f>
        <v>2</v>
      </c>
      <c r="M28" s="8">
        <f>IF(Volume!M6&gt;=IFERROR(MATCH(Inputs!$C$54,Volume!$E$4:$S$4,0),99),Inputs!$C$55,0)</f>
        <v>2</v>
      </c>
      <c r="N28" s="8">
        <f>IF(Volume!N6&gt;=IFERROR(MATCH(Inputs!$C$54,Volume!$E$4:$S$4,0),99),Inputs!$C$55,0)</f>
        <v>2</v>
      </c>
      <c r="O28" s="8">
        <f>IF(Volume!O6&gt;=IFERROR(MATCH(Inputs!$C$54,Volume!$E$4:$S$4,0),99),Inputs!$C$55,0)</f>
        <v>2</v>
      </c>
      <c r="P28" s="8">
        <f>IF(Volume!P6&gt;=IFERROR(MATCH(Inputs!$C$54,Volume!$E$4:$S$4,0),99),Inputs!$C$55,0)</f>
        <v>2</v>
      </c>
      <c r="Q28" s="8">
        <f>IF(Volume!Q6&gt;=IFERROR(MATCH(Inputs!$C$54,Volume!$E$4:$S$4,0),99),Inputs!$C$55,0)</f>
        <v>2</v>
      </c>
      <c r="R28" s="8">
        <f>IF(Volume!R6&gt;=IFERROR(MATCH(Inputs!$C$54,Volume!$E$4:$S$4,0),99),Inputs!$C$55,0)</f>
        <v>2</v>
      </c>
      <c r="S28" s="8">
        <f>IF(Volume!S6&gt;=IFERROR(MATCH(Inputs!$C$54,Volume!$E$4:$S$4,0),99),Inputs!$C$55,0)</f>
        <v>2</v>
      </c>
    </row>
    <row r="29" spans="1:19" ht="15" customHeight="1" x14ac:dyDescent="0.2">
      <c r="A29" s="28" t="s">
        <v>558</v>
      </c>
      <c r="B29" s="3" t="s">
        <v>10</v>
      </c>
      <c r="C29" s="31">
        <f t="shared" si="2"/>
        <v>0</v>
      </c>
      <c r="D29" s="31">
        <f t="shared" si="3"/>
        <v>5</v>
      </c>
      <c r="E29" s="8">
        <f>E15*Inputs!$C$56</f>
        <v>0</v>
      </c>
      <c r="F29" s="8">
        <f>F15*Inputs!$C$56</f>
        <v>0</v>
      </c>
      <c r="G29" s="8">
        <f>G15*Inputs!$C$56</f>
        <v>0</v>
      </c>
      <c r="H29" s="8">
        <f>H15*Inputs!$C$56</f>
        <v>0</v>
      </c>
      <c r="I29" s="8">
        <f>I15*Inputs!$C$56</f>
        <v>0</v>
      </c>
      <c r="J29" s="8">
        <f>J15*Inputs!$C$56</f>
        <v>0</v>
      </c>
      <c r="K29" s="8">
        <f>K15*Inputs!$C$56</f>
        <v>0</v>
      </c>
      <c r="L29" s="8">
        <f>L15*Inputs!$C$56</f>
        <v>0</v>
      </c>
      <c r="M29" s="8">
        <f>M15*Inputs!$C$56</f>
        <v>0</v>
      </c>
      <c r="N29" s="8">
        <f>N15*Inputs!$C$56</f>
        <v>0</v>
      </c>
      <c r="O29" s="8">
        <f>O15*Inputs!$C$56</f>
        <v>0</v>
      </c>
      <c r="P29" s="8">
        <f>P15*Inputs!$C$56</f>
        <v>0</v>
      </c>
      <c r="Q29" s="8">
        <f>Q15*Inputs!$C$56</f>
        <v>0</v>
      </c>
      <c r="R29" s="8">
        <f>R15*Inputs!$C$56</f>
        <v>0</v>
      </c>
      <c r="S29" s="8">
        <f>S15*Inputs!$C$56</f>
        <v>5</v>
      </c>
    </row>
    <row r="30" spans="1:19" ht="15" customHeight="1" x14ac:dyDescent="0.2">
      <c r="A30" s="28" t="s">
        <v>559</v>
      </c>
      <c r="B30" s="3" t="s">
        <v>10</v>
      </c>
      <c r="C30" s="31">
        <f t="shared" si="2"/>
        <v>0</v>
      </c>
      <c r="D30" s="31">
        <f t="shared" si="3"/>
        <v>0</v>
      </c>
      <c r="E30" s="8">
        <f>E19*Inputs!$C$43</f>
        <v>0</v>
      </c>
      <c r="F30" s="8">
        <f>F19*Inputs!$C$43</f>
        <v>0</v>
      </c>
      <c r="G30" s="8">
        <f>G19*Inputs!$C$43</f>
        <v>0</v>
      </c>
      <c r="H30" s="8">
        <f>H19*Inputs!$C$43</f>
        <v>0</v>
      </c>
      <c r="I30" s="8">
        <f>I19*Inputs!$C$43</f>
        <v>0</v>
      </c>
      <c r="J30" s="8">
        <f>J19*Inputs!$C$43</f>
        <v>0</v>
      </c>
      <c r="K30" s="8">
        <f>K19*Inputs!$C$43</f>
        <v>0</v>
      </c>
      <c r="L30" s="8">
        <f>L19*Inputs!$C$43</f>
        <v>0</v>
      </c>
      <c r="M30" s="8">
        <f>M19*Inputs!$C$43</f>
        <v>0</v>
      </c>
      <c r="N30" s="8">
        <f>N19*Inputs!$C$43</f>
        <v>0</v>
      </c>
      <c r="O30" s="8">
        <f>O19*Inputs!$C$43</f>
        <v>0</v>
      </c>
      <c r="P30" s="8">
        <f>P19*Inputs!$C$43</f>
        <v>0</v>
      </c>
      <c r="Q30" s="8">
        <f>Q19*Inputs!$C$43</f>
        <v>0</v>
      </c>
      <c r="R30" s="8">
        <f>R19*Inputs!$C$43</f>
        <v>0</v>
      </c>
      <c r="S30" s="8">
        <f>S19*Inputs!$C$43</f>
        <v>0</v>
      </c>
    </row>
    <row r="31" spans="1:19" ht="15" customHeight="1" x14ac:dyDescent="0.2">
      <c r="A31" s="28" t="s">
        <v>560</v>
      </c>
      <c r="B31" s="3" t="s">
        <v>10</v>
      </c>
      <c r="C31" s="31">
        <f t="shared" si="2"/>
        <v>0</v>
      </c>
      <c r="D31" s="31">
        <f t="shared" si="3"/>
        <v>15</v>
      </c>
      <c r="E31" s="8">
        <f>E10*Inputs!$C$37</f>
        <v>0</v>
      </c>
      <c r="F31" s="8">
        <f>F10*Inputs!$C$37</f>
        <v>0</v>
      </c>
      <c r="G31" s="8">
        <f>G10*Inputs!$C$37</f>
        <v>0</v>
      </c>
      <c r="H31" s="8">
        <f>H10*Inputs!$C$37</f>
        <v>0</v>
      </c>
      <c r="I31" s="8">
        <f>I10*Inputs!$C$37</f>
        <v>0</v>
      </c>
      <c r="J31" s="8">
        <f>J10*Inputs!$C$37</f>
        <v>2.5</v>
      </c>
      <c r="K31" s="8">
        <f>K10*Inputs!$C$37</f>
        <v>0</v>
      </c>
      <c r="L31" s="8">
        <f>L10*Inputs!$C$37</f>
        <v>0</v>
      </c>
      <c r="M31" s="8">
        <f>M10*Inputs!$C$37</f>
        <v>0</v>
      </c>
      <c r="N31" s="8">
        <f>N10*Inputs!$C$37</f>
        <v>2.5</v>
      </c>
      <c r="O31" s="8">
        <f>O10*Inputs!$C$37</f>
        <v>0</v>
      </c>
      <c r="P31" s="8">
        <f>P10*Inputs!$C$37</f>
        <v>0</v>
      </c>
      <c r="Q31" s="8">
        <f>Q10*Inputs!$C$37</f>
        <v>2.5</v>
      </c>
      <c r="R31" s="8">
        <f>R10*Inputs!$C$37</f>
        <v>7.5</v>
      </c>
      <c r="S31" s="8">
        <f>S10*Inputs!$C$37</f>
        <v>0</v>
      </c>
    </row>
    <row r="32" spans="1:19" ht="15" customHeight="1" x14ac:dyDescent="0.2">
      <c r="A32" s="11" t="s">
        <v>561</v>
      </c>
      <c r="B32" s="3" t="s">
        <v>10</v>
      </c>
      <c r="C32" s="31">
        <f t="shared" si="2"/>
        <v>62.039750000000012</v>
      </c>
      <c r="D32" s="31">
        <f t="shared" si="3"/>
        <v>828.43260000000009</v>
      </c>
      <c r="E32" s="32">
        <f t="shared" ref="E32:S32" si="4">SUM(E22:E31)+E41</f>
        <v>20.679916666666671</v>
      </c>
      <c r="F32" s="32">
        <f t="shared" si="4"/>
        <v>20.679916666666671</v>
      </c>
      <c r="G32" s="32">
        <f t="shared" si="4"/>
        <v>20.679916666666671</v>
      </c>
      <c r="H32" s="32">
        <f t="shared" si="4"/>
        <v>40.462716666666665</v>
      </c>
      <c r="I32" s="32">
        <f t="shared" si="4"/>
        <v>40.462716666666665</v>
      </c>
      <c r="J32" s="32">
        <f t="shared" si="4"/>
        <v>42.962716666666665</v>
      </c>
      <c r="K32" s="32">
        <f t="shared" si="4"/>
        <v>48.782716666666673</v>
      </c>
      <c r="L32" s="32">
        <f t="shared" si="4"/>
        <v>73.782716666666673</v>
      </c>
      <c r="M32" s="32">
        <f t="shared" si="4"/>
        <v>73.782716666666673</v>
      </c>
      <c r="N32" s="32">
        <f t="shared" si="4"/>
        <v>84.282716666666673</v>
      </c>
      <c r="O32" s="32">
        <f t="shared" si="4"/>
        <v>81.782716666666673</v>
      </c>
      <c r="P32" s="32">
        <f t="shared" si="4"/>
        <v>81.782716666666673</v>
      </c>
      <c r="Q32" s="32">
        <f t="shared" si="4"/>
        <v>84.282716666666673</v>
      </c>
      <c r="R32" s="32">
        <f t="shared" si="4"/>
        <v>89.282716666666673</v>
      </c>
      <c r="S32" s="32">
        <f t="shared" si="4"/>
        <v>86.782716666666673</v>
      </c>
    </row>
    <row r="34" spans="1:19" x14ac:dyDescent="0.2">
      <c r="A34" s="6" t="s">
        <v>562</v>
      </c>
    </row>
    <row r="35" spans="1:19" x14ac:dyDescent="0.2">
      <c r="A35" s="28" t="s">
        <v>563</v>
      </c>
      <c r="B35" s="3" t="s">
        <v>425</v>
      </c>
      <c r="C35" s="29">
        <f>MAX(E35:G35)</f>
        <v>0</v>
      </c>
      <c r="D35" s="29">
        <f>MAX(H35:S35)</f>
        <v>1</v>
      </c>
      <c r="E35" s="10">
        <f>Inputs!$C$105*Inputs!$C$106*IF(Volume!E6&gt;=IFERROR(MATCH(Inputs!$C$107,Volume!$E$4:$S$4,0),99),1,0)</f>
        <v>0</v>
      </c>
      <c r="F35" s="10">
        <f>Inputs!$C$105*Inputs!$C$106*IF(Volume!F6&gt;=IFERROR(MATCH(Inputs!$C$107,Volume!$E$4:$S$4,0),99),1,0)</f>
        <v>0</v>
      </c>
      <c r="G35" s="10">
        <f>Inputs!$C$105*Inputs!$C$106*IF(Volume!G6&gt;=IFERROR(MATCH(Inputs!$C$107,Volume!$E$4:$S$4,0),99),1,0)</f>
        <v>0</v>
      </c>
      <c r="H35" s="10">
        <f>Inputs!$C$105*Inputs!$C$106*IF(Volume!H6&gt;=IFERROR(MATCH(Inputs!$C$107,Volume!$E$4:$S$4,0),99),1,0)</f>
        <v>1</v>
      </c>
      <c r="I35" s="10">
        <f>Inputs!$C$105*Inputs!$C$106*IF(Volume!I6&gt;=IFERROR(MATCH(Inputs!$C$107,Volume!$E$4:$S$4,0),99),1,0)</f>
        <v>1</v>
      </c>
      <c r="J35" s="10">
        <f>Inputs!$C$105*Inputs!$C$106*IF(Volume!J6&gt;=IFERROR(MATCH(Inputs!$C$107,Volume!$E$4:$S$4,0),99),1,0)</f>
        <v>1</v>
      </c>
      <c r="K35" s="10">
        <f>Inputs!$C$105*Inputs!$C$106*IF(Volume!K6&gt;=IFERROR(MATCH(Inputs!$C$107,Volume!$E$4:$S$4,0),99),1,0)</f>
        <v>1</v>
      </c>
      <c r="L35" s="10">
        <f>Inputs!$C$105*Inputs!$C$106*IF(Volume!L6&gt;=IFERROR(MATCH(Inputs!$C$107,Volume!$E$4:$S$4,0),99),1,0)</f>
        <v>1</v>
      </c>
      <c r="M35" s="10">
        <f>Inputs!$C$105*Inputs!$C$106*IF(Volume!M6&gt;=IFERROR(MATCH(Inputs!$C$107,Volume!$E$4:$S$4,0),99),1,0)</f>
        <v>1</v>
      </c>
      <c r="N35" s="10">
        <f>Inputs!$C$105*Inputs!$C$106*IF(Volume!N6&gt;=IFERROR(MATCH(Inputs!$C$107,Volume!$E$4:$S$4,0),99),1,0)</f>
        <v>1</v>
      </c>
      <c r="O35" s="10">
        <f>Inputs!$C$105*Inputs!$C$106*IF(Volume!O6&gt;=IFERROR(MATCH(Inputs!$C$107,Volume!$E$4:$S$4,0),99),1,0)</f>
        <v>1</v>
      </c>
      <c r="P35" s="10">
        <f>Inputs!$C$105*Inputs!$C$106*IF(Volume!P6&gt;=IFERROR(MATCH(Inputs!$C$107,Volume!$E$4:$S$4,0),99),1,0)</f>
        <v>1</v>
      </c>
      <c r="Q35" s="10">
        <f>Inputs!$C$105*Inputs!$C$106*IF(Volume!Q6&gt;=IFERROR(MATCH(Inputs!$C$107,Volume!$E$4:$S$4,0),99),1,0)</f>
        <v>1</v>
      </c>
      <c r="R35" s="10">
        <f>Inputs!$C$105*Inputs!$C$106*IF(Volume!R6&gt;=IFERROR(MATCH(Inputs!$C$107,Volume!$E$4:$S$4,0),99),1,0)</f>
        <v>1</v>
      </c>
      <c r="S35" s="10">
        <f>Inputs!$C$105*Inputs!$C$106*IF(Volume!S6&gt;=IFERROR(MATCH(Inputs!$C$107,Volume!$E$4:$S$4,0),99),1,0)</f>
        <v>1</v>
      </c>
    </row>
    <row r="36" spans="1:19" x14ac:dyDescent="0.2">
      <c r="A36" s="28" t="s">
        <v>564</v>
      </c>
      <c r="B36" s="3" t="s">
        <v>425</v>
      </c>
      <c r="C36" s="29">
        <f>MAX(E36:G36)</f>
        <v>0</v>
      </c>
      <c r="D36" s="29">
        <f>MAX(H36:S36)</f>
        <v>1</v>
      </c>
      <c r="E36" s="10">
        <f>Inputs!$C$105*Inputs!$C$106*IF(Volume!E6&gt;=IFERROR(MATCH(Inputs!$C$114,Volume!$E$4:$S$4,0),99),1,0)</f>
        <v>0</v>
      </c>
      <c r="F36" s="10">
        <f>Inputs!$C$105*Inputs!$C$106*IF(Volume!F6&gt;=IFERROR(MATCH(Inputs!$C$114,Volume!$E$4:$S$4,0),99),1,0)</f>
        <v>0</v>
      </c>
      <c r="G36" s="10">
        <f>Inputs!$C$105*Inputs!$C$106*IF(Volume!G6&gt;=IFERROR(MATCH(Inputs!$C$114,Volume!$E$4:$S$4,0),99),1,0)</f>
        <v>0</v>
      </c>
      <c r="H36" s="10">
        <f>Inputs!$C$105*Inputs!$C$106*IF(Volume!H6&gt;=IFERROR(MATCH(Inputs!$C$114,Volume!$E$4:$S$4,0),99),1,0)</f>
        <v>0</v>
      </c>
      <c r="I36" s="10">
        <f>Inputs!$C$105*Inputs!$C$106*IF(Volume!I6&gt;=IFERROR(MATCH(Inputs!$C$114,Volume!$E$4:$S$4,0),99),1,0)</f>
        <v>0</v>
      </c>
      <c r="J36" s="10">
        <f>Inputs!$C$105*Inputs!$C$106*IF(Volume!J6&gt;=IFERROR(MATCH(Inputs!$C$114,Volume!$E$4:$S$4,0),99),1,0)</f>
        <v>0</v>
      </c>
      <c r="K36" s="10">
        <f>Inputs!$C$105*Inputs!$C$106*IF(Volume!K6&gt;=IFERROR(MATCH(Inputs!$C$114,Volume!$E$4:$S$4,0),99),1,0)</f>
        <v>1</v>
      </c>
      <c r="L36" s="10">
        <f>Inputs!$C$105*Inputs!$C$106*IF(Volume!L6&gt;=IFERROR(MATCH(Inputs!$C$114,Volume!$E$4:$S$4,0),99),1,0)</f>
        <v>1</v>
      </c>
      <c r="M36" s="10">
        <f>Inputs!$C$105*Inputs!$C$106*IF(Volume!M6&gt;=IFERROR(MATCH(Inputs!$C$114,Volume!$E$4:$S$4,0),99),1,0)</f>
        <v>1</v>
      </c>
      <c r="N36" s="10">
        <f>Inputs!$C$105*Inputs!$C$106*IF(Volume!N6&gt;=IFERROR(MATCH(Inputs!$C$114,Volume!$E$4:$S$4,0),99),1,0)</f>
        <v>1</v>
      </c>
      <c r="O36" s="10">
        <f>Inputs!$C$105*Inputs!$C$106*IF(Volume!O6&gt;=IFERROR(MATCH(Inputs!$C$114,Volume!$E$4:$S$4,0),99),1,0)</f>
        <v>1</v>
      </c>
      <c r="P36" s="10">
        <f>Inputs!$C$105*Inputs!$C$106*IF(Volume!P6&gt;=IFERROR(MATCH(Inputs!$C$114,Volume!$E$4:$S$4,0),99),1,0)</f>
        <v>1</v>
      </c>
      <c r="Q36" s="10">
        <f>Inputs!$C$105*Inputs!$C$106*IF(Volume!Q6&gt;=IFERROR(MATCH(Inputs!$C$114,Volume!$E$4:$S$4,0),99),1,0)</f>
        <v>1</v>
      </c>
      <c r="R36" s="10">
        <f>Inputs!$C$105*Inputs!$C$106*IF(Volume!R6&gt;=IFERROR(MATCH(Inputs!$C$114,Volume!$E$4:$S$4,0),99),1,0)</f>
        <v>1</v>
      </c>
      <c r="S36" s="10">
        <f>Inputs!$C$105*Inputs!$C$106*IF(Volume!S6&gt;=IFERROR(MATCH(Inputs!$C$114,Volume!$E$4:$S$4,0),99),1,0)</f>
        <v>1</v>
      </c>
    </row>
    <row r="37" spans="1:19" x14ac:dyDescent="0.2">
      <c r="A37" s="28" t="s">
        <v>565</v>
      </c>
      <c r="B37" s="3" t="s">
        <v>10</v>
      </c>
      <c r="C37" s="31">
        <f>SUM(E37:G37)</f>
        <v>0</v>
      </c>
      <c r="D37" s="31">
        <f>SUM(H37:S37)</f>
        <v>177.39359999999999</v>
      </c>
      <c r="E37" s="8">
        <f>E35*((Inputs!$C$109+Inputs!$C$110+Inputs!$C$111)*(1+Inputs!$C$108)-(Inputs!$C$43+Inputs!$C$40+Inputs!$C$39))</f>
        <v>0</v>
      </c>
      <c r="F37" s="8">
        <f>F35*((Inputs!$C$109+Inputs!$C$110+Inputs!$C$111)*(1+Inputs!$C$108)-(Inputs!$C$43+Inputs!$C$40+Inputs!$C$39))</f>
        <v>0</v>
      </c>
      <c r="G37" s="8">
        <f>G35*((Inputs!$C$109+Inputs!$C$110+Inputs!$C$111)*(1+Inputs!$C$108)-(Inputs!$C$43+Inputs!$C$40+Inputs!$C$39))</f>
        <v>0</v>
      </c>
      <c r="H37" s="8">
        <f>H35*((Inputs!$C$109+Inputs!$C$110+Inputs!$C$111)*(1+Inputs!$C$108)-(Inputs!$C$43+Inputs!$C$40+Inputs!$C$39))</f>
        <v>14.782799999999998</v>
      </c>
      <c r="I37" s="8">
        <f>I35*((Inputs!$C$109+Inputs!$C$110+Inputs!$C$111)*(1+Inputs!$C$108)-(Inputs!$C$43+Inputs!$C$40+Inputs!$C$39))</f>
        <v>14.782799999999998</v>
      </c>
      <c r="J37" s="8">
        <f>J35*((Inputs!$C$109+Inputs!$C$110+Inputs!$C$111)*(1+Inputs!$C$108)-(Inputs!$C$43+Inputs!$C$40+Inputs!$C$39))</f>
        <v>14.782799999999998</v>
      </c>
      <c r="K37" s="8">
        <f>K35*((Inputs!$C$109+Inputs!$C$110+Inputs!$C$111)*(1+Inputs!$C$108)-(Inputs!$C$43+Inputs!$C$40+Inputs!$C$39))</f>
        <v>14.782799999999998</v>
      </c>
      <c r="L37" s="8">
        <f>L35*((Inputs!$C$109+Inputs!$C$110+Inputs!$C$111)*(1+Inputs!$C$108)-(Inputs!$C$43+Inputs!$C$40+Inputs!$C$39))</f>
        <v>14.782799999999998</v>
      </c>
      <c r="M37" s="8">
        <f>M35*((Inputs!$C$109+Inputs!$C$110+Inputs!$C$111)*(1+Inputs!$C$108)-(Inputs!$C$43+Inputs!$C$40+Inputs!$C$39))</f>
        <v>14.782799999999998</v>
      </c>
      <c r="N37" s="8">
        <f>N35*((Inputs!$C$109+Inputs!$C$110+Inputs!$C$111)*(1+Inputs!$C$108)-(Inputs!$C$43+Inputs!$C$40+Inputs!$C$39))</f>
        <v>14.782799999999998</v>
      </c>
      <c r="O37" s="8">
        <f>O35*((Inputs!$C$109+Inputs!$C$110+Inputs!$C$111)*(1+Inputs!$C$108)-(Inputs!$C$43+Inputs!$C$40+Inputs!$C$39))</f>
        <v>14.782799999999998</v>
      </c>
      <c r="P37" s="8">
        <f>P35*((Inputs!$C$109+Inputs!$C$110+Inputs!$C$111)*(1+Inputs!$C$108)-(Inputs!$C$43+Inputs!$C$40+Inputs!$C$39))</f>
        <v>14.782799999999998</v>
      </c>
      <c r="Q37" s="8">
        <f>Q35*((Inputs!$C$109+Inputs!$C$110+Inputs!$C$111)*(1+Inputs!$C$108)-(Inputs!$C$43+Inputs!$C$40+Inputs!$C$39))</f>
        <v>14.782799999999998</v>
      </c>
      <c r="R37" s="8">
        <f>R35*((Inputs!$C$109+Inputs!$C$110+Inputs!$C$111)*(1+Inputs!$C$108)-(Inputs!$C$43+Inputs!$C$40+Inputs!$C$39))</f>
        <v>14.782799999999998</v>
      </c>
      <c r="S37" s="8">
        <f>S35*((Inputs!$C$109+Inputs!$C$110+Inputs!$C$111)*(1+Inputs!$C$108)-(Inputs!$C$43+Inputs!$C$40+Inputs!$C$39))</f>
        <v>14.782799999999998</v>
      </c>
    </row>
    <row r="38" spans="1:19" x14ac:dyDescent="0.2">
      <c r="A38" s="28" t="s">
        <v>566</v>
      </c>
      <c r="B38" s="3" t="s">
        <v>10</v>
      </c>
      <c r="C38" s="31">
        <f>SUM(E38:G38)</f>
        <v>0</v>
      </c>
      <c r="D38" s="31">
        <f>SUM(H38:S38)</f>
        <v>74.88</v>
      </c>
      <c r="E38" s="8">
        <f>E36*(Inputs!$C$112*(1+Inputs!$C$108)-Inputs!$C$42)</f>
        <v>0</v>
      </c>
      <c r="F38" s="8">
        <f>F36*(Inputs!$C$112*(1+Inputs!$C$108)-Inputs!$C$42)</f>
        <v>0</v>
      </c>
      <c r="G38" s="8">
        <f>G36*(Inputs!$C$112*(1+Inputs!$C$108)-Inputs!$C$42)</f>
        <v>0</v>
      </c>
      <c r="H38" s="8">
        <f>H36*(Inputs!$C$112*(1+Inputs!$C$108)-Inputs!$C$42)</f>
        <v>0</v>
      </c>
      <c r="I38" s="8">
        <f>I36*(Inputs!$C$112*(1+Inputs!$C$108)-Inputs!$C$42)</f>
        <v>0</v>
      </c>
      <c r="J38" s="8">
        <f>J36*(Inputs!$C$112*(1+Inputs!$C$108)-Inputs!$C$42)</f>
        <v>0</v>
      </c>
      <c r="K38" s="8">
        <f>K36*(Inputs!$C$112*(1+Inputs!$C$108)-Inputs!$C$42)</f>
        <v>8.32</v>
      </c>
      <c r="L38" s="8">
        <f>L36*(Inputs!$C$112*(1+Inputs!$C$108)-Inputs!$C$42)</f>
        <v>8.32</v>
      </c>
      <c r="M38" s="8">
        <f>M36*(Inputs!$C$112*(1+Inputs!$C$108)-Inputs!$C$42)</f>
        <v>8.32</v>
      </c>
      <c r="N38" s="8">
        <f>N36*(Inputs!$C$112*(1+Inputs!$C$108)-Inputs!$C$42)</f>
        <v>8.32</v>
      </c>
      <c r="O38" s="8">
        <f>O36*(Inputs!$C$112*(1+Inputs!$C$108)-Inputs!$C$42)</f>
        <v>8.32</v>
      </c>
      <c r="P38" s="8">
        <f>P36*(Inputs!$C$112*(1+Inputs!$C$108)-Inputs!$C$42)</f>
        <v>8.32</v>
      </c>
      <c r="Q38" s="8">
        <f>Q36*(Inputs!$C$112*(1+Inputs!$C$108)-Inputs!$C$42)</f>
        <v>8.32</v>
      </c>
      <c r="R38" s="8">
        <f>R36*(Inputs!$C$112*(1+Inputs!$C$108)-Inputs!$C$42)</f>
        <v>8.32</v>
      </c>
      <c r="S38" s="8">
        <f>S36*(Inputs!$C$112*(1+Inputs!$C$108)-Inputs!$C$42)</f>
        <v>8.32</v>
      </c>
    </row>
    <row r="39" spans="1:19" x14ac:dyDescent="0.2">
      <c r="A39" s="28" t="s">
        <v>567</v>
      </c>
      <c r="B39" s="3" t="s">
        <v>10</v>
      </c>
      <c r="C39" s="31">
        <f>SUM(E39:G39)</f>
        <v>0</v>
      </c>
      <c r="D39" s="31">
        <f>SUM(H39:S39)</f>
        <v>36</v>
      </c>
      <c r="E39" s="8">
        <f>E35*Inputs!$C$113</f>
        <v>0</v>
      </c>
      <c r="F39" s="8">
        <f>F35*Inputs!$C$113</f>
        <v>0</v>
      </c>
      <c r="G39" s="8">
        <f>G35*Inputs!$C$113</f>
        <v>0</v>
      </c>
      <c r="H39" s="8">
        <f>H35*Inputs!$C$113</f>
        <v>3</v>
      </c>
      <c r="I39" s="8">
        <f>I35*Inputs!$C$113</f>
        <v>3</v>
      </c>
      <c r="J39" s="8">
        <f>J35*Inputs!$C$113</f>
        <v>3</v>
      </c>
      <c r="K39" s="8">
        <f>K35*Inputs!$C$113</f>
        <v>3</v>
      </c>
      <c r="L39" s="8">
        <f>L35*Inputs!$C$113</f>
        <v>3</v>
      </c>
      <c r="M39" s="8">
        <f>M35*Inputs!$C$113</f>
        <v>3</v>
      </c>
      <c r="N39" s="8">
        <f>N35*Inputs!$C$113</f>
        <v>3</v>
      </c>
      <c r="O39" s="8">
        <f>O35*Inputs!$C$113</f>
        <v>3</v>
      </c>
      <c r="P39" s="8">
        <f>P35*Inputs!$C$113</f>
        <v>3</v>
      </c>
      <c r="Q39" s="8">
        <f>Q35*Inputs!$C$113</f>
        <v>3</v>
      </c>
      <c r="R39" s="8">
        <f>R35*Inputs!$C$113</f>
        <v>3</v>
      </c>
      <c r="S39" s="8">
        <f>S35*Inputs!$C$113</f>
        <v>3</v>
      </c>
    </row>
    <row r="40" spans="1:19" x14ac:dyDescent="0.2">
      <c r="A40" s="28" t="s">
        <v>568</v>
      </c>
      <c r="B40" s="3" t="s">
        <v>10</v>
      </c>
      <c r="C40" s="31">
        <f>SUM(E40:G40)</f>
        <v>0</v>
      </c>
      <c r="D40" s="31">
        <f>SUM(H40:S40)</f>
        <v>48</v>
      </c>
      <c r="E40" s="8">
        <f>Inputs!$C$105*IF(Volume!E6&gt;=IFERROR(MATCH(Inputs!$C$117,Volume!$E$4:$S$4,0),99),Inputs!$C$116,0)</f>
        <v>0</v>
      </c>
      <c r="F40" s="8">
        <f>Inputs!$C$105*IF(Volume!F6&gt;=IFERROR(MATCH(Inputs!$C$117,Volume!$E$4:$S$4,0),99),Inputs!$C$116,0)</f>
        <v>0</v>
      </c>
      <c r="G40" s="8">
        <f>Inputs!$C$105*IF(Volume!G6&gt;=IFERROR(MATCH(Inputs!$C$117,Volume!$E$4:$S$4,0),99),Inputs!$C$116,0)</f>
        <v>0</v>
      </c>
      <c r="H40" s="8">
        <f>Inputs!$C$105*IF(Volume!H6&gt;=IFERROR(MATCH(Inputs!$C$117,Volume!$E$4:$S$4,0),99),Inputs!$C$116,0)</f>
        <v>0</v>
      </c>
      <c r="I40" s="8">
        <f>Inputs!$C$105*IF(Volume!I6&gt;=IFERROR(MATCH(Inputs!$C$117,Volume!$E$4:$S$4,0),99),Inputs!$C$116,0)</f>
        <v>0</v>
      </c>
      <c r="J40" s="8">
        <f>Inputs!$C$105*IF(Volume!J6&gt;=IFERROR(MATCH(Inputs!$C$117,Volume!$E$4:$S$4,0),99),Inputs!$C$116,0)</f>
        <v>0</v>
      </c>
      <c r="K40" s="8">
        <f>Inputs!$C$105*IF(Volume!K6&gt;=IFERROR(MATCH(Inputs!$C$117,Volume!$E$4:$S$4,0),99),Inputs!$C$116,0)</f>
        <v>0</v>
      </c>
      <c r="L40" s="8">
        <f>Inputs!$C$105*IF(Volume!L6&gt;=IFERROR(MATCH(Inputs!$C$117,Volume!$E$4:$S$4,0),99),Inputs!$C$116,0)</f>
        <v>0</v>
      </c>
      <c r="M40" s="8">
        <f>Inputs!$C$105*IF(Volume!M6&gt;=IFERROR(MATCH(Inputs!$C$117,Volume!$E$4:$S$4,0),99),Inputs!$C$116,0)</f>
        <v>0</v>
      </c>
      <c r="N40" s="8">
        <f>Inputs!$C$105*IF(Volume!N6&gt;=IFERROR(MATCH(Inputs!$C$117,Volume!$E$4:$S$4,0),99),Inputs!$C$116,0)</f>
        <v>8</v>
      </c>
      <c r="O40" s="8">
        <f>Inputs!$C$105*IF(Volume!O6&gt;=IFERROR(MATCH(Inputs!$C$117,Volume!$E$4:$S$4,0),99),Inputs!$C$116,0)</f>
        <v>8</v>
      </c>
      <c r="P40" s="8">
        <f>Inputs!$C$105*IF(Volume!P6&gt;=IFERROR(MATCH(Inputs!$C$117,Volume!$E$4:$S$4,0),99),Inputs!$C$116,0)</f>
        <v>8</v>
      </c>
      <c r="Q40" s="8">
        <f>Inputs!$C$105*IF(Volume!Q6&gt;=IFERROR(MATCH(Inputs!$C$117,Volume!$E$4:$S$4,0),99),Inputs!$C$116,0)</f>
        <v>8</v>
      </c>
      <c r="R40" s="8">
        <f>Inputs!$C$105*IF(Volume!R6&gt;=IFERROR(MATCH(Inputs!$C$117,Volume!$E$4:$S$4,0),99),Inputs!$C$116,0)</f>
        <v>8</v>
      </c>
      <c r="S40" s="8">
        <f>Inputs!$C$105*IF(Volume!S6&gt;=IFERROR(MATCH(Inputs!$C$117,Volume!$E$4:$S$4,0),99),Inputs!$C$116,0)</f>
        <v>8</v>
      </c>
    </row>
    <row r="41" spans="1:19" x14ac:dyDescent="0.2">
      <c r="A41" s="11" t="s">
        <v>569</v>
      </c>
      <c r="B41" s="3" t="s">
        <v>10</v>
      </c>
      <c r="C41" s="31">
        <f>SUM(E41:G41)</f>
        <v>0</v>
      </c>
      <c r="D41" s="31">
        <f>SUM(H41:S41)</f>
        <v>336.27359999999999</v>
      </c>
      <c r="E41" s="32">
        <f t="shared" ref="E41:S41" si="5">SUM(E37:E40)</f>
        <v>0</v>
      </c>
      <c r="F41" s="32">
        <f t="shared" si="5"/>
        <v>0</v>
      </c>
      <c r="G41" s="32">
        <f t="shared" si="5"/>
        <v>0</v>
      </c>
      <c r="H41" s="32">
        <f t="shared" si="5"/>
        <v>17.782799999999998</v>
      </c>
      <c r="I41" s="32">
        <f t="shared" si="5"/>
        <v>17.782799999999998</v>
      </c>
      <c r="J41" s="32">
        <f t="shared" si="5"/>
        <v>17.782799999999998</v>
      </c>
      <c r="K41" s="32">
        <f t="shared" si="5"/>
        <v>26.102799999999998</v>
      </c>
      <c r="L41" s="32">
        <f t="shared" si="5"/>
        <v>26.102799999999998</v>
      </c>
      <c r="M41" s="32">
        <f t="shared" si="5"/>
        <v>26.102799999999998</v>
      </c>
      <c r="N41" s="32">
        <f t="shared" si="5"/>
        <v>34.102800000000002</v>
      </c>
      <c r="O41" s="32">
        <f t="shared" si="5"/>
        <v>34.102800000000002</v>
      </c>
      <c r="P41" s="32">
        <f t="shared" si="5"/>
        <v>34.102800000000002</v>
      </c>
      <c r="Q41" s="32">
        <f t="shared" si="5"/>
        <v>34.102800000000002</v>
      </c>
      <c r="R41" s="32">
        <f t="shared" si="5"/>
        <v>34.102800000000002</v>
      </c>
      <c r="S41" s="32">
        <f t="shared" si="5"/>
        <v>34.102800000000002</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44"/>
  <sheetViews>
    <sheetView zoomScaleNormal="100" workbookViewId="0">
      <pane xSplit="4" ySplit="4" topLeftCell="E5" activePane="bottomRight" state="frozen"/>
      <selection pane="topRight" activeCell="E1" sqref="E1"/>
      <selection pane="bottomLeft" activeCell="A5" sqref="A5"/>
      <selection pane="bottomRight"/>
    </sheetView>
  </sheetViews>
  <sheetFormatPr baseColWidth="10" defaultColWidth="8.6640625" defaultRowHeight="15" x14ac:dyDescent="0.2"/>
  <cols>
    <col min="1" max="1" width="52" customWidth="1"/>
    <col min="2" max="2" width="14" customWidth="1"/>
    <col min="3" max="19" width="10.5" customWidth="1"/>
  </cols>
  <sheetData>
    <row r="1" spans="1:19" ht="17.25" customHeight="1" x14ac:dyDescent="0.2">
      <c r="A1" s="1" t="s">
        <v>570</v>
      </c>
      <c r="B1" s="2"/>
      <c r="C1" s="2"/>
      <c r="D1" s="2"/>
      <c r="E1" s="2"/>
      <c r="F1" s="2"/>
      <c r="G1" s="2"/>
      <c r="H1" s="2"/>
      <c r="I1" s="2"/>
      <c r="J1" s="2"/>
      <c r="K1" s="2"/>
      <c r="L1" s="2"/>
      <c r="M1" s="2"/>
      <c r="N1" s="2"/>
      <c r="O1" s="2"/>
      <c r="P1" s="2"/>
      <c r="Q1" s="2"/>
      <c r="R1" s="2"/>
      <c r="S1" s="2"/>
    </row>
    <row r="2" spans="1:19" ht="15" customHeight="1" x14ac:dyDescent="0.2">
      <c r="A2" s="3" t="s">
        <v>408</v>
      </c>
      <c r="B2" s="2"/>
      <c r="C2" s="2"/>
      <c r="D2" s="2"/>
      <c r="E2" s="2"/>
      <c r="F2" s="2"/>
      <c r="G2" s="2"/>
      <c r="H2" s="2"/>
      <c r="I2" s="2"/>
      <c r="J2" s="2"/>
      <c r="K2" s="2"/>
      <c r="L2" s="2"/>
      <c r="M2" s="2"/>
      <c r="N2" s="2"/>
      <c r="O2" s="2"/>
      <c r="P2" s="2"/>
      <c r="Q2" s="2"/>
      <c r="R2" s="2"/>
      <c r="S2" s="2"/>
    </row>
    <row r="3" spans="1:19" ht="15" customHeight="1" x14ac:dyDescent="0.2">
      <c r="A3" s="2"/>
      <c r="B3" s="2"/>
      <c r="C3" s="2"/>
      <c r="D3" s="2"/>
      <c r="E3" s="2"/>
      <c r="F3" s="2"/>
      <c r="G3" s="2"/>
      <c r="H3" s="2"/>
      <c r="I3" s="2"/>
      <c r="J3" s="2"/>
      <c r="K3" s="2"/>
      <c r="L3" s="2"/>
      <c r="M3" s="2"/>
      <c r="N3" s="2"/>
      <c r="O3" s="2"/>
      <c r="P3" s="2"/>
      <c r="Q3" s="2"/>
      <c r="R3" s="2"/>
      <c r="S3" s="2"/>
    </row>
    <row r="4" spans="1:19" ht="15" customHeight="1" x14ac:dyDescent="0.2">
      <c r="A4" s="27" t="s">
        <v>409</v>
      </c>
      <c r="B4" s="27" t="s">
        <v>6</v>
      </c>
      <c r="C4" s="27" t="s">
        <v>410</v>
      </c>
      <c r="D4" s="27" t="s">
        <v>411</v>
      </c>
      <c r="E4" s="27" t="s">
        <v>66</v>
      </c>
      <c r="F4" s="27" t="s">
        <v>412</v>
      </c>
      <c r="G4" s="27" t="s">
        <v>413</v>
      </c>
      <c r="H4" s="27" t="s">
        <v>216</v>
      </c>
      <c r="I4" s="27" t="s">
        <v>414</v>
      </c>
      <c r="J4" s="27" t="s">
        <v>356</v>
      </c>
      <c r="K4" s="27" t="s">
        <v>67</v>
      </c>
      <c r="L4" s="27" t="s">
        <v>415</v>
      </c>
      <c r="M4" s="27" t="s">
        <v>416</v>
      </c>
      <c r="N4" s="27" t="s">
        <v>68</v>
      </c>
      <c r="O4" s="27" t="s">
        <v>417</v>
      </c>
      <c r="P4" s="27" t="s">
        <v>418</v>
      </c>
      <c r="Q4" s="27" t="s">
        <v>402</v>
      </c>
      <c r="R4" s="27" t="s">
        <v>419</v>
      </c>
      <c r="S4" s="27" t="s">
        <v>420</v>
      </c>
    </row>
    <row r="5" spans="1:19" ht="15" customHeight="1" x14ac:dyDescent="0.2">
      <c r="A5" s="6" t="s">
        <v>571</v>
      </c>
      <c r="B5" s="7"/>
      <c r="C5" s="7"/>
      <c r="D5" s="7"/>
      <c r="E5" s="7"/>
      <c r="F5" s="7"/>
      <c r="G5" s="7"/>
      <c r="H5" s="7"/>
      <c r="I5" s="7"/>
      <c r="J5" s="7"/>
      <c r="K5" s="7"/>
      <c r="L5" s="7"/>
      <c r="M5" s="7"/>
      <c r="N5" s="7"/>
      <c r="O5" s="7"/>
      <c r="P5" s="7"/>
      <c r="Q5" s="7"/>
      <c r="R5" s="7"/>
      <c r="S5" s="7"/>
    </row>
    <row r="6" spans="1:19" ht="15" customHeight="1" x14ac:dyDescent="0.2">
      <c r="A6" s="28" t="s">
        <v>432</v>
      </c>
      <c r="B6" s="3" t="s">
        <v>10</v>
      </c>
      <c r="C6" s="31">
        <f t="shared" ref="C6:C12" si="0">SUM(E6:G6)</f>
        <v>0</v>
      </c>
      <c r="D6" s="31">
        <f t="shared" ref="D6:D12" si="1">SUM(H6:S6)</f>
        <v>500</v>
      </c>
      <c r="E6" s="8">
        <f>Volume!E23*IF(Volume!E11=1,Unit_Economics!$B$4,Unit_Economics!$N$4)</f>
        <v>0</v>
      </c>
      <c r="F6" s="8">
        <f>Volume!F23*IF(Volume!F11=1,Unit_Economics!$B$4,Unit_Economics!$N$4)</f>
        <v>0</v>
      </c>
      <c r="G6" s="8">
        <f>Volume!G23*IF(Volume!G11=1,Unit_Economics!$B$4,Unit_Economics!$N$4)</f>
        <v>0</v>
      </c>
      <c r="H6" s="8">
        <f>Volume!H23*IF(Volume!H11=1,Unit_Economics!$B$4,Unit_Economics!$N$4)</f>
        <v>0</v>
      </c>
      <c r="I6" s="8">
        <f>Volume!I23*IF(Volume!I11=1,Unit_Economics!$B$4,Unit_Economics!$N$4)</f>
        <v>0</v>
      </c>
      <c r="J6" s="8">
        <f>Volume!J23*IF(Volume!J11=1,Unit_Economics!$B$4,Unit_Economics!$N$4)</f>
        <v>100</v>
      </c>
      <c r="K6" s="8">
        <f>Volume!K23*IF(Volume!K11=1,Unit_Economics!$B$4,Unit_Economics!$N$4)</f>
        <v>0</v>
      </c>
      <c r="L6" s="8">
        <f>Volume!L23*IF(Volume!L11=1,Unit_Economics!$B$4,Unit_Economics!$N$4)</f>
        <v>100</v>
      </c>
      <c r="M6" s="8">
        <f>Volume!M23*IF(Volume!M11=1,Unit_Economics!$B$4,Unit_Economics!$N$4)</f>
        <v>0</v>
      </c>
      <c r="N6" s="8">
        <f>Volume!N23*IF(Volume!N11=1,Unit_Economics!$B$4,Unit_Economics!$N$4)</f>
        <v>100</v>
      </c>
      <c r="O6" s="8">
        <f>Volume!O23*IF(Volume!O11=1,Unit_Economics!$B$4,Unit_Economics!$N$4)</f>
        <v>0</v>
      </c>
      <c r="P6" s="8">
        <f>Volume!P23*IF(Volume!P11=1,Unit_Economics!$B$4,Unit_Economics!$N$4)</f>
        <v>100</v>
      </c>
      <c r="Q6" s="8">
        <f>Volume!Q23*IF(Volume!Q11=1,Unit_Economics!$B$4,Unit_Economics!$N$4)</f>
        <v>0</v>
      </c>
      <c r="R6" s="8">
        <f>Volume!R23*IF(Volume!R11=1,Unit_Economics!$B$4,Unit_Economics!$N$4)</f>
        <v>100</v>
      </c>
      <c r="S6" s="8">
        <f>Volume!S23*IF(Volume!S11=1,Unit_Economics!$B$4,Unit_Economics!$N$4)</f>
        <v>0</v>
      </c>
    </row>
    <row r="7" spans="1:19" ht="15" customHeight="1" x14ac:dyDescent="0.2">
      <c r="A7" s="28" t="s">
        <v>433</v>
      </c>
      <c r="B7" s="3" t="s">
        <v>10</v>
      </c>
      <c r="C7" s="31">
        <f t="shared" si="0"/>
        <v>0</v>
      </c>
      <c r="D7" s="31">
        <f t="shared" si="1"/>
        <v>484.5</v>
      </c>
      <c r="E7" s="8">
        <f>Volume!E24*IF(Volume!E11=1,Unit_Economics!$B$5,Unit_Economics!$N$5)</f>
        <v>0</v>
      </c>
      <c r="F7" s="8">
        <f>Volume!F24*IF(Volume!F11=1,Unit_Economics!$B$5,Unit_Economics!$N$5)</f>
        <v>0</v>
      </c>
      <c r="G7" s="8">
        <f>Volume!G24*IF(Volume!G11=1,Unit_Economics!$B$5,Unit_Economics!$N$5)</f>
        <v>0</v>
      </c>
      <c r="H7" s="8">
        <f>Volume!H24*IF(Volume!H11=1,Unit_Economics!$B$5,Unit_Economics!$N$5)</f>
        <v>0</v>
      </c>
      <c r="I7" s="8">
        <f>Volume!I24*IF(Volume!I11=1,Unit_Economics!$B$5,Unit_Economics!$N$5)</f>
        <v>0</v>
      </c>
      <c r="J7" s="8">
        <f>Volume!J24*IF(Volume!J11=1,Unit_Economics!$B$5,Unit_Economics!$N$5)</f>
        <v>28.5</v>
      </c>
      <c r="K7" s="8">
        <f>Volume!K24*IF(Volume!K11=1,Unit_Economics!$B$5,Unit_Economics!$N$5)</f>
        <v>0</v>
      </c>
      <c r="L7" s="8">
        <f>Volume!L24*IF(Volume!L11=1,Unit_Economics!$B$5,Unit_Economics!$N$5)</f>
        <v>28.5</v>
      </c>
      <c r="M7" s="8">
        <f>Volume!M24*IF(Volume!M11=1,Unit_Economics!$B$5,Unit_Economics!$N$5)</f>
        <v>28.5</v>
      </c>
      <c r="N7" s="8">
        <f>Volume!N24*IF(Volume!N11=1,Unit_Economics!$B$5,Unit_Economics!$N$5)</f>
        <v>28.5</v>
      </c>
      <c r="O7" s="8">
        <f>Volume!O24*IF(Volume!O11=1,Unit_Economics!$B$5,Unit_Economics!$N$5)</f>
        <v>28.5</v>
      </c>
      <c r="P7" s="8">
        <f>Volume!P24*IF(Volume!P11=1,Unit_Economics!$B$5,Unit_Economics!$N$5)</f>
        <v>57</v>
      </c>
      <c r="Q7" s="8">
        <f>Volume!Q24*IF(Volume!Q11=1,Unit_Economics!$B$5,Unit_Economics!$N$5)</f>
        <v>57</v>
      </c>
      <c r="R7" s="8">
        <f>Volume!R24*IF(Volume!R11=1,Unit_Economics!$B$5,Unit_Economics!$N$5)</f>
        <v>85.5</v>
      </c>
      <c r="S7" s="8">
        <f>Volume!S24*IF(Volume!S11=1,Unit_Economics!$B$5,Unit_Economics!$N$5)</f>
        <v>142.5</v>
      </c>
    </row>
    <row r="8" spans="1:19" ht="15" customHeight="1" x14ac:dyDescent="0.2">
      <c r="A8" s="28" t="s">
        <v>434</v>
      </c>
      <c r="B8" s="3" t="s">
        <v>10</v>
      </c>
      <c r="C8" s="31">
        <f t="shared" si="0"/>
        <v>0</v>
      </c>
      <c r="D8" s="31">
        <f t="shared" si="1"/>
        <v>374.5</v>
      </c>
      <c r="E8" s="8">
        <f>Volume!E25*IF(Volume!E11=1,Unit_Economics!$B$6,Unit_Economics!$N$6)</f>
        <v>0</v>
      </c>
      <c r="F8" s="8">
        <f>Volume!F25*IF(Volume!F11=1,Unit_Economics!$B$6,Unit_Economics!$N$6)</f>
        <v>0</v>
      </c>
      <c r="G8" s="8">
        <f>Volume!G25*IF(Volume!G11=1,Unit_Economics!$B$6,Unit_Economics!$N$6)</f>
        <v>0</v>
      </c>
      <c r="H8" s="8">
        <f>Volume!H25*IF(Volume!H11=1,Unit_Economics!$B$6,Unit_Economics!$N$6)</f>
        <v>0</v>
      </c>
      <c r="I8" s="8">
        <f>Volume!I25*IF(Volume!I11=1,Unit_Economics!$B$6,Unit_Economics!$N$6)</f>
        <v>0</v>
      </c>
      <c r="J8" s="8">
        <f>Volume!J25*IF(Volume!J11=1,Unit_Economics!$B$6,Unit_Economics!$N$6)</f>
        <v>0</v>
      </c>
      <c r="K8" s="8">
        <f>Volume!K25*IF(Volume!K11=1,Unit_Economics!$B$6,Unit_Economics!$N$6)</f>
        <v>53.5</v>
      </c>
      <c r="L8" s="8">
        <f>Volume!L25*IF(Volume!L11=1,Unit_Economics!$B$6,Unit_Economics!$N$6)</f>
        <v>0</v>
      </c>
      <c r="M8" s="8">
        <f>Volume!M25*IF(Volume!M11=1,Unit_Economics!$B$6,Unit_Economics!$N$6)</f>
        <v>0</v>
      </c>
      <c r="N8" s="8">
        <f>Volume!N25*IF(Volume!N11=1,Unit_Economics!$B$6,Unit_Economics!$N$6)</f>
        <v>53.5</v>
      </c>
      <c r="O8" s="8">
        <f>Volume!O25*IF(Volume!O11=1,Unit_Economics!$B$6,Unit_Economics!$N$6)</f>
        <v>0</v>
      </c>
      <c r="P8" s="8">
        <f>Volume!P25*IF(Volume!P11=1,Unit_Economics!$B$6,Unit_Economics!$N$6)</f>
        <v>0</v>
      </c>
      <c r="Q8" s="8">
        <f>Volume!Q25*IF(Volume!Q11=1,Unit_Economics!$B$6,Unit_Economics!$N$6)</f>
        <v>107</v>
      </c>
      <c r="R8" s="8">
        <f>Volume!R25*IF(Volume!R11=1,Unit_Economics!$B$6,Unit_Economics!$N$6)</f>
        <v>107</v>
      </c>
      <c r="S8" s="8">
        <f>Volume!S25*IF(Volume!S11=1,Unit_Economics!$B$6,Unit_Economics!$N$6)</f>
        <v>53.5</v>
      </c>
    </row>
    <row r="9" spans="1:19" ht="15" customHeight="1" x14ac:dyDescent="0.2">
      <c r="A9" s="28" t="s">
        <v>572</v>
      </c>
      <c r="B9" s="3" t="s">
        <v>10</v>
      </c>
      <c r="C9" s="31">
        <f t="shared" si="0"/>
        <v>45</v>
      </c>
      <c r="D9" s="31">
        <f t="shared" si="1"/>
        <v>405</v>
      </c>
      <c r="E9" s="8">
        <f>Volume!E26*IF(Volume!E11=1,Unit_Economics!$B$7,Unit_Economics!$N$7)</f>
        <v>15</v>
      </c>
      <c r="F9" s="8">
        <f>Volume!F26*IF(Volume!F11=1,Unit_Economics!$B$7,Unit_Economics!$N$7)</f>
        <v>15</v>
      </c>
      <c r="G9" s="8">
        <f>Volume!G26*IF(Volume!G11=1,Unit_Economics!$B$7,Unit_Economics!$N$7)</f>
        <v>15</v>
      </c>
      <c r="H9" s="8">
        <f>Volume!H26*IF(Volume!H11=1,Unit_Economics!$B$7,Unit_Economics!$N$7)</f>
        <v>15</v>
      </c>
      <c r="I9" s="8">
        <f>Volume!I26*IF(Volume!I11=1,Unit_Economics!$B$7,Unit_Economics!$N$7)</f>
        <v>15</v>
      </c>
      <c r="J9" s="8">
        <f>Volume!J26*IF(Volume!J11=1,Unit_Economics!$B$7,Unit_Economics!$N$7)</f>
        <v>15</v>
      </c>
      <c r="K9" s="8">
        <f>Volume!K26*IF(Volume!K11=1,Unit_Economics!$B$7,Unit_Economics!$N$7)</f>
        <v>30</v>
      </c>
      <c r="L9" s="8">
        <f>Volume!L26*IF(Volume!L11=1,Unit_Economics!$B$7,Unit_Economics!$N$7)</f>
        <v>30</v>
      </c>
      <c r="M9" s="8">
        <f>Volume!M26*IF(Volume!M11=1,Unit_Economics!$B$7,Unit_Economics!$N$7)</f>
        <v>30</v>
      </c>
      <c r="N9" s="8">
        <f>Volume!N26*IF(Volume!N11=1,Unit_Economics!$B$7,Unit_Economics!$N$7)</f>
        <v>45</v>
      </c>
      <c r="O9" s="8">
        <f>Volume!O26*IF(Volume!O11=1,Unit_Economics!$B$7,Unit_Economics!$N$7)</f>
        <v>45</v>
      </c>
      <c r="P9" s="8">
        <f>Volume!P26*IF(Volume!P11=1,Unit_Economics!$B$7,Unit_Economics!$N$7)</f>
        <v>45</v>
      </c>
      <c r="Q9" s="8">
        <f>Volume!Q26*IF(Volume!Q11=1,Unit_Economics!$B$7,Unit_Economics!$N$7)</f>
        <v>45</v>
      </c>
      <c r="R9" s="8">
        <f>Volume!R26*IF(Volume!R11=1,Unit_Economics!$B$7,Unit_Economics!$N$7)</f>
        <v>45</v>
      </c>
      <c r="S9" s="8">
        <f>Volume!S26*IF(Volume!S11=1,Unit_Economics!$B$7,Unit_Economics!$N$7)</f>
        <v>45</v>
      </c>
    </row>
    <row r="10" spans="1:19" ht="15" customHeight="1" x14ac:dyDescent="0.2">
      <c r="A10" s="28" t="s">
        <v>437</v>
      </c>
      <c r="B10" s="3" t="s">
        <v>10</v>
      </c>
      <c r="C10" s="31">
        <f t="shared" si="0"/>
        <v>0</v>
      </c>
      <c r="D10" s="31">
        <f t="shared" si="1"/>
        <v>60</v>
      </c>
      <c r="E10" s="8">
        <f>Volume!E27*IF(Volume!E11=1,Unit_Economics!$B$8,Unit_Economics!$N$8)</f>
        <v>0</v>
      </c>
      <c r="F10" s="8">
        <f>Volume!F27*IF(Volume!F11=1,Unit_Economics!$B$8,Unit_Economics!$N$8)</f>
        <v>0</v>
      </c>
      <c r="G10" s="8">
        <f>Volume!G27*IF(Volume!G11=1,Unit_Economics!$B$8,Unit_Economics!$N$8)</f>
        <v>0</v>
      </c>
      <c r="H10" s="8">
        <f>Volume!H27*IF(Volume!H11=1,Unit_Economics!$B$8,Unit_Economics!$N$8)</f>
        <v>0</v>
      </c>
      <c r="I10" s="8">
        <f>Volume!I27*IF(Volume!I11=1,Unit_Economics!$B$8,Unit_Economics!$N$8)</f>
        <v>0</v>
      </c>
      <c r="J10" s="8">
        <f>Volume!J27*IF(Volume!J11=1,Unit_Economics!$B$8,Unit_Economics!$N$8)</f>
        <v>0</v>
      </c>
      <c r="K10" s="8">
        <f>Volume!K27*IF(Volume!K11=1,Unit_Economics!$B$8,Unit_Economics!$N$8)</f>
        <v>0</v>
      </c>
      <c r="L10" s="8">
        <f>Volume!L27*IF(Volume!L11=1,Unit_Economics!$B$8,Unit_Economics!$N$8)</f>
        <v>0</v>
      </c>
      <c r="M10" s="8">
        <f>Volume!M27*IF(Volume!M11=1,Unit_Economics!$B$8,Unit_Economics!$N$8)</f>
        <v>0</v>
      </c>
      <c r="N10" s="8">
        <f>Volume!N27*IF(Volume!N11=1,Unit_Economics!$B$8,Unit_Economics!$N$8)</f>
        <v>0</v>
      </c>
      <c r="O10" s="8">
        <f>Volume!O27*IF(Volume!O11=1,Unit_Economics!$B$8,Unit_Economics!$N$8)</f>
        <v>0</v>
      </c>
      <c r="P10" s="8">
        <f>Volume!P27*IF(Volume!P11=1,Unit_Economics!$B$8,Unit_Economics!$N$8)</f>
        <v>0</v>
      </c>
      <c r="Q10" s="8">
        <f>Volume!Q27*IF(Volume!Q11=1,Unit_Economics!$B$8,Unit_Economics!$N$8)</f>
        <v>20</v>
      </c>
      <c r="R10" s="8">
        <f>Volume!R27*IF(Volume!R11=1,Unit_Economics!$B$8,Unit_Economics!$N$8)</f>
        <v>20</v>
      </c>
      <c r="S10" s="8">
        <f>Volume!S27*IF(Volume!S11=1,Unit_Economics!$B$8,Unit_Economics!$N$8)</f>
        <v>20</v>
      </c>
    </row>
    <row r="11" spans="1:19" ht="15" customHeight="1" x14ac:dyDescent="0.2">
      <c r="A11" s="28" t="s">
        <v>573</v>
      </c>
      <c r="B11" s="3" t="s">
        <v>10</v>
      </c>
      <c r="C11" s="31">
        <f t="shared" si="0"/>
        <v>6</v>
      </c>
      <c r="D11" s="31">
        <f t="shared" si="1"/>
        <v>23</v>
      </c>
      <c r="E11" s="8">
        <f>Volume!E28*Inputs!$C$14</f>
        <v>2</v>
      </c>
      <c r="F11" s="8">
        <f>Volume!F28*Inputs!$C$14</f>
        <v>2</v>
      </c>
      <c r="G11" s="8">
        <f>Volume!G28*Inputs!$C$14</f>
        <v>2</v>
      </c>
      <c r="H11" s="8">
        <f>Volume!H28*Inputs!$C$14</f>
        <v>3</v>
      </c>
      <c r="I11" s="8">
        <f>Volume!I28*Inputs!$C$14</f>
        <v>2</v>
      </c>
      <c r="J11" s="8">
        <f>Volume!J28*Inputs!$C$14</f>
        <v>1</v>
      </c>
      <c r="K11" s="8">
        <f>Volume!K28*Inputs!$C$14</f>
        <v>1</v>
      </c>
      <c r="L11" s="8">
        <f>Volume!L28*Inputs!$C$14</f>
        <v>0</v>
      </c>
      <c r="M11" s="8">
        <f>Volume!M28*Inputs!$C$14</f>
        <v>2</v>
      </c>
      <c r="N11" s="8">
        <f>Volume!N28*Inputs!$C$14</f>
        <v>1</v>
      </c>
      <c r="O11" s="8">
        <f>Volume!O28*Inputs!$C$14</f>
        <v>3</v>
      </c>
      <c r="P11" s="8">
        <f>Volume!P28*Inputs!$C$14</f>
        <v>4</v>
      </c>
      <c r="Q11" s="8">
        <f>Volume!Q28*Inputs!$C$14</f>
        <v>2</v>
      </c>
      <c r="R11" s="8">
        <f>Volume!R28*Inputs!$C$14</f>
        <v>2</v>
      </c>
      <c r="S11" s="8">
        <f>Volume!S28*Inputs!$C$14</f>
        <v>2</v>
      </c>
    </row>
    <row r="12" spans="1:19" ht="15" customHeight="1" x14ac:dyDescent="0.2">
      <c r="A12" s="11" t="s">
        <v>574</v>
      </c>
      <c r="B12" s="3" t="s">
        <v>10</v>
      </c>
      <c r="C12" s="31">
        <f t="shared" si="0"/>
        <v>51</v>
      </c>
      <c r="D12" s="31">
        <f t="shared" si="1"/>
        <v>1847</v>
      </c>
      <c r="E12" s="32">
        <f t="shared" ref="E12:S12" si="2">SUM(E6:E11)</f>
        <v>17</v>
      </c>
      <c r="F12" s="32">
        <f t="shared" si="2"/>
        <v>17</v>
      </c>
      <c r="G12" s="32">
        <f t="shared" si="2"/>
        <v>17</v>
      </c>
      <c r="H12" s="32">
        <f t="shared" si="2"/>
        <v>18</v>
      </c>
      <c r="I12" s="32">
        <f t="shared" si="2"/>
        <v>17</v>
      </c>
      <c r="J12" s="32">
        <f t="shared" si="2"/>
        <v>144.5</v>
      </c>
      <c r="K12" s="32">
        <f t="shared" si="2"/>
        <v>84.5</v>
      </c>
      <c r="L12" s="32">
        <f t="shared" si="2"/>
        <v>158.5</v>
      </c>
      <c r="M12" s="32">
        <f t="shared" si="2"/>
        <v>60.5</v>
      </c>
      <c r="N12" s="32">
        <f t="shared" si="2"/>
        <v>228</v>
      </c>
      <c r="O12" s="32">
        <f t="shared" si="2"/>
        <v>76.5</v>
      </c>
      <c r="P12" s="32">
        <f t="shared" si="2"/>
        <v>206</v>
      </c>
      <c r="Q12" s="32">
        <f t="shared" si="2"/>
        <v>231</v>
      </c>
      <c r="R12" s="32">
        <f t="shared" si="2"/>
        <v>359.5</v>
      </c>
      <c r="S12" s="32">
        <f t="shared" si="2"/>
        <v>263</v>
      </c>
    </row>
    <row r="13" spans="1:19" ht="15" customHeight="1" x14ac:dyDescent="0.2">
      <c r="A13" s="2"/>
      <c r="B13" s="2"/>
      <c r="C13" s="2"/>
      <c r="D13" s="2"/>
      <c r="E13" s="2"/>
      <c r="F13" s="2"/>
      <c r="G13" s="2"/>
      <c r="H13" s="2"/>
      <c r="I13" s="2"/>
      <c r="J13" s="2"/>
      <c r="K13" s="2"/>
      <c r="L13" s="2"/>
      <c r="M13" s="2"/>
      <c r="N13" s="2"/>
      <c r="O13" s="2"/>
      <c r="P13" s="2"/>
      <c r="Q13" s="2"/>
      <c r="R13" s="2"/>
      <c r="S13" s="2"/>
    </row>
    <row r="14" spans="1:19" ht="15" customHeight="1" x14ac:dyDescent="0.2">
      <c r="A14" s="6" t="s">
        <v>73</v>
      </c>
      <c r="B14" s="7"/>
      <c r="C14" s="7"/>
      <c r="D14" s="7"/>
      <c r="E14" s="7"/>
      <c r="F14" s="7"/>
      <c r="G14" s="7"/>
      <c r="H14" s="7"/>
      <c r="I14" s="7"/>
      <c r="J14" s="7"/>
      <c r="K14" s="7"/>
      <c r="L14" s="7"/>
      <c r="M14" s="7"/>
      <c r="N14" s="7"/>
      <c r="O14" s="7"/>
      <c r="P14" s="7"/>
      <c r="Q14" s="7"/>
      <c r="R14" s="7"/>
      <c r="S14" s="7"/>
    </row>
    <row r="15" spans="1:19" ht="15" customHeight="1" x14ac:dyDescent="0.2">
      <c r="A15" s="28" t="s">
        <v>575</v>
      </c>
      <c r="B15" s="3" t="s">
        <v>10</v>
      </c>
      <c r="C15" s="31">
        <f t="shared" ref="C15:C21" si="3">SUM(E15:G15)</f>
        <v>0</v>
      </c>
      <c r="D15" s="31">
        <f t="shared" ref="D15:D21" si="4">SUM(H15:S15)</f>
        <v>140</v>
      </c>
      <c r="E15" s="8">
        <f>Volume!E23*IF(Volume!E11=1,Unit_Economics!$F$4,Unit_Economics!$O$4)</f>
        <v>0</v>
      </c>
      <c r="F15" s="8">
        <f>Volume!F23*IF(Volume!F11=1,Unit_Economics!$F$4,Unit_Economics!$O$4)</f>
        <v>0</v>
      </c>
      <c r="G15" s="8">
        <f>Volume!G23*IF(Volume!G11=1,Unit_Economics!$F$4,Unit_Economics!$O$4)</f>
        <v>0</v>
      </c>
      <c r="H15" s="8">
        <f>Volume!H23*IF(Volume!H11=1,Unit_Economics!$F$4,Unit_Economics!$O$4)</f>
        <v>0</v>
      </c>
      <c r="I15" s="8">
        <f>Volume!I23*IF(Volume!I11=1,Unit_Economics!$F$4,Unit_Economics!$O$4)</f>
        <v>0</v>
      </c>
      <c r="J15" s="8">
        <f>Volume!J23*IF(Volume!J11=1,Unit_Economics!$F$4,Unit_Economics!$O$4)</f>
        <v>28</v>
      </c>
      <c r="K15" s="8">
        <f>Volume!K23*IF(Volume!K11=1,Unit_Economics!$F$4,Unit_Economics!$O$4)</f>
        <v>0</v>
      </c>
      <c r="L15" s="8">
        <f>Volume!L23*IF(Volume!L11=1,Unit_Economics!$F$4,Unit_Economics!$O$4)</f>
        <v>28</v>
      </c>
      <c r="M15" s="8">
        <f>Volume!M23*IF(Volume!M11=1,Unit_Economics!$F$4,Unit_Economics!$O$4)</f>
        <v>0</v>
      </c>
      <c r="N15" s="8">
        <f>Volume!N23*IF(Volume!N11=1,Unit_Economics!$F$4,Unit_Economics!$O$4)</f>
        <v>28</v>
      </c>
      <c r="O15" s="8">
        <f>Volume!O23*IF(Volume!O11=1,Unit_Economics!$F$4,Unit_Economics!$O$4)</f>
        <v>0</v>
      </c>
      <c r="P15" s="8">
        <f>Volume!P23*IF(Volume!P11=1,Unit_Economics!$F$4,Unit_Economics!$O$4)</f>
        <v>28</v>
      </c>
      <c r="Q15" s="8">
        <f>Volume!Q23*IF(Volume!Q11=1,Unit_Economics!$F$4,Unit_Economics!$O$4)</f>
        <v>0</v>
      </c>
      <c r="R15" s="8">
        <f>Volume!R23*IF(Volume!R11=1,Unit_Economics!$F$4,Unit_Economics!$O$4)</f>
        <v>28</v>
      </c>
      <c r="S15" s="8">
        <f>Volume!S23*IF(Volume!S11=1,Unit_Economics!$F$4,Unit_Economics!$O$4)</f>
        <v>0</v>
      </c>
    </row>
    <row r="16" spans="1:19" ht="15" customHeight="1" x14ac:dyDescent="0.2">
      <c r="A16" s="28" t="s">
        <v>576</v>
      </c>
      <c r="B16" s="3" t="s">
        <v>10</v>
      </c>
      <c r="C16" s="31">
        <f t="shared" si="3"/>
        <v>0</v>
      </c>
      <c r="D16" s="31">
        <f t="shared" si="4"/>
        <v>174.25</v>
      </c>
      <c r="E16" s="8">
        <f>Volume!E24*IF(Volume!E11=1,Unit_Economics!$F$5,Unit_Economics!$O$5)</f>
        <v>0</v>
      </c>
      <c r="F16" s="8">
        <f>Volume!F24*IF(Volume!F11=1,Unit_Economics!$F$5,Unit_Economics!$O$5)</f>
        <v>0</v>
      </c>
      <c r="G16" s="8">
        <f>Volume!G24*IF(Volume!G11=1,Unit_Economics!$F$5,Unit_Economics!$O$5)</f>
        <v>0</v>
      </c>
      <c r="H16" s="8">
        <f>Volume!H24*IF(Volume!H11=1,Unit_Economics!$F$5,Unit_Economics!$O$5)</f>
        <v>0</v>
      </c>
      <c r="I16" s="8">
        <f>Volume!I24*IF(Volume!I11=1,Unit_Economics!$F$5,Unit_Economics!$O$5)</f>
        <v>0</v>
      </c>
      <c r="J16" s="8">
        <f>Volume!J24*IF(Volume!J11=1,Unit_Economics!$F$5,Unit_Economics!$O$5)</f>
        <v>10.25</v>
      </c>
      <c r="K16" s="8">
        <f>Volume!K24*IF(Volume!K11=1,Unit_Economics!$F$5,Unit_Economics!$O$5)</f>
        <v>0</v>
      </c>
      <c r="L16" s="8">
        <f>Volume!L24*IF(Volume!L11=1,Unit_Economics!$F$5,Unit_Economics!$O$5)</f>
        <v>10.25</v>
      </c>
      <c r="M16" s="8">
        <f>Volume!M24*IF(Volume!M11=1,Unit_Economics!$F$5,Unit_Economics!$O$5)</f>
        <v>10.25</v>
      </c>
      <c r="N16" s="8">
        <f>Volume!N24*IF(Volume!N11=1,Unit_Economics!$F$5,Unit_Economics!$O$5)</f>
        <v>10.25</v>
      </c>
      <c r="O16" s="8">
        <f>Volume!O24*IF(Volume!O11=1,Unit_Economics!$F$5,Unit_Economics!$O$5)</f>
        <v>10.25</v>
      </c>
      <c r="P16" s="8">
        <f>Volume!P24*IF(Volume!P11=1,Unit_Economics!$F$5,Unit_Economics!$O$5)</f>
        <v>20.5</v>
      </c>
      <c r="Q16" s="8">
        <f>Volume!Q24*IF(Volume!Q11=1,Unit_Economics!$F$5,Unit_Economics!$O$5)</f>
        <v>20.5</v>
      </c>
      <c r="R16" s="8">
        <f>Volume!R24*IF(Volume!R11=1,Unit_Economics!$F$5,Unit_Economics!$O$5)</f>
        <v>30.75</v>
      </c>
      <c r="S16" s="8">
        <f>Volume!S24*IF(Volume!S11=1,Unit_Economics!$F$5,Unit_Economics!$O$5)</f>
        <v>51.25</v>
      </c>
    </row>
    <row r="17" spans="1:19" ht="15" customHeight="1" x14ac:dyDescent="0.2">
      <c r="A17" s="28" t="s">
        <v>577</v>
      </c>
      <c r="B17" s="3" t="s">
        <v>10</v>
      </c>
      <c r="C17" s="31">
        <f t="shared" si="3"/>
        <v>0</v>
      </c>
      <c r="D17" s="31">
        <f t="shared" si="4"/>
        <v>105</v>
      </c>
      <c r="E17" s="8">
        <f>Volume!E25*IF(Volume!E11=1,Unit_Economics!$F$6,Unit_Economics!$O$6)</f>
        <v>0</v>
      </c>
      <c r="F17" s="8">
        <f>Volume!F25*IF(Volume!F11=1,Unit_Economics!$F$6,Unit_Economics!$O$6)</f>
        <v>0</v>
      </c>
      <c r="G17" s="8">
        <f>Volume!G25*IF(Volume!G11=1,Unit_Economics!$F$6,Unit_Economics!$O$6)</f>
        <v>0</v>
      </c>
      <c r="H17" s="8">
        <f>Volume!H25*IF(Volume!H11=1,Unit_Economics!$F$6,Unit_Economics!$O$6)</f>
        <v>0</v>
      </c>
      <c r="I17" s="8">
        <f>Volume!I25*IF(Volume!I11=1,Unit_Economics!$F$6,Unit_Economics!$O$6)</f>
        <v>0</v>
      </c>
      <c r="J17" s="8">
        <f>Volume!J25*IF(Volume!J11=1,Unit_Economics!$F$6,Unit_Economics!$O$6)</f>
        <v>0</v>
      </c>
      <c r="K17" s="8">
        <f>Volume!K25*IF(Volume!K11=1,Unit_Economics!$F$6,Unit_Economics!$O$6)</f>
        <v>15</v>
      </c>
      <c r="L17" s="8">
        <f>Volume!L25*IF(Volume!L11=1,Unit_Economics!$F$6,Unit_Economics!$O$6)</f>
        <v>0</v>
      </c>
      <c r="M17" s="8">
        <f>Volume!M25*IF(Volume!M11=1,Unit_Economics!$F$6,Unit_Economics!$O$6)</f>
        <v>0</v>
      </c>
      <c r="N17" s="8">
        <f>Volume!N25*IF(Volume!N11=1,Unit_Economics!$F$6,Unit_Economics!$O$6)</f>
        <v>15</v>
      </c>
      <c r="O17" s="8">
        <f>Volume!O25*IF(Volume!O11=1,Unit_Economics!$F$6,Unit_Economics!$O$6)</f>
        <v>0</v>
      </c>
      <c r="P17" s="8">
        <f>Volume!P25*IF(Volume!P11=1,Unit_Economics!$F$6,Unit_Economics!$O$6)</f>
        <v>0</v>
      </c>
      <c r="Q17" s="8">
        <f>Volume!Q25*IF(Volume!Q11=1,Unit_Economics!$F$6,Unit_Economics!$O$6)</f>
        <v>30</v>
      </c>
      <c r="R17" s="8">
        <f>Volume!R25*IF(Volume!R11=1,Unit_Economics!$F$6,Unit_Economics!$O$6)</f>
        <v>30</v>
      </c>
      <c r="S17" s="8">
        <f>Volume!S25*IF(Volume!S11=1,Unit_Economics!$F$6,Unit_Economics!$O$6)</f>
        <v>15</v>
      </c>
    </row>
    <row r="18" spans="1:19" ht="15" customHeight="1" x14ac:dyDescent="0.2">
      <c r="A18" s="28" t="s">
        <v>572</v>
      </c>
      <c r="B18" s="3" t="s">
        <v>10</v>
      </c>
      <c r="C18" s="31">
        <f t="shared" si="3"/>
        <v>15</v>
      </c>
      <c r="D18" s="31">
        <f t="shared" si="4"/>
        <v>135</v>
      </c>
      <c r="E18" s="8">
        <f>Volume!E26*IF(Volume!E11=1,Unit_Economics!$F$7,Unit_Economics!$O$7)</f>
        <v>5</v>
      </c>
      <c r="F18" s="8">
        <f>Volume!F26*IF(Volume!F11=1,Unit_Economics!$F$7,Unit_Economics!$O$7)</f>
        <v>5</v>
      </c>
      <c r="G18" s="8">
        <f>Volume!G26*IF(Volume!G11=1,Unit_Economics!$F$7,Unit_Economics!$O$7)</f>
        <v>5</v>
      </c>
      <c r="H18" s="8">
        <f>Volume!H26*IF(Volume!H11=1,Unit_Economics!$F$7,Unit_Economics!$O$7)</f>
        <v>5</v>
      </c>
      <c r="I18" s="8">
        <f>Volume!I26*IF(Volume!I11=1,Unit_Economics!$F$7,Unit_Economics!$O$7)</f>
        <v>5</v>
      </c>
      <c r="J18" s="8">
        <f>Volume!J26*IF(Volume!J11=1,Unit_Economics!$F$7,Unit_Economics!$O$7)</f>
        <v>5</v>
      </c>
      <c r="K18" s="8">
        <f>Volume!K26*IF(Volume!K11=1,Unit_Economics!$F$7,Unit_Economics!$O$7)</f>
        <v>10</v>
      </c>
      <c r="L18" s="8">
        <f>Volume!L26*IF(Volume!L11=1,Unit_Economics!$F$7,Unit_Economics!$O$7)</f>
        <v>10</v>
      </c>
      <c r="M18" s="8">
        <f>Volume!M26*IF(Volume!M11=1,Unit_Economics!$F$7,Unit_Economics!$O$7)</f>
        <v>10</v>
      </c>
      <c r="N18" s="8">
        <f>Volume!N26*IF(Volume!N11=1,Unit_Economics!$F$7,Unit_Economics!$O$7)</f>
        <v>15</v>
      </c>
      <c r="O18" s="8">
        <f>Volume!O26*IF(Volume!O11=1,Unit_Economics!$F$7,Unit_Economics!$O$7)</f>
        <v>15</v>
      </c>
      <c r="P18" s="8">
        <f>Volume!P26*IF(Volume!P11=1,Unit_Economics!$F$7,Unit_Economics!$O$7)</f>
        <v>15</v>
      </c>
      <c r="Q18" s="8">
        <f>Volume!Q26*IF(Volume!Q11=1,Unit_Economics!$F$7,Unit_Economics!$O$7)</f>
        <v>15</v>
      </c>
      <c r="R18" s="8">
        <f>Volume!R26*IF(Volume!R11=1,Unit_Economics!$F$7,Unit_Economics!$O$7)</f>
        <v>15</v>
      </c>
      <c r="S18" s="8">
        <f>Volume!S26*IF(Volume!S11=1,Unit_Economics!$F$7,Unit_Economics!$O$7)</f>
        <v>15</v>
      </c>
    </row>
    <row r="19" spans="1:19" ht="15" customHeight="1" x14ac:dyDescent="0.2">
      <c r="A19" s="28" t="s">
        <v>578</v>
      </c>
      <c r="B19" s="3" t="s">
        <v>10</v>
      </c>
      <c r="C19" s="31">
        <f t="shared" si="3"/>
        <v>0</v>
      </c>
      <c r="D19" s="31">
        <f t="shared" si="4"/>
        <v>24</v>
      </c>
      <c r="E19" s="8">
        <f>Volume!E27*IF(Volume!E11=1,Unit_Economics!$F$8,Unit_Economics!$O$8)</f>
        <v>0</v>
      </c>
      <c r="F19" s="8">
        <f>Volume!F27*IF(Volume!F11=1,Unit_Economics!$F$8,Unit_Economics!$O$8)</f>
        <v>0</v>
      </c>
      <c r="G19" s="8">
        <f>Volume!G27*IF(Volume!G11=1,Unit_Economics!$F$8,Unit_Economics!$O$8)</f>
        <v>0</v>
      </c>
      <c r="H19" s="8">
        <f>Volume!H27*IF(Volume!H11=1,Unit_Economics!$F$8,Unit_Economics!$O$8)</f>
        <v>0</v>
      </c>
      <c r="I19" s="8">
        <f>Volume!I27*IF(Volume!I11=1,Unit_Economics!$F$8,Unit_Economics!$O$8)</f>
        <v>0</v>
      </c>
      <c r="J19" s="8">
        <f>Volume!J27*IF(Volume!J11=1,Unit_Economics!$F$8,Unit_Economics!$O$8)</f>
        <v>0</v>
      </c>
      <c r="K19" s="8">
        <f>Volume!K27*IF(Volume!K11=1,Unit_Economics!$F$8,Unit_Economics!$O$8)</f>
        <v>0</v>
      </c>
      <c r="L19" s="8">
        <f>Volume!L27*IF(Volume!L11=1,Unit_Economics!$F$8,Unit_Economics!$O$8)</f>
        <v>0</v>
      </c>
      <c r="M19" s="8">
        <f>Volume!M27*IF(Volume!M11=1,Unit_Economics!$F$8,Unit_Economics!$O$8)</f>
        <v>0</v>
      </c>
      <c r="N19" s="8">
        <f>Volume!N27*IF(Volume!N11=1,Unit_Economics!$F$8,Unit_Economics!$O$8)</f>
        <v>0</v>
      </c>
      <c r="O19" s="8">
        <f>Volume!O27*IF(Volume!O11=1,Unit_Economics!$F$8,Unit_Economics!$O$8)</f>
        <v>0</v>
      </c>
      <c r="P19" s="8">
        <f>Volume!P27*IF(Volume!P11=1,Unit_Economics!$F$8,Unit_Economics!$O$8)</f>
        <v>0</v>
      </c>
      <c r="Q19" s="8">
        <f>Volume!Q27*IF(Volume!Q11=1,Unit_Economics!$F$8,Unit_Economics!$O$8)</f>
        <v>8</v>
      </c>
      <c r="R19" s="8">
        <f>Volume!R27*IF(Volume!R11=1,Unit_Economics!$F$8,Unit_Economics!$O$8)</f>
        <v>8</v>
      </c>
      <c r="S19" s="8">
        <f>Volume!S27*IF(Volume!S11=1,Unit_Economics!$F$8,Unit_Economics!$O$8)</f>
        <v>8</v>
      </c>
    </row>
    <row r="20" spans="1:19" ht="15" customHeight="1" x14ac:dyDescent="0.2">
      <c r="A20" s="28" t="s">
        <v>573</v>
      </c>
      <c r="B20" s="3" t="s">
        <v>10</v>
      </c>
      <c r="C20" s="31">
        <f t="shared" si="3"/>
        <v>2.4000000000000004</v>
      </c>
      <c r="D20" s="31">
        <f t="shared" si="4"/>
        <v>9.1999999999999993</v>
      </c>
      <c r="E20" s="8">
        <f>E11*Inputs!$C$21</f>
        <v>0.8</v>
      </c>
      <c r="F20" s="8">
        <f>F11*Inputs!$C$21</f>
        <v>0.8</v>
      </c>
      <c r="G20" s="8">
        <f>G11*Inputs!$C$21</f>
        <v>0.8</v>
      </c>
      <c r="H20" s="8">
        <f>H11*Inputs!$C$21</f>
        <v>1.2000000000000002</v>
      </c>
      <c r="I20" s="8">
        <f>I11*Inputs!$C$21</f>
        <v>0.8</v>
      </c>
      <c r="J20" s="8">
        <f>J11*Inputs!$C$21</f>
        <v>0.4</v>
      </c>
      <c r="K20" s="8">
        <f>K11*Inputs!$C$21</f>
        <v>0.4</v>
      </c>
      <c r="L20" s="8">
        <f>L11*Inputs!$C$21</f>
        <v>0</v>
      </c>
      <c r="M20" s="8">
        <f>M11*Inputs!$C$21</f>
        <v>0.8</v>
      </c>
      <c r="N20" s="8">
        <f>N11*Inputs!$C$21</f>
        <v>0.4</v>
      </c>
      <c r="O20" s="8">
        <f>O11*Inputs!$C$21</f>
        <v>1.2000000000000002</v>
      </c>
      <c r="P20" s="8">
        <f>P11*Inputs!$C$21</f>
        <v>1.6</v>
      </c>
      <c r="Q20" s="8">
        <f>Q11*Inputs!$C$21</f>
        <v>0.8</v>
      </c>
      <c r="R20" s="8">
        <f>R11*Inputs!$C$21</f>
        <v>0.8</v>
      </c>
      <c r="S20" s="8">
        <f>S11*Inputs!$C$21</f>
        <v>0.8</v>
      </c>
    </row>
    <row r="21" spans="1:19" ht="15" customHeight="1" x14ac:dyDescent="0.2">
      <c r="A21" s="11" t="s">
        <v>453</v>
      </c>
      <c r="B21" s="3" t="s">
        <v>10</v>
      </c>
      <c r="C21" s="31">
        <f t="shared" si="3"/>
        <v>17.399999999999999</v>
      </c>
      <c r="D21" s="31">
        <f t="shared" si="4"/>
        <v>587.45000000000005</v>
      </c>
      <c r="E21" s="32">
        <f t="shared" ref="E21:S21" si="5">SUM(E15:E20)</f>
        <v>5.8</v>
      </c>
      <c r="F21" s="32">
        <f t="shared" si="5"/>
        <v>5.8</v>
      </c>
      <c r="G21" s="32">
        <f t="shared" si="5"/>
        <v>5.8</v>
      </c>
      <c r="H21" s="32">
        <f t="shared" si="5"/>
        <v>6.2</v>
      </c>
      <c r="I21" s="32">
        <f t="shared" si="5"/>
        <v>5.8</v>
      </c>
      <c r="J21" s="32">
        <f t="shared" si="5"/>
        <v>43.65</v>
      </c>
      <c r="K21" s="32">
        <f t="shared" si="5"/>
        <v>25.4</v>
      </c>
      <c r="L21" s="32">
        <f t="shared" si="5"/>
        <v>48.25</v>
      </c>
      <c r="M21" s="32">
        <f t="shared" si="5"/>
        <v>21.05</v>
      </c>
      <c r="N21" s="32">
        <f t="shared" si="5"/>
        <v>68.650000000000006</v>
      </c>
      <c r="O21" s="32">
        <f t="shared" si="5"/>
        <v>26.45</v>
      </c>
      <c r="P21" s="32">
        <f t="shared" si="5"/>
        <v>65.099999999999994</v>
      </c>
      <c r="Q21" s="32">
        <f t="shared" si="5"/>
        <v>74.3</v>
      </c>
      <c r="R21" s="32">
        <f t="shared" si="5"/>
        <v>112.55</v>
      </c>
      <c r="S21" s="32">
        <f t="shared" si="5"/>
        <v>90.05</v>
      </c>
    </row>
    <row r="22" spans="1:19" ht="15" customHeight="1" x14ac:dyDescent="0.2">
      <c r="A22" s="2"/>
      <c r="B22" s="2"/>
      <c r="C22" s="2"/>
      <c r="D22" s="2"/>
      <c r="E22" s="2"/>
      <c r="F22" s="2"/>
      <c r="G22" s="2"/>
      <c r="H22" s="2"/>
      <c r="I22" s="2"/>
      <c r="J22" s="2"/>
      <c r="K22" s="2"/>
      <c r="L22" s="2"/>
      <c r="M22" s="2"/>
      <c r="N22" s="2"/>
      <c r="O22" s="2"/>
      <c r="P22" s="2"/>
      <c r="Q22" s="2"/>
      <c r="R22" s="2"/>
      <c r="S22" s="2"/>
    </row>
    <row r="23" spans="1:19" ht="15" customHeight="1" x14ac:dyDescent="0.2">
      <c r="A23" s="11" t="s">
        <v>579</v>
      </c>
      <c r="B23" s="3" t="s">
        <v>10</v>
      </c>
      <c r="C23" s="31">
        <f>SUM(E23:G23)</f>
        <v>33.599999999999994</v>
      </c>
      <c r="D23" s="31">
        <f>SUM(H23:S23)</f>
        <v>1259.55</v>
      </c>
      <c r="E23" s="32">
        <f t="shared" ref="E23:S23" si="6">E12-E21</f>
        <v>11.2</v>
      </c>
      <c r="F23" s="32">
        <f t="shared" si="6"/>
        <v>11.2</v>
      </c>
      <c r="G23" s="32">
        <f t="shared" si="6"/>
        <v>11.2</v>
      </c>
      <c r="H23" s="32">
        <f t="shared" si="6"/>
        <v>11.8</v>
      </c>
      <c r="I23" s="32">
        <f t="shared" si="6"/>
        <v>11.2</v>
      </c>
      <c r="J23" s="32">
        <f t="shared" si="6"/>
        <v>100.85</v>
      </c>
      <c r="K23" s="32">
        <f t="shared" si="6"/>
        <v>59.1</v>
      </c>
      <c r="L23" s="32">
        <f t="shared" si="6"/>
        <v>110.25</v>
      </c>
      <c r="M23" s="32">
        <f t="shared" si="6"/>
        <v>39.450000000000003</v>
      </c>
      <c r="N23" s="32">
        <f t="shared" si="6"/>
        <v>159.35</v>
      </c>
      <c r="O23" s="32">
        <f t="shared" si="6"/>
        <v>50.05</v>
      </c>
      <c r="P23" s="32">
        <f t="shared" si="6"/>
        <v>140.9</v>
      </c>
      <c r="Q23" s="32">
        <f t="shared" si="6"/>
        <v>156.69999999999999</v>
      </c>
      <c r="R23" s="32">
        <f t="shared" si="6"/>
        <v>246.95</v>
      </c>
      <c r="S23" s="32">
        <f t="shared" si="6"/>
        <v>172.95</v>
      </c>
    </row>
    <row r="24" spans="1:19" ht="15" customHeight="1" x14ac:dyDescent="0.2">
      <c r="A24" s="28" t="s">
        <v>580</v>
      </c>
      <c r="B24" s="3" t="s">
        <v>21</v>
      </c>
      <c r="C24" s="30">
        <f t="shared" ref="C24:S24" si="7">IF(C12=0,0,C23/C12)</f>
        <v>0.65882352941176459</v>
      </c>
      <c r="D24" s="30">
        <f t="shared" si="7"/>
        <v>0.68194369247428255</v>
      </c>
      <c r="E24" s="9">
        <f t="shared" si="7"/>
        <v>0.6588235294117647</v>
      </c>
      <c r="F24" s="9">
        <f t="shared" si="7"/>
        <v>0.6588235294117647</v>
      </c>
      <c r="G24" s="9">
        <f t="shared" si="7"/>
        <v>0.6588235294117647</v>
      </c>
      <c r="H24" s="9">
        <f t="shared" si="7"/>
        <v>0.65555555555555556</v>
      </c>
      <c r="I24" s="9">
        <f t="shared" si="7"/>
        <v>0.6588235294117647</v>
      </c>
      <c r="J24" s="9">
        <f t="shared" si="7"/>
        <v>0.69792387543252588</v>
      </c>
      <c r="K24" s="9">
        <f t="shared" si="7"/>
        <v>0.69940828402366861</v>
      </c>
      <c r="L24" s="9">
        <f t="shared" si="7"/>
        <v>0.69558359621451105</v>
      </c>
      <c r="M24" s="9">
        <f t="shared" si="7"/>
        <v>0.65206611570247941</v>
      </c>
      <c r="N24" s="9">
        <f t="shared" si="7"/>
        <v>0.69890350877192975</v>
      </c>
      <c r="O24" s="9">
        <f t="shared" si="7"/>
        <v>0.6542483660130719</v>
      </c>
      <c r="P24" s="9">
        <f t="shared" si="7"/>
        <v>0.68398058252427185</v>
      </c>
      <c r="Q24" s="9">
        <f t="shared" si="7"/>
        <v>0.67835497835497827</v>
      </c>
      <c r="R24" s="9">
        <f t="shared" si="7"/>
        <v>0.68692628650904031</v>
      </c>
      <c r="S24" s="9">
        <f t="shared" si="7"/>
        <v>0.65760456273764256</v>
      </c>
    </row>
    <row r="25" spans="1:19" ht="15" customHeight="1" x14ac:dyDescent="0.2">
      <c r="A25" s="2"/>
      <c r="B25" s="2"/>
      <c r="C25" s="2"/>
      <c r="D25" s="2"/>
      <c r="E25" s="2"/>
      <c r="F25" s="2"/>
      <c r="G25" s="2"/>
      <c r="H25" s="2"/>
      <c r="I25" s="2"/>
      <c r="J25" s="2"/>
      <c r="K25" s="2"/>
      <c r="L25" s="2"/>
      <c r="M25" s="2"/>
      <c r="N25" s="2"/>
      <c r="O25" s="2"/>
      <c r="P25" s="2"/>
      <c r="Q25" s="2"/>
      <c r="R25" s="2"/>
      <c r="S25" s="2"/>
    </row>
    <row r="26" spans="1:19" ht="15" customHeight="1" x14ac:dyDescent="0.2">
      <c r="A26" s="6" t="s">
        <v>581</v>
      </c>
      <c r="B26" s="7"/>
      <c r="C26" s="7"/>
      <c r="D26" s="7"/>
      <c r="E26" s="7"/>
      <c r="F26" s="7"/>
      <c r="G26" s="7"/>
      <c r="H26" s="7"/>
      <c r="I26" s="7"/>
      <c r="J26" s="7"/>
      <c r="K26" s="7"/>
      <c r="L26" s="7"/>
      <c r="M26" s="7"/>
      <c r="N26" s="7"/>
      <c r="O26" s="7"/>
      <c r="P26" s="7"/>
      <c r="Q26" s="7"/>
      <c r="R26" s="7"/>
      <c r="S26" s="7"/>
    </row>
    <row r="27" spans="1:19" ht="15" customHeight="1" x14ac:dyDescent="0.2">
      <c r="A27" s="28" t="s">
        <v>582</v>
      </c>
      <c r="B27" s="3" t="s">
        <v>10</v>
      </c>
      <c r="C27" s="31">
        <f>SUM(E27:G27)</f>
        <v>62.039750000000012</v>
      </c>
      <c r="D27" s="31">
        <f>SUM(H27:S27)</f>
        <v>536.43259999999998</v>
      </c>
      <c r="E27" s="34">
        <f>Capacity_OPEX!E22+Capacity_OPEX!E23+Capacity_OPEX!E24+Capacity_OPEX!E25+Capacity_OPEX!E37+Capacity_OPEX!E38+Capacity_OPEX!E39</f>
        <v>20.679916666666671</v>
      </c>
      <c r="F27" s="34">
        <f>Capacity_OPEX!F22+Capacity_OPEX!F23+Capacity_OPEX!F24+Capacity_OPEX!F25+Capacity_OPEX!F37+Capacity_OPEX!F38+Capacity_OPEX!F39</f>
        <v>20.679916666666671</v>
      </c>
      <c r="G27" s="34">
        <f>Capacity_OPEX!G22+Capacity_OPEX!G23+Capacity_OPEX!G24+Capacity_OPEX!G25+Capacity_OPEX!G37+Capacity_OPEX!G38+Capacity_OPEX!G39</f>
        <v>20.679916666666671</v>
      </c>
      <c r="H27" s="34">
        <f>Capacity_OPEX!H22+Capacity_OPEX!H23+Capacity_OPEX!H24+Capacity_OPEX!H25+Capacity_OPEX!H37+Capacity_OPEX!H38+Capacity_OPEX!H39</f>
        <v>38.462716666666665</v>
      </c>
      <c r="I27" s="34">
        <f>Capacity_OPEX!I22+Capacity_OPEX!I23+Capacity_OPEX!I24+Capacity_OPEX!I25+Capacity_OPEX!I37+Capacity_OPEX!I38+Capacity_OPEX!I39</f>
        <v>38.462716666666665</v>
      </c>
      <c r="J27" s="34">
        <f>Capacity_OPEX!J22+Capacity_OPEX!J23+Capacity_OPEX!J24+Capacity_OPEX!J25+Capacity_OPEX!J37+Capacity_OPEX!J38+Capacity_OPEX!J39</f>
        <v>38.462716666666665</v>
      </c>
      <c r="K27" s="34">
        <f>Capacity_OPEX!K22+Capacity_OPEX!K23+Capacity_OPEX!K24+Capacity_OPEX!K25+Capacity_OPEX!K37+Capacity_OPEX!K38+Capacity_OPEX!K39</f>
        <v>46.782716666666666</v>
      </c>
      <c r="L27" s="34">
        <f>Capacity_OPEX!L22+Capacity_OPEX!L23+Capacity_OPEX!L24+Capacity_OPEX!L25+Capacity_OPEX!L37+Capacity_OPEX!L38+Capacity_OPEX!L39</f>
        <v>46.782716666666666</v>
      </c>
      <c r="M27" s="34">
        <f>Capacity_OPEX!M22+Capacity_OPEX!M23+Capacity_OPEX!M24+Capacity_OPEX!M25+Capacity_OPEX!M37+Capacity_OPEX!M38+Capacity_OPEX!M39</f>
        <v>46.782716666666666</v>
      </c>
      <c r="N27" s="34">
        <f>Capacity_OPEX!N22+Capacity_OPEX!N23+Capacity_OPEX!N24+Capacity_OPEX!N25+Capacity_OPEX!N37+Capacity_OPEX!N38+Capacity_OPEX!N39</f>
        <v>46.782716666666666</v>
      </c>
      <c r="O27" s="34">
        <f>Capacity_OPEX!O22+Capacity_OPEX!O23+Capacity_OPEX!O24+Capacity_OPEX!O25+Capacity_OPEX!O37+Capacity_OPEX!O38+Capacity_OPEX!O39</f>
        <v>46.782716666666666</v>
      </c>
      <c r="P27" s="34">
        <f>Capacity_OPEX!P22+Capacity_OPEX!P23+Capacity_OPEX!P24+Capacity_OPEX!P25+Capacity_OPEX!P37+Capacity_OPEX!P38+Capacity_OPEX!P39</f>
        <v>46.782716666666666</v>
      </c>
      <c r="Q27" s="34">
        <f>Capacity_OPEX!Q22+Capacity_OPEX!Q23+Capacity_OPEX!Q24+Capacity_OPEX!Q25+Capacity_OPEX!Q37+Capacity_OPEX!Q38+Capacity_OPEX!Q39</f>
        <v>46.782716666666666</v>
      </c>
      <c r="R27" s="34">
        <f>Capacity_OPEX!R22+Capacity_OPEX!R23+Capacity_OPEX!R24+Capacity_OPEX!R25+Capacity_OPEX!R37+Capacity_OPEX!R38+Capacity_OPEX!R39</f>
        <v>46.782716666666666</v>
      </c>
      <c r="S27" s="34">
        <f>Capacity_OPEX!S22+Capacity_OPEX!S23+Capacity_OPEX!S24+Capacity_OPEX!S25+Capacity_OPEX!S37+Capacity_OPEX!S38+Capacity_OPEX!S39</f>
        <v>46.782716666666666</v>
      </c>
    </row>
    <row r="28" spans="1:19" ht="15" customHeight="1" x14ac:dyDescent="0.2">
      <c r="A28" s="28" t="s">
        <v>555</v>
      </c>
      <c r="B28" s="3" t="s">
        <v>10</v>
      </c>
      <c r="C28" s="31">
        <f>SUM(E28:G28)</f>
        <v>0</v>
      </c>
      <c r="D28" s="31">
        <f>SUM(H28:S28)</f>
        <v>200</v>
      </c>
      <c r="E28" s="34">
        <f>Capacity_OPEX!E26</f>
        <v>0</v>
      </c>
      <c r="F28" s="34">
        <f>Capacity_OPEX!F26</f>
        <v>0</v>
      </c>
      <c r="G28" s="34">
        <f>Capacity_OPEX!G26</f>
        <v>0</v>
      </c>
      <c r="H28" s="34">
        <f>Capacity_OPEX!H26</f>
        <v>0</v>
      </c>
      <c r="I28" s="34">
        <f>Capacity_OPEX!I26</f>
        <v>0</v>
      </c>
      <c r="J28" s="34">
        <f>Capacity_OPEX!J26</f>
        <v>0</v>
      </c>
      <c r="K28" s="34">
        <f>Capacity_OPEX!K26</f>
        <v>0</v>
      </c>
      <c r="L28" s="34">
        <f>Capacity_OPEX!L26</f>
        <v>25</v>
      </c>
      <c r="M28" s="34">
        <f>Capacity_OPEX!M26</f>
        <v>25</v>
      </c>
      <c r="N28" s="34">
        <f>Capacity_OPEX!N26</f>
        <v>25</v>
      </c>
      <c r="O28" s="34">
        <f>Capacity_OPEX!O26</f>
        <v>25</v>
      </c>
      <c r="P28" s="34">
        <f>Capacity_OPEX!P26</f>
        <v>25</v>
      </c>
      <c r="Q28" s="34">
        <f>Capacity_OPEX!Q26</f>
        <v>25</v>
      </c>
      <c r="R28" s="34">
        <f>Capacity_OPEX!R26</f>
        <v>25</v>
      </c>
      <c r="S28" s="34">
        <f>Capacity_OPEX!S26</f>
        <v>25</v>
      </c>
    </row>
    <row r="29" spans="1:19" ht="15" customHeight="1" x14ac:dyDescent="0.2">
      <c r="A29" s="28" t="s">
        <v>583</v>
      </c>
      <c r="B29" s="3" t="s">
        <v>10</v>
      </c>
      <c r="C29" s="31">
        <f>SUM(E29:G29)</f>
        <v>0</v>
      </c>
      <c r="D29" s="31">
        <f>SUM(H29:S29)</f>
        <v>72</v>
      </c>
      <c r="E29" s="34">
        <f>Capacity_OPEX!E27+Capacity_OPEX!E28+Capacity_OPEX!E40</f>
        <v>0</v>
      </c>
      <c r="F29" s="34">
        <f>Capacity_OPEX!F27+Capacity_OPEX!F28+Capacity_OPEX!F40</f>
        <v>0</v>
      </c>
      <c r="G29" s="34">
        <f>Capacity_OPEX!G27+Capacity_OPEX!G28+Capacity_OPEX!G40</f>
        <v>0</v>
      </c>
      <c r="H29" s="34">
        <f>Capacity_OPEX!H27+Capacity_OPEX!H28+Capacity_OPEX!H40</f>
        <v>2</v>
      </c>
      <c r="I29" s="34">
        <f>Capacity_OPEX!I27+Capacity_OPEX!I28+Capacity_OPEX!I40</f>
        <v>2</v>
      </c>
      <c r="J29" s="34">
        <f>Capacity_OPEX!J27+Capacity_OPEX!J28+Capacity_OPEX!J40</f>
        <v>2</v>
      </c>
      <c r="K29" s="34">
        <f>Capacity_OPEX!K27+Capacity_OPEX!K28+Capacity_OPEX!K40</f>
        <v>2</v>
      </c>
      <c r="L29" s="34">
        <f>Capacity_OPEX!L27+Capacity_OPEX!L28+Capacity_OPEX!L40</f>
        <v>2</v>
      </c>
      <c r="M29" s="34">
        <f>Capacity_OPEX!M27+Capacity_OPEX!M28+Capacity_OPEX!M40</f>
        <v>2</v>
      </c>
      <c r="N29" s="34">
        <f>Capacity_OPEX!N27+Capacity_OPEX!N28+Capacity_OPEX!N40</f>
        <v>10</v>
      </c>
      <c r="O29" s="34">
        <f>Capacity_OPEX!O27+Capacity_OPEX!O28+Capacity_OPEX!O40</f>
        <v>10</v>
      </c>
      <c r="P29" s="34">
        <f>Capacity_OPEX!P27+Capacity_OPEX!P28+Capacity_OPEX!P40</f>
        <v>10</v>
      </c>
      <c r="Q29" s="34">
        <f>Capacity_OPEX!Q27+Capacity_OPEX!Q28+Capacity_OPEX!Q40</f>
        <v>10</v>
      </c>
      <c r="R29" s="34">
        <f>Capacity_OPEX!R27+Capacity_OPEX!R28+Capacity_OPEX!R40</f>
        <v>10</v>
      </c>
      <c r="S29" s="34">
        <f>Capacity_OPEX!S27+Capacity_OPEX!S28+Capacity_OPEX!S40</f>
        <v>10</v>
      </c>
    </row>
    <row r="30" spans="1:19" ht="15" customHeight="1" x14ac:dyDescent="0.2">
      <c r="A30" s="28" t="s">
        <v>584</v>
      </c>
      <c r="B30" s="3" t="s">
        <v>10</v>
      </c>
      <c r="C30" s="31">
        <f>SUM(E30:G30)</f>
        <v>0</v>
      </c>
      <c r="D30" s="31">
        <f>SUM(H30:S30)</f>
        <v>20</v>
      </c>
      <c r="E30" s="34">
        <f>Capacity_OPEX!E29+Capacity_OPEX!E30+Capacity_OPEX!E31</f>
        <v>0</v>
      </c>
      <c r="F30" s="34">
        <f>Capacity_OPEX!F29+Capacity_OPEX!F30+Capacity_OPEX!F31</f>
        <v>0</v>
      </c>
      <c r="G30" s="34">
        <f>Capacity_OPEX!G29+Capacity_OPEX!G30+Capacity_OPEX!G31</f>
        <v>0</v>
      </c>
      <c r="H30" s="34">
        <f>Capacity_OPEX!H29+Capacity_OPEX!H30+Capacity_OPEX!H31</f>
        <v>0</v>
      </c>
      <c r="I30" s="34">
        <f>Capacity_OPEX!I29+Capacity_OPEX!I30+Capacity_OPEX!I31</f>
        <v>0</v>
      </c>
      <c r="J30" s="34">
        <f>Capacity_OPEX!J29+Capacity_OPEX!J30+Capacity_OPEX!J31</f>
        <v>2.5</v>
      </c>
      <c r="K30" s="34">
        <f>Capacity_OPEX!K29+Capacity_OPEX!K30+Capacity_OPEX!K31</f>
        <v>0</v>
      </c>
      <c r="L30" s="34">
        <f>Capacity_OPEX!L29+Capacity_OPEX!L30+Capacity_OPEX!L31</f>
        <v>0</v>
      </c>
      <c r="M30" s="34">
        <f>Capacity_OPEX!M29+Capacity_OPEX!M30+Capacity_OPEX!M31</f>
        <v>0</v>
      </c>
      <c r="N30" s="34">
        <f>Capacity_OPEX!N29+Capacity_OPEX!N30+Capacity_OPEX!N31</f>
        <v>2.5</v>
      </c>
      <c r="O30" s="34">
        <f>Capacity_OPEX!O29+Capacity_OPEX!O30+Capacity_OPEX!O31</f>
        <v>0</v>
      </c>
      <c r="P30" s="34">
        <f>Capacity_OPEX!P29+Capacity_OPEX!P30+Capacity_OPEX!P31</f>
        <v>0</v>
      </c>
      <c r="Q30" s="34">
        <f>Capacity_OPEX!Q29+Capacity_OPEX!Q30+Capacity_OPEX!Q31</f>
        <v>2.5</v>
      </c>
      <c r="R30" s="34">
        <f>Capacity_OPEX!R29+Capacity_OPEX!R30+Capacity_OPEX!R31</f>
        <v>7.5</v>
      </c>
      <c r="S30" s="34">
        <f>Capacity_OPEX!S29+Capacity_OPEX!S30+Capacity_OPEX!S31</f>
        <v>5</v>
      </c>
    </row>
    <row r="31" spans="1:19" ht="15" customHeight="1" x14ac:dyDescent="0.2">
      <c r="A31" s="11" t="s">
        <v>561</v>
      </c>
      <c r="B31" s="3" t="s">
        <v>10</v>
      </c>
      <c r="C31" s="31">
        <f>SUM(E31:G31)</f>
        <v>62.039750000000012</v>
      </c>
      <c r="D31" s="31">
        <f>SUM(H31:S31)</f>
        <v>828.43259999999987</v>
      </c>
      <c r="E31" s="32">
        <f t="shared" ref="E31:S31" si="8">SUM(E27:E30)</f>
        <v>20.679916666666671</v>
      </c>
      <c r="F31" s="32">
        <f t="shared" si="8"/>
        <v>20.679916666666671</v>
      </c>
      <c r="G31" s="32">
        <f t="shared" si="8"/>
        <v>20.679916666666671</v>
      </c>
      <c r="H31" s="32">
        <f t="shared" si="8"/>
        <v>40.462716666666665</v>
      </c>
      <c r="I31" s="32">
        <f t="shared" si="8"/>
        <v>40.462716666666665</v>
      </c>
      <c r="J31" s="32">
        <f t="shared" si="8"/>
        <v>42.962716666666665</v>
      </c>
      <c r="K31" s="32">
        <f t="shared" si="8"/>
        <v>48.782716666666666</v>
      </c>
      <c r="L31" s="32">
        <f t="shared" si="8"/>
        <v>73.782716666666659</v>
      </c>
      <c r="M31" s="32">
        <f t="shared" si="8"/>
        <v>73.782716666666659</v>
      </c>
      <c r="N31" s="32">
        <f t="shared" si="8"/>
        <v>84.282716666666659</v>
      </c>
      <c r="O31" s="32">
        <f t="shared" si="8"/>
        <v>81.782716666666659</v>
      </c>
      <c r="P31" s="32">
        <f t="shared" si="8"/>
        <v>81.782716666666659</v>
      </c>
      <c r="Q31" s="32">
        <f t="shared" si="8"/>
        <v>84.282716666666659</v>
      </c>
      <c r="R31" s="32">
        <f t="shared" si="8"/>
        <v>89.282716666666659</v>
      </c>
      <c r="S31" s="32">
        <f t="shared" si="8"/>
        <v>86.782716666666659</v>
      </c>
    </row>
    <row r="32" spans="1:19" ht="15" customHeight="1" x14ac:dyDescent="0.2">
      <c r="A32" s="2"/>
      <c r="B32" s="2"/>
      <c r="C32" s="2"/>
      <c r="D32" s="2"/>
      <c r="E32" s="2"/>
      <c r="F32" s="2"/>
      <c r="G32" s="2"/>
      <c r="H32" s="2"/>
      <c r="I32" s="2"/>
      <c r="J32" s="2"/>
      <c r="K32" s="2"/>
      <c r="L32" s="2"/>
      <c r="M32" s="2"/>
      <c r="N32" s="2"/>
      <c r="O32" s="2"/>
      <c r="P32" s="2"/>
      <c r="Q32" s="2"/>
      <c r="R32" s="2"/>
      <c r="S32" s="2"/>
    </row>
    <row r="33" spans="1:19" ht="15" customHeight="1" x14ac:dyDescent="0.2">
      <c r="A33" s="11" t="s">
        <v>585</v>
      </c>
      <c r="B33" s="3" t="s">
        <v>10</v>
      </c>
      <c r="C33" s="31">
        <f>SUM(E33:G33)</f>
        <v>-28.439750000000014</v>
      </c>
      <c r="D33" s="31">
        <f>SUM(H33:S33)</f>
        <v>431.11740000000003</v>
      </c>
      <c r="E33" s="32">
        <f t="shared" ref="E33:S33" si="9">E23-E31</f>
        <v>-9.4799166666666714</v>
      </c>
      <c r="F33" s="32">
        <f t="shared" si="9"/>
        <v>-9.4799166666666714</v>
      </c>
      <c r="G33" s="32">
        <f t="shared" si="9"/>
        <v>-9.4799166666666714</v>
      </c>
      <c r="H33" s="32">
        <f t="shared" si="9"/>
        <v>-28.662716666666665</v>
      </c>
      <c r="I33" s="32">
        <f t="shared" si="9"/>
        <v>-29.262716666666666</v>
      </c>
      <c r="J33" s="32">
        <f t="shared" si="9"/>
        <v>57.887283333333329</v>
      </c>
      <c r="K33" s="32">
        <f t="shared" si="9"/>
        <v>10.317283333333336</v>
      </c>
      <c r="L33" s="32">
        <f t="shared" si="9"/>
        <v>36.467283333333341</v>
      </c>
      <c r="M33" s="32">
        <f t="shared" si="9"/>
        <v>-34.332716666666656</v>
      </c>
      <c r="N33" s="32">
        <f t="shared" si="9"/>
        <v>75.067283333333336</v>
      </c>
      <c r="O33" s="32">
        <f t="shared" si="9"/>
        <v>-31.732716666666661</v>
      </c>
      <c r="P33" s="32">
        <f t="shared" si="9"/>
        <v>59.117283333333347</v>
      </c>
      <c r="Q33" s="32">
        <f t="shared" si="9"/>
        <v>72.41728333333333</v>
      </c>
      <c r="R33" s="32">
        <f t="shared" si="9"/>
        <v>157.66728333333333</v>
      </c>
      <c r="S33" s="32">
        <f t="shared" si="9"/>
        <v>86.16728333333333</v>
      </c>
    </row>
    <row r="34" spans="1:19" ht="15" customHeight="1" x14ac:dyDescent="0.2">
      <c r="A34" s="28" t="s">
        <v>586</v>
      </c>
      <c r="B34" s="3" t="s">
        <v>10</v>
      </c>
      <c r="C34" s="31">
        <f>SUM(E34:G34)</f>
        <v>0.255</v>
      </c>
      <c r="D34" s="31">
        <f>SUM(H34:S34)</f>
        <v>9.2350000000000012</v>
      </c>
      <c r="E34" s="8">
        <f>E12*Inputs!$C$80</f>
        <v>8.5000000000000006E-2</v>
      </c>
      <c r="F34" s="8">
        <f>F12*Inputs!$C$80</f>
        <v>8.5000000000000006E-2</v>
      </c>
      <c r="G34" s="8">
        <f>G12*Inputs!$C$80</f>
        <v>8.5000000000000006E-2</v>
      </c>
      <c r="H34" s="8">
        <f>H12*Inputs!$C$80</f>
        <v>0.09</v>
      </c>
      <c r="I34" s="8">
        <f>I12*Inputs!$C$80</f>
        <v>8.5000000000000006E-2</v>
      </c>
      <c r="J34" s="8">
        <f>J12*Inputs!$C$80</f>
        <v>0.72250000000000003</v>
      </c>
      <c r="K34" s="8">
        <f>K12*Inputs!$C$80</f>
        <v>0.42249999999999999</v>
      </c>
      <c r="L34" s="8">
        <f>L12*Inputs!$C$80</f>
        <v>0.79249999999999998</v>
      </c>
      <c r="M34" s="8">
        <f>M12*Inputs!$C$80</f>
        <v>0.30249999999999999</v>
      </c>
      <c r="N34" s="8">
        <f>N12*Inputs!$C$80</f>
        <v>1.1400000000000001</v>
      </c>
      <c r="O34" s="8">
        <f>O12*Inputs!$C$80</f>
        <v>0.38250000000000001</v>
      </c>
      <c r="P34" s="8">
        <f>P12*Inputs!$C$80</f>
        <v>1.03</v>
      </c>
      <c r="Q34" s="8">
        <f>Q12*Inputs!$C$80</f>
        <v>1.155</v>
      </c>
      <c r="R34" s="8">
        <f>R12*Inputs!$C$80</f>
        <v>1.7975000000000001</v>
      </c>
      <c r="S34" s="8">
        <f>S12*Inputs!$C$80</f>
        <v>1.3149999999999999</v>
      </c>
    </row>
    <row r="35" spans="1:19" ht="15" customHeight="1" x14ac:dyDescent="0.2">
      <c r="A35" s="11" t="s">
        <v>77</v>
      </c>
      <c r="B35" s="3" t="s">
        <v>10</v>
      </c>
      <c r="C35" s="31">
        <f>SUM(E35:G35)</f>
        <v>-28.694750000000017</v>
      </c>
      <c r="D35" s="31">
        <f>SUM(H35:S35)</f>
        <v>421.88240000000002</v>
      </c>
      <c r="E35" s="32">
        <f t="shared" ref="E35:S35" si="10">E33-E34</f>
        <v>-9.5649166666666723</v>
      </c>
      <c r="F35" s="32">
        <f t="shared" si="10"/>
        <v>-9.5649166666666723</v>
      </c>
      <c r="G35" s="32">
        <f t="shared" si="10"/>
        <v>-9.5649166666666723</v>
      </c>
      <c r="H35" s="32">
        <f t="shared" si="10"/>
        <v>-28.752716666666664</v>
      </c>
      <c r="I35" s="32">
        <f t="shared" si="10"/>
        <v>-29.347716666666667</v>
      </c>
      <c r="J35" s="32">
        <f t="shared" si="10"/>
        <v>57.164783333333332</v>
      </c>
      <c r="K35" s="32">
        <f t="shared" si="10"/>
        <v>9.8947833333333364</v>
      </c>
      <c r="L35" s="32">
        <f t="shared" si="10"/>
        <v>35.674783333333345</v>
      </c>
      <c r="M35" s="32">
        <f t="shared" si="10"/>
        <v>-34.635216666666658</v>
      </c>
      <c r="N35" s="32">
        <f t="shared" si="10"/>
        <v>73.927283333333335</v>
      </c>
      <c r="O35" s="32">
        <f t="shared" si="10"/>
        <v>-32.115216666666662</v>
      </c>
      <c r="P35" s="32">
        <f t="shared" si="10"/>
        <v>58.087283333333346</v>
      </c>
      <c r="Q35" s="32">
        <f t="shared" si="10"/>
        <v>71.262283333333329</v>
      </c>
      <c r="R35" s="32">
        <f t="shared" si="10"/>
        <v>155.86978333333332</v>
      </c>
      <c r="S35" s="32">
        <f t="shared" si="10"/>
        <v>84.852283333333332</v>
      </c>
    </row>
    <row r="36" spans="1:19" ht="15" customHeight="1" x14ac:dyDescent="0.2">
      <c r="A36" s="28" t="s">
        <v>587</v>
      </c>
      <c r="B36" s="3" t="s">
        <v>21</v>
      </c>
      <c r="C36" s="30">
        <f t="shared" ref="C36:S36" si="11">IF(C12=0,0,C35/C12)</f>
        <v>-0.56264215686274544</v>
      </c>
      <c r="D36" s="30">
        <f t="shared" si="11"/>
        <v>0.22841494315105579</v>
      </c>
      <c r="E36" s="9">
        <f t="shared" si="11"/>
        <v>-0.56264215686274544</v>
      </c>
      <c r="F36" s="9">
        <f t="shared" si="11"/>
        <v>-0.56264215686274544</v>
      </c>
      <c r="G36" s="9">
        <f t="shared" si="11"/>
        <v>-0.56264215686274544</v>
      </c>
      <c r="H36" s="9">
        <f t="shared" si="11"/>
        <v>-1.5973731481481481</v>
      </c>
      <c r="I36" s="9">
        <f t="shared" si="11"/>
        <v>-1.7263362745098039</v>
      </c>
      <c r="J36" s="9">
        <f t="shared" si="11"/>
        <v>0.39560403690888118</v>
      </c>
      <c r="K36" s="9">
        <f t="shared" si="11"/>
        <v>0.11709802761341226</v>
      </c>
      <c r="L36" s="9">
        <f t="shared" si="11"/>
        <v>0.22507749737118829</v>
      </c>
      <c r="M36" s="9">
        <f t="shared" si="11"/>
        <v>-0.57248292011019264</v>
      </c>
      <c r="N36" s="9">
        <f t="shared" si="11"/>
        <v>0.32424247076023394</v>
      </c>
      <c r="O36" s="9">
        <f t="shared" si="11"/>
        <v>-0.4198067538126361</v>
      </c>
      <c r="P36" s="9">
        <f t="shared" si="11"/>
        <v>0.2819771035598706</v>
      </c>
      <c r="Q36" s="9">
        <f t="shared" si="11"/>
        <v>0.30849473304473302</v>
      </c>
      <c r="R36" s="9">
        <f t="shared" si="11"/>
        <v>0.43357380621233188</v>
      </c>
      <c r="S36" s="9">
        <f t="shared" si="11"/>
        <v>0.32263225602027884</v>
      </c>
    </row>
    <row r="37" spans="1:19" ht="15" customHeight="1" x14ac:dyDescent="0.2">
      <c r="A37" s="28" t="s">
        <v>588</v>
      </c>
      <c r="B37" s="3" t="s">
        <v>10</v>
      </c>
      <c r="C37" s="31">
        <f>SUM(E37:G37)</f>
        <v>-28.694750000000017</v>
      </c>
      <c r="D37" s="31">
        <f>SUM(H37:S37)</f>
        <v>621.88239999999996</v>
      </c>
      <c r="E37" s="8">
        <f t="shared" ref="E37:S37" si="12">E35+E28</f>
        <v>-9.5649166666666723</v>
      </c>
      <c r="F37" s="8">
        <f t="shared" si="12"/>
        <v>-9.5649166666666723</v>
      </c>
      <c r="G37" s="8">
        <f t="shared" si="12"/>
        <v>-9.5649166666666723</v>
      </c>
      <c r="H37" s="8">
        <f t="shared" si="12"/>
        <v>-28.752716666666664</v>
      </c>
      <c r="I37" s="8">
        <f t="shared" si="12"/>
        <v>-29.347716666666667</v>
      </c>
      <c r="J37" s="8">
        <f t="shared" si="12"/>
        <v>57.164783333333332</v>
      </c>
      <c r="K37" s="8">
        <f t="shared" si="12"/>
        <v>9.8947833333333364</v>
      </c>
      <c r="L37" s="8">
        <f t="shared" si="12"/>
        <v>60.674783333333345</v>
      </c>
      <c r="M37" s="8">
        <f t="shared" si="12"/>
        <v>-9.6352166666666577</v>
      </c>
      <c r="N37" s="8">
        <f t="shared" si="12"/>
        <v>98.927283333333335</v>
      </c>
      <c r="O37" s="8">
        <f t="shared" si="12"/>
        <v>-7.1152166666666616</v>
      </c>
      <c r="P37" s="8">
        <f t="shared" si="12"/>
        <v>83.087283333333346</v>
      </c>
      <c r="Q37" s="8">
        <f t="shared" si="12"/>
        <v>96.262283333333329</v>
      </c>
      <c r="R37" s="8">
        <f t="shared" si="12"/>
        <v>180.86978333333332</v>
      </c>
      <c r="S37" s="8">
        <f t="shared" si="12"/>
        <v>109.85228333333333</v>
      </c>
    </row>
    <row r="38" spans="1:19" ht="15" customHeight="1" x14ac:dyDescent="0.2">
      <c r="A38" s="2"/>
      <c r="B38" s="2"/>
      <c r="C38" s="2"/>
      <c r="D38" s="2"/>
      <c r="E38" s="2"/>
      <c r="F38" s="2"/>
      <c r="G38" s="2"/>
      <c r="H38" s="2"/>
      <c r="I38" s="2"/>
      <c r="J38" s="2"/>
      <c r="K38" s="2"/>
      <c r="L38" s="2"/>
      <c r="M38" s="2"/>
      <c r="N38" s="2"/>
      <c r="O38" s="2"/>
      <c r="P38" s="2"/>
      <c r="Q38" s="2"/>
      <c r="R38" s="2"/>
      <c r="S38" s="2"/>
    </row>
    <row r="39" spans="1:19" ht="15" customHeight="1" x14ac:dyDescent="0.2">
      <c r="A39" s="6" t="s">
        <v>589</v>
      </c>
      <c r="B39" s="7"/>
      <c r="C39" s="7"/>
      <c r="D39" s="7"/>
      <c r="E39" s="7"/>
      <c r="F39" s="7"/>
      <c r="G39" s="7"/>
      <c r="H39" s="7"/>
      <c r="I39" s="7"/>
      <c r="J39" s="7"/>
      <c r="K39" s="7"/>
      <c r="L39" s="7"/>
      <c r="M39" s="7"/>
      <c r="N39" s="7"/>
      <c r="O39" s="7"/>
      <c r="P39" s="7"/>
      <c r="Q39" s="7"/>
      <c r="R39" s="7"/>
      <c r="S39" s="7"/>
    </row>
    <row r="40" spans="1:19" ht="15" customHeight="1" x14ac:dyDescent="0.2">
      <c r="A40" s="28" t="s">
        <v>590</v>
      </c>
      <c r="B40" s="3" t="s">
        <v>10</v>
      </c>
      <c r="C40" s="31">
        <f>SUM(E40:G40)</f>
        <v>0</v>
      </c>
      <c r="D40" s="31">
        <f>SUM(H40:S40)</f>
        <v>911.82500000000005</v>
      </c>
      <c r="E40" s="8">
        <f>E6+E7*Inputs!$C$83</f>
        <v>0</v>
      </c>
      <c r="F40" s="8">
        <f>F6+F7*Inputs!$C$83</f>
        <v>0</v>
      </c>
      <c r="G40" s="8">
        <f>G6+G7*Inputs!$C$83</f>
        <v>0</v>
      </c>
      <c r="H40" s="8">
        <f>H6+H7*Inputs!$C$83</f>
        <v>0</v>
      </c>
      <c r="I40" s="8">
        <f>I6+I7*Inputs!$C$83</f>
        <v>0</v>
      </c>
      <c r="J40" s="8">
        <f>J6+J7*Inputs!$C$83</f>
        <v>124.22499999999999</v>
      </c>
      <c r="K40" s="8">
        <f>K6+K7*Inputs!$C$83</f>
        <v>0</v>
      </c>
      <c r="L40" s="8">
        <f>L6+L7*Inputs!$C$83</f>
        <v>124.22499999999999</v>
      </c>
      <c r="M40" s="8">
        <f>M6+M7*Inputs!$C$83</f>
        <v>24.224999999999998</v>
      </c>
      <c r="N40" s="8">
        <f>N6+N7*Inputs!$C$83</f>
        <v>124.22499999999999</v>
      </c>
      <c r="O40" s="8">
        <f>O6+O7*Inputs!$C$83</f>
        <v>24.224999999999998</v>
      </c>
      <c r="P40" s="8">
        <f>P6+P7*Inputs!$C$83</f>
        <v>148.44999999999999</v>
      </c>
      <c r="Q40" s="8">
        <f>Q6+Q7*Inputs!$C$83</f>
        <v>48.449999999999996</v>
      </c>
      <c r="R40" s="8">
        <f>R6+R7*Inputs!$C$83</f>
        <v>172.67500000000001</v>
      </c>
      <c r="S40" s="8">
        <f>S6+S7*Inputs!$C$83</f>
        <v>121.125</v>
      </c>
    </row>
    <row r="41" spans="1:19" ht="15" customHeight="1" x14ac:dyDescent="0.2">
      <c r="A41" s="28" t="s">
        <v>591</v>
      </c>
      <c r="B41" s="3" t="s">
        <v>21</v>
      </c>
      <c r="C41" s="30">
        <f t="shared" ref="C41:S41" si="13">IF(C12=0,0,C40/C12)</f>
        <v>0</v>
      </c>
      <c r="D41" s="30">
        <f t="shared" si="13"/>
        <v>0.49367893881970765</v>
      </c>
      <c r="E41" s="9">
        <f t="shared" si="13"/>
        <v>0</v>
      </c>
      <c r="F41" s="9">
        <f t="shared" si="13"/>
        <v>0</v>
      </c>
      <c r="G41" s="9">
        <f t="shared" si="13"/>
        <v>0</v>
      </c>
      <c r="H41" s="9">
        <f t="shared" si="13"/>
        <v>0</v>
      </c>
      <c r="I41" s="9">
        <f t="shared" si="13"/>
        <v>0</v>
      </c>
      <c r="J41" s="9">
        <f t="shared" si="13"/>
        <v>0.85968858131487891</v>
      </c>
      <c r="K41" s="9">
        <f t="shared" si="13"/>
        <v>0</v>
      </c>
      <c r="L41" s="9">
        <f t="shared" si="13"/>
        <v>0.78375394321766556</v>
      </c>
      <c r="M41" s="9">
        <f t="shared" si="13"/>
        <v>0.40041322314049582</v>
      </c>
      <c r="N41" s="9">
        <f t="shared" si="13"/>
        <v>0.54484649122807016</v>
      </c>
      <c r="O41" s="9">
        <f t="shared" si="13"/>
        <v>0.31666666666666665</v>
      </c>
      <c r="P41" s="9">
        <f t="shared" si="13"/>
        <v>0.72063106796116494</v>
      </c>
      <c r="Q41" s="9">
        <f t="shared" si="13"/>
        <v>0.20974025974025973</v>
      </c>
      <c r="R41" s="9">
        <f t="shared" si="13"/>
        <v>0.48031988873435327</v>
      </c>
      <c r="S41" s="9">
        <f t="shared" si="13"/>
        <v>0.4605513307984791</v>
      </c>
    </row>
    <row r="42" spans="1:19" ht="15" customHeight="1" x14ac:dyDescent="0.2">
      <c r="A42" s="28" t="s">
        <v>592</v>
      </c>
      <c r="B42" s="3" t="s">
        <v>10</v>
      </c>
      <c r="C42" s="31">
        <f>SUM(E42:G42)</f>
        <v>45</v>
      </c>
      <c r="D42" s="31">
        <f>SUM(H42:S42)</f>
        <v>1764</v>
      </c>
      <c r="E42" s="8">
        <f t="shared" ref="E42:S42" si="14">SUM(E6:E9)</f>
        <v>15</v>
      </c>
      <c r="F42" s="8">
        <f t="shared" si="14"/>
        <v>15</v>
      </c>
      <c r="G42" s="8">
        <f t="shared" si="14"/>
        <v>15</v>
      </c>
      <c r="H42" s="8">
        <f t="shared" si="14"/>
        <v>15</v>
      </c>
      <c r="I42" s="8">
        <f t="shared" si="14"/>
        <v>15</v>
      </c>
      <c r="J42" s="8">
        <f t="shared" si="14"/>
        <v>143.5</v>
      </c>
      <c r="K42" s="8">
        <f t="shared" si="14"/>
        <v>83.5</v>
      </c>
      <c r="L42" s="8">
        <f t="shared" si="14"/>
        <v>158.5</v>
      </c>
      <c r="M42" s="8">
        <f t="shared" si="14"/>
        <v>58.5</v>
      </c>
      <c r="N42" s="8">
        <f t="shared" si="14"/>
        <v>227</v>
      </c>
      <c r="O42" s="8">
        <f t="shared" si="14"/>
        <v>73.5</v>
      </c>
      <c r="P42" s="8">
        <f t="shared" si="14"/>
        <v>202</v>
      </c>
      <c r="Q42" s="8">
        <f t="shared" si="14"/>
        <v>209</v>
      </c>
      <c r="R42" s="8">
        <f t="shared" si="14"/>
        <v>337.5</v>
      </c>
      <c r="S42" s="8">
        <f t="shared" si="14"/>
        <v>241</v>
      </c>
    </row>
    <row r="43" spans="1:19" ht="15" customHeight="1" x14ac:dyDescent="0.2">
      <c r="A43" s="28" t="s">
        <v>593</v>
      </c>
      <c r="B43" s="3" t="s">
        <v>10</v>
      </c>
      <c r="C43" s="31">
        <f>SUM(E43:G43)</f>
        <v>0</v>
      </c>
      <c r="D43" s="31">
        <f>SUM(H43:S43)</f>
        <v>85.5</v>
      </c>
      <c r="E43" s="8">
        <f>(Volume!E23*Inputs!$C$63+Volume!E24*Inputs!$C$64+Volume!E25*Inputs!$C$65+Volume!E27*Inputs!$C$66)*Inputs!$C$62</f>
        <v>0</v>
      </c>
      <c r="F43" s="8">
        <f>(Volume!F23*Inputs!$C$63+Volume!F24*Inputs!$C$64+Volume!F25*Inputs!$C$65+Volume!F27*Inputs!$C$66)*Inputs!$C$62</f>
        <v>0</v>
      </c>
      <c r="G43" s="8">
        <f>(Volume!G23*Inputs!$C$63+Volume!G24*Inputs!$C$64+Volume!G25*Inputs!$C$65+Volume!G27*Inputs!$C$66)*Inputs!$C$62</f>
        <v>0</v>
      </c>
      <c r="H43" s="8">
        <f>(Volume!H23*Inputs!$C$63+Volume!H24*Inputs!$C$64+Volume!H25*Inputs!$C$65+Volume!H27*Inputs!$C$66)*Inputs!$C$62</f>
        <v>0</v>
      </c>
      <c r="I43" s="8">
        <f>(Volume!I23*Inputs!$C$63+Volume!I24*Inputs!$C$64+Volume!I25*Inputs!$C$65+Volume!I27*Inputs!$C$66)*Inputs!$C$62</f>
        <v>0</v>
      </c>
      <c r="J43" s="8">
        <f>(Volume!J23*Inputs!$C$63+Volume!J24*Inputs!$C$64+Volume!J25*Inputs!$C$65+Volume!J27*Inputs!$C$66)*Inputs!$C$62</f>
        <v>5.25</v>
      </c>
      <c r="K43" s="8">
        <f>(Volume!K23*Inputs!$C$63+Volume!K24*Inputs!$C$64+Volume!K25*Inputs!$C$65+Volume!K27*Inputs!$C$66)*Inputs!$C$62</f>
        <v>3</v>
      </c>
      <c r="L43" s="8">
        <f>(Volume!L23*Inputs!$C$63+Volume!L24*Inputs!$C$64+Volume!L25*Inputs!$C$65+Volume!L27*Inputs!$C$66)*Inputs!$C$62</f>
        <v>5.25</v>
      </c>
      <c r="M43" s="8">
        <f>(Volume!M23*Inputs!$C$63+Volume!M24*Inputs!$C$64+Volume!M25*Inputs!$C$65+Volume!M27*Inputs!$C$66)*Inputs!$C$62</f>
        <v>2.25</v>
      </c>
      <c r="N43" s="8">
        <f>(Volume!N23*Inputs!$C$63+Volume!N24*Inputs!$C$64+Volume!N25*Inputs!$C$65+Volume!N27*Inputs!$C$66)*Inputs!$C$62</f>
        <v>8.25</v>
      </c>
      <c r="O43" s="8">
        <f>(Volume!O23*Inputs!$C$63+Volume!O24*Inputs!$C$64+Volume!O25*Inputs!$C$65+Volume!O27*Inputs!$C$66)*Inputs!$C$62</f>
        <v>2.25</v>
      </c>
      <c r="P43" s="8">
        <f>(Volume!P23*Inputs!$C$63+Volume!P24*Inputs!$C$64+Volume!P25*Inputs!$C$65+Volume!P27*Inputs!$C$66)*Inputs!$C$62</f>
        <v>7.5</v>
      </c>
      <c r="Q43" s="8">
        <f>(Volume!Q23*Inputs!$C$63+Volume!Q24*Inputs!$C$64+Volume!Q25*Inputs!$C$65+Volume!Q27*Inputs!$C$66)*Inputs!$C$62</f>
        <v>14.25</v>
      </c>
      <c r="R43" s="8">
        <f>(Volume!R23*Inputs!$C$63+Volume!R24*Inputs!$C$64+Volume!R25*Inputs!$C$65+Volume!R27*Inputs!$C$66)*Inputs!$C$62</f>
        <v>19.5</v>
      </c>
      <c r="S43" s="8">
        <f>(Volume!S23*Inputs!$C$63+Volume!S24*Inputs!$C$64+Volume!S25*Inputs!$C$65+Volume!S27*Inputs!$C$66)*Inputs!$C$62</f>
        <v>18</v>
      </c>
    </row>
    <row r="44" spans="1:19" ht="15" customHeight="1" x14ac:dyDescent="0.2">
      <c r="A44" s="28" t="s">
        <v>594</v>
      </c>
      <c r="B44" s="3" t="s">
        <v>10</v>
      </c>
      <c r="C44" s="31">
        <f>SUM(E44:G44)</f>
        <v>1.8000000000000003</v>
      </c>
      <c r="D44" s="31">
        <f>SUM(H44:S44)</f>
        <v>14.65</v>
      </c>
      <c r="E44" s="8">
        <f>(Volume!E28+Volume!E26*Inputs!$C$68)*Inputs!$C$67</f>
        <v>0.60000000000000009</v>
      </c>
      <c r="F44" s="8">
        <f>(Volume!F28+Volume!F26*Inputs!$C$68)*Inputs!$C$67</f>
        <v>0.60000000000000009</v>
      </c>
      <c r="G44" s="8">
        <f>(Volume!G28+Volume!G26*Inputs!$C$68)*Inputs!$C$67</f>
        <v>0.60000000000000009</v>
      </c>
      <c r="H44" s="8">
        <f>(Volume!H28+Volume!H26*Inputs!$C$68)*Inputs!$C$67</f>
        <v>0.65</v>
      </c>
      <c r="I44" s="8">
        <f>(Volume!I28+Volume!I26*Inputs!$C$68)*Inputs!$C$67</f>
        <v>0.60000000000000009</v>
      </c>
      <c r="J44" s="8">
        <f>(Volume!J28+Volume!J26*Inputs!$C$68)*Inputs!$C$67</f>
        <v>0.55000000000000004</v>
      </c>
      <c r="K44" s="8">
        <f>(Volume!K28+Volume!K26*Inputs!$C$68)*Inputs!$C$67</f>
        <v>1.05</v>
      </c>
      <c r="L44" s="8">
        <f>(Volume!L28+Volume!L26*Inputs!$C$68)*Inputs!$C$67</f>
        <v>1</v>
      </c>
      <c r="M44" s="8">
        <f>(Volume!M28+Volume!M26*Inputs!$C$68)*Inputs!$C$67</f>
        <v>1.1000000000000001</v>
      </c>
      <c r="N44" s="8">
        <f>(Volume!N28+Volume!N26*Inputs!$C$68)*Inputs!$C$67</f>
        <v>1.55</v>
      </c>
      <c r="O44" s="8">
        <f>(Volume!O28+Volume!O26*Inputs!$C$68)*Inputs!$C$67</f>
        <v>1.6500000000000001</v>
      </c>
      <c r="P44" s="8">
        <f>(Volume!P28+Volume!P26*Inputs!$C$68)*Inputs!$C$67</f>
        <v>1.7000000000000002</v>
      </c>
      <c r="Q44" s="8">
        <f>(Volume!Q28+Volume!Q26*Inputs!$C$68)*Inputs!$C$67</f>
        <v>1.6</v>
      </c>
      <c r="R44" s="8">
        <f>(Volume!R28+Volume!R26*Inputs!$C$68)*Inputs!$C$67</f>
        <v>1.6</v>
      </c>
      <c r="S44" s="8">
        <f>(Volume!S28+Volume!S26*Inputs!$C$68)*Inputs!$C$67</f>
        <v>1.6</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29"/>
  <sheetViews>
    <sheetView zoomScaleNormal="100" workbookViewId="0">
      <pane xSplit="4" ySplit="4" topLeftCell="E5" activePane="bottomRight" state="frozen"/>
      <selection pane="topRight" activeCell="E1" sqref="E1"/>
      <selection pane="bottomLeft" activeCell="A5" sqref="A5"/>
      <selection pane="bottomRight"/>
    </sheetView>
  </sheetViews>
  <sheetFormatPr baseColWidth="10" defaultColWidth="8.6640625" defaultRowHeight="15" x14ac:dyDescent="0.2"/>
  <cols>
    <col min="1" max="1" width="52" customWidth="1"/>
    <col min="2" max="2" width="14" customWidth="1"/>
    <col min="3" max="19" width="10.5" customWidth="1"/>
  </cols>
  <sheetData>
    <row r="1" spans="1:19" ht="17.25" customHeight="1" x14ac:dyDescent="0.2">
      <c r="A1" s="1" t="s">
        <v>595</v>
      </c>
      <c r="B1" s="2"/>
      <c r="C1" s="2"/>
      <c r="D1" s="2"/>
      <c r="E1" s="2"/>
      <c r="F1" s="2"/>
      <c r="G1" s="2"/>
      <c r="H1" s="2"/>
      <c r="I1" s="2"/>
      <c r="J1" s="2"/>
      <c r="K1" s="2"/>
      <c r="L1" s="2"/>
      <c r="M1" s="2"/>
      <c r="N1" s="2"/>
      <c r="O1" s="2"/>
      <c r="P1" s="2"/>
      <c r="Q1" s="2"/>
      <c r="R1" s="2"/>
      <c r="S1" s="2"/>
    </row>
    <row r="2" spans="1:19" ht="15" customHeight="1" x14ac:dyDescent="0.2">
      <c r="A2" s="3" t="s">
        <v>408</v>
      </c>
      <c r="B2" s="2"/>
      <c r="C2" s="2"/>
      <c r="D2" s="2"/>
      <c r="E2" s="2"/>
      <c r="F2" s="2"/>
      <c r="G2" s="2"/>
      <c r="H2" s="2"/>
      <c r="I2" s="2"/>
      <c r="J2" s="2"/>
      <c r="K2" s="2"/>
      <c r="L2" s="2"/>
      <c r="M2" s="2"/>
      <c r="N2" s="2"/>
      <c r="O2" s="2"/>
      <c r="P2" s="2"/>
      <c r="Q2" s="2"/>
      <c r="R2" s="2"/>
      <c r="S2" s="2"/>
    </row>
    <row r="3" spans="1:19" ht="15" customHeight="1" x14ac:dyDescent="0.2">
      <c r="A3" s="2"/>
      <c r="B3" s="2"/>
      <c r="C3" s="2"/>
      <c r="D3" s="2"/>
      <c r="E3" s="2"/>
      <c r="F3" s="2"/>
      <c r="G3" s="2"/>
      <c r="H3" s="2"/>
      <c r="I3" s="2"/>
      <c r="J3" s="2"/>
      <c r="K3" s="2"/>
      <c r="L3" s="2"/>
      <c r="M3" s="2"/>
      <c r="N3" s="2"/>
      <c r="O3" s="2"/>
      <c r="P3" s="2"/>
      <c r="Q3" s="2"/>
      <c r="R3" s="2"/>
      <c r="S3" s="2"/>
    </row>
    <row r="4" spans="1:19" ht="15" customHeight="1" x14ac:dyDescent="0.2">
      <c r="A4" s="27" t="s">
        <v>409</v>
      </c>
      <c r="B4" s="27" t="s">
        <v>6</v>
      </c>
      <c r="C4" s="27" t="s">
        <v>410</v>
      </c>
      <c r="D4" s="27" t="s">
        <v>411</v>
      </c>
      <c r="E4" s="27" t="s">
        <v>66</v>
      </c>
      <c r="F4" s="27" t="s">
        <v>412</v>
      </c>
      <c r="G4" s="27" t="s">
        <v>413</v>
      </c>
      <c r="H4" s="27" t="s">
        <v>216</v>
      </c>
      <c r="I4" s="27" t="s">
        <v>414</v>
      </c>
      <c r="J4" s="27" t="s">
        <v>356</v>
      </c>
      <c r="K4" s="27" t="s">
        <v>67</v>
      </c>
      <c r="L4" s="27" t="s">
        <v>415</v>
      </c>
      <c r="M4" s="27" t="s">
        <v>416</v>
      </c>
      <c r="N4" s="27" t="s">
        <v>68</v>
      </c>
      <c r="O4" s="27" t="s">
        <v>417</v>
      </c>
      <c r="P4" s="27" t="s">
        <v>418</v>
      </c>
      <c r="Q4" s="27" t="s">
        <v>402</v>
      </c>
      <c r="R4" s="27" t="s">
        <v>419</v>
      </c>
      <c r="S4" s="27" t="s">
        <v>420</v>
      </c>
    </row>
    <row r="5" spans="1:19" ht="15" customHeight="1" x14ac:dyDescent="0.2">
      <c r="A5" s="6" t="s">
        <v>78</v>
      </c>
      <c r="B5" s="7"/>
      <c r="C5" s="7"/>
      <c r="D5" s="7"/>
      <c r="E5" s="7"/>
      <c r="F5" s="7"/>
      <c r="G5" s="7"/>
      <c r="H5" s="7"/>
      <c r="I5" s="7"/>
      <c r="J5" s="7"/>
      <c r="K5" s="7"/>
      <c r="L5" s="7"/>
      <c r="M5" s="7"/>
      <c r="N5" s="7"/>
      <c r="O5" s="7"/>
      <c r="P5" s="7"/>
      <c r="Q5" s="7"/>
      <c r="R5" s="7"/>
      <c r="S5" s="7"/>
    </row>
    <row r="6" spans="1:19" ht="15" customHeight="1" x14ac:dyDescent="0.2">
      <c r="A6" s="28" t="s">
        <v>596</v>
      </c>
      <c r="B6" s="3" t="s">
        <v>10</v>
      </c>
      <c r="C6" s="31">
        <f t="shared" ref="C6:C11" si="0">SUM(E6:G6)</f>
        <v>6</v>
      </c>
      <c r="D6" s="31">
        <f t="shared" ref="D6:D11" si="1">SUM(H6:S6)</f>
        <v>83</v>
      </c>
      <c r="E6" s="8">
        <f>PnL!E10+PnL!E11</f>
        <v>2</v>
      </c>
      <c r="F6" s="8">
        <f>PnL!F10+PnL!F11</f>
        <v>2</v>
      </c>
      <c r="G6" s="8">
        <f>PnL!G10+PnL!G11</f>
        <v>2</v>
      </c>
      <c r="H6" s="8">
        <f>PnL!H10+PnL!H11</f>
        <v>3</v>
      </c>
      <c r="I6" s="8">
        <f>PnL!I10+PnL!I11</f>
        <v>2</v>
      </c>
      <c r="J6" s="8">
        <f>PnL!J10+PnL!J11</f>
        <v>1</v>
      </c>
      <c r="K6" s="8">
        <f>PnL!K10+PnL!K11</f>
        <v>1</v>
      </c>
      <c r="L6" s="8">
        <f>PnL!L10+PnL!L11</f>
        <v>0</v>
      </c>
      <c r="M6" s="8">
        <f>PnL!M10+PnL!M11</f>
        <v>2</v>
      </c>
      <c r="N6" s="8">
        <f>PnL!N10+PnL!N11</f>
        <v>1</v>
      </c>
      <c r="O6" s="8">
        <f>PnL!O10+PnL!O11</f>
        <v>3</v>
      </c>
      <c r="P6" s="8">
        <f>PnL!P10+PnL!P11</f>
        <v>4</v>
      </c>
      <c r="Q6" s="8">
        <f>PnL!Q10+PnL!Q11</f>
        <v>22</v>
      </c>
      <c r="R6" s="8">
        <f>PnL!R10+PnL!R11</f>
        <v>22</v>
      </c>
      <c r="S6" s="8">
        <f>PnL!S10+PnL!S11</f>
        <v>22</v>
      </c>
    </row>
    <row r="7" spans="1:19" ht="15" customHeight="1" x14ac:dyDescent="0.2">
      <c r="A7" s="28" t="s">
        <v>597</v>
      </c>
      <c r="B7" s="3" t="s">
        <v>10</v>
      </c>
      <c r="C7" s="31">
        <f t="shared" si="0"/>
        <v>0</v>
      </c>
      <c r="D7" s="31">
        <f t="shared" si="1"/>
        <v>490</v>
      </c>
      <c r="E7" s="8">
        <f>PnL!E6*Inputs!$C$73</f>
        <v>0</v>
      </c>
      <c r="F7" s="8">
        <f>PnL!F6*Inputs!$C$73+PnL!E6*Inputs!$C$74</f>
        <v>0</v>
      </c>
      <c r="G7" s="8">
        <f>PnL!G6*Inputs!$C$73+PnL!F6*Inputs!$C$74+PnL!E6*Inputs!$C$75</f>
        <v>0</v>
      </c>
      <c r="H7" s="8">
        <f>PnL!H6*Inputs!$C$73+PnL!G6*Inputs!$C$74+PnL!F6*Inputs!$C$75</f>
        <v>0</v>
      </c>
      <c r="I7" s="8">
        <f>PnL!I6*Inputs!$C$73+PnL!H6*Inputs!$C$74+PnL!G6*Inputs!$C$75</f>
        <v>0</v>
      </c>
      <c r="J7" s="8">
        <f>PnL!J6*Inputs!$C$73+PnL!I6*Inputs!$C$74+PnL!H6*Inputs!$C$75</f>
        <v>60</v>
      </c>
      <c r="K7" s="8">
        <f>PnL!K6*Inputs!$C$73+PnL!J6*Inputs!$C$74+PnL!I6*Inputs!$C$75</f>
        <v>30</v>
      </c>
      <c r="L7" s="8">
        <f>PnL!L6*Inputs!$C$73+PnL!K6*Inputs!$C$74+PnL!J6*Inputs!$C$75</f>
        <v>70</v>
      </c>
      <c r="M7" s="8">
        <f>PnL!M6*Inputs!$C$73+PnL!L6*Inputs!$C$74+PnL!K6*Inputs!$C$75</f>
        <v>30</v>
      </c>
      <c r="N7" s="8">
        <f>PnL!N6*Inputs!$C$73+PnL!M6*Inputs!$C$74+PnL!L6*Inputs!$C$75</f>
        <v>70</v>
      </c>
      <c r="O7" s="8">
        <f>PnL!O6*Inputs!$C$73+PnL!N6*Inputs!$C$74+PnL!M6*Inputs!$C$75</f>
        <v>30</v>
      </c>
      <c r="P7" s="8">
        <f>PnL!P6*Inputs!$C$73+PnL!O6*Inputs!$C$74+PnL!N6*Inputs!$C$75</f>
        <v>70</v>
      </c>
      <c r="Q7" s="8">
        <f>PnL!Q6*Inputs!$C$73+PnL!P6*Inputs!$C$74+PnL!O6*Inputs!$C$75</f>
        <v>30</v>
      </c>
      <c r="R7" s="8">
        <f>PnL!R6*Inputs!$C$73+PnL!Q6*Inputs!$C$74+PnL!P6*Inputs!$C$75</f>
        <v>70</v>
      </c>
      <c r="S7" s="8">
        <f>PnL!S6*Inputs!$C$73+PnL!R6*Inputs!$C$74+PnL!Q6*Inputs!$C$75</f>
        <v>30</v>
      </c>
    </row>
    <row r="8" spans="1:19" ht="15" customHeight="1" x14ac:dyDescent="0.2">
      <c r="A8" s="28" t="s">
        <v>598</v>
      </c>
      <c r="B8" s="3" t="s">
        <v>10</v>
      </c>
      <c r="C8" s="31">
        <f t="shared" si="0"/>
        <v>0</v>
      </c>
      <c r="D8" s="31">
        <f t="shared" si="1"/>
        <v>456</v>
      </c>
      <c r="E8" s="8">
        <f>PnL!E7*Inputs!$C$76</f>
        <v>0</v>
      </c>
      <c r="F8" s="8">
        <f>PnL!F7*Inputs!$C$76+PnL!E7*(1-Inputs!$C$76)</f>
        <v>0</v>
      </c>
      <c r="G8" s="8">
        <f>PnL!G7*Inputs!$C$76+PnL!F7*(1-Inputs!$C$76)</f>
        <v>0</v>
      </c>
      <c r="H8" s="8">
        <f>PnL!H7*Inputs!$C$76+PnL!G7*(1-Inputs!$C$76)</f>
        <v>0</v>
      </c>
      <c r="I8" s="8">
        <f>PnL!I7*Inputs!$C$76+PnL!H7*(1-Inputs!$C$76)</f>
        <v>0</v>
      </c>
      <c r="J8" s="8">
        <f>PnL!J7*Inputs!$C$76+PnL!I7*(1-Inputs!$C$76)</f>
        <v>22.8</v>
      </c>
      <c r="K8" s="8">
        <f>PnL!K7*Inputs!$C$76+PnL!J7*(1-Inputs!$C$76)</f>
        <v>5.6999999999999984</v>
      </c>
      <c r="L8" s="8">
        <f>PnL!L7*Inputs!$C$76+PnL!K7*(1-Inputs!$C$76)</f>
        <v>22.8</v>
      </c>
      <c r="M8" s="8">
        <f>PnL!M7*Inputs!$C$76+PnL!L7*(1-Inputs!$C$76)</f>
        <v>28.5</v>
      </c>
      <c r="N8" s="8">
        <f>PnL!N7*Inputs!$C$76+PnL!M7*(1-Inputs!$C$76)</f>
        <v>28.5</v>
      </c>
      <c r="O8" s="8">
        <f>PnL!O7*Inputs!$C$76+PnL!N7*(1-Inputs!$C$76)</f>
        <v>28.5</v>
      </c>
      <c r="P8" s="8">
        <f>PnL!P7*Inputs!$C$76+PnL!O7*(1-Inputs!$C$76)</f>
        <v>51.3</v>
      </c>
      <c r="Q8" s="8">
        <f>PnL!Q7*Inputs!$C$76+PnL!P7*(1-Inputs!$C$76)</f>
        <v>57</v>
      </c>
      <c r="R8" s="8">
        <f>PnL!R7*Inputs!$C$76+PnL!Q7*(1-Inputs!$C$76)</f>
        <v>79.8</v>
      </c>
      <c r="S8" s="8">
        <f>PnL!S7*Inputs!$C$76+PnL!R7*(1-Inputs!$C$76)</f>
        <v>131.1</v>
      </c>
    </row>
    <row r="9" spans="1:19" ht="15" customHeight="1" x14ac:dyDescent="0.2">
      <c r="A9" s="28" t="s">
        <v>599</v>
      </c>
      <c r="B9" s="3" t="s">
        <v>10</v>
      </c>
      <c r="C9" s="31">
        <f t="shared" si="0"/>
        <v>0</v>
      </c>
      <c r="D9" s="31">
        <f t="shared" si="1"/>
        <v>299.60000000000002</v>
      </c>
      <c r="E9" s="8">
        <f>PnL!E8*Inputs!$C$77</f>
        <v>0</v>
      </c>
      <c r="F9" s="8">
        <f>PnL!F8*Inputs!$C$77+PnL!E8*Inputs!$C$78</f>
        <v>0</v>
      </c>
      <c r="G9" s="8">
        <f>PnL!G8*Inputs!$C$77+PnL!F8*Inputs!$C$78+PnL!E8*Inputs!$C$79</f>
        <v>0</v>
      </c>
      <c r="H9" s="8">
        <f>PnL!H8*Inputs!$C$77+PnL!G8*Inputs!$C$78+PnL!F8*Inputs!$C$79</f>
        <v>0</v>
      </c>
      <c r="I9" s="8">
        <f>PnL!I8*Inputs!$C$77+PnL!H8*Inputs!$C$78+PnL!G8*Inputs!$C$79</f>
        <v>0</v>
      </c>
      <c r="J9" s="8">
        <f>PnL!J8*Inputs!$C$77+PnL!I8*Inputs!$C$78+PnL!H8*Inputs!$C$79</f>
        <v>0</v>
      </c>
      <c r="K9" s="8">
        <f>PnL!K8*Inputs!$C$77+PnL!J8*Inputs!$C$78+PnL!I8*Inputs!$C$79</f>
        <v>10.700000000000001</v>
      </c>
      <c r="L9" s="8">
        <f>PnL!L8*Inputs!$C$77+PnL!K8*Inputs!$C$78+PnL!J8*Inputs!$C$79</f>
        <v>26.75</v>
      </c>
      <c r="M9" s="8">
        <f>PnL!M8*Inputs!$C$77+PnL!L8*Inputs!$C$78+PnL!K8*Inputs!$C$79</f>
        <v>16.05</v>
      </c>
      <c r="N9" s="8">
        <f>PnL!N8*Inputs!$C$77+PnL!M8*Inputs!$C$78+PnL!L8*Inputs!$C$79</f>
        <v>10.700000000000001</v>
      </c>
      <c r="O9" s="8">
        <f>PnL!O8*Inputs!$C$77+PnL!N8*Inputs!$C$78+PnL!M8*Inputs!$C$79</f>
        <v>26.75</v>
      </c>
      <c r="P9" s="8">
        <f>PnL!P8*Inputs!$C$77+PnL!O8*Inputs!$C$78+PnL!N8*Inputs!$C$79</f>
        <v>16.05</v>
      </c>
      <c r="Q9" s="8">
        <f>PnL!Q8*Inputs!$C$77+PnL!P8*Inputs!$C$78+PnL!O8*Inputs!$C$79</f>
        <v>21.400000000000002</v>
      </c>
      <c r="R9" s="8">
        <f>PnL!R8*Inputs!$C$77+PnL!Q8*Inputs!$C$78+PnL!P8*Inputs!$C$79</f>
        <v>74.900000000000006</v>
      </c>
      <c r="S9" s="8">
        <f>PnL!S8*Inputs!$C$77+PnL!R8*Inputs!$C$78+PnL!Q8*Inputs!$C$79</f>
        <v>96.300000000000011</v>
      </c>
    </row>
    <row r="10" spans="1:19" ht="15" customHeight="1" x14ac:dyDescent="0.2">
      <c r="A10" s="28" t="s">
        <v>600</v>
      </c>
      <c r="B10" s="3" t="s">
        <v>10</v>
      </c>
      <c r="C10" s="31">
        <f t="shared" si="0"/>
        <v>30</v>
      </c>
      <c r="D10" s="31">
        <f t="shared" si="1"/>
        <v>375</v>
      </c>
      <c r="E10" s="8">
        <f>PnL!E9*0</f>
        <v>0</v>
      </c>
      <c r="F10" s="8">
        <f>PnL!F9*0+PnL!E9*1</f>
        <v>15</v>
      </c>
      <c r="G10" s="8">
        <f>PnL!G9*0+PnL!F9*1</f>
        <v>15</v>
      </c>
      <c r="H10" s="8">
        <f>PnL!H9*0+PnL!G9*1</f>
        <v>15</v>
      </c>
      <c r="I10" s="8">
        <f>PnL!I9*0+PnL!H9*1</f>
        <v>15</v>
      </c>
      <c r="J10" s="8">
        <f>PnL!J9*0+PnL!I9*1</f>
        <v>15</v>
      </c>
      <c r="K10" s="8">
        <f>PnL!K9*0+PnL!J9*1</f>
        <v>15</v>
      </c>
      <c r="L10" s="8">
        <f>PnL!L9*0+PnL!K9*1</f>
        <v>30</v>
      </c>
      <c r="M10" s="8">
        <f>PnL!M9*0+PnL!L9*1</f>
        <v>30</v>
      </c>
      <c r="N10" s="8">
        <f>PnL!N9*0+PnL!M9*1</f>
        <v>30</v>
      </c>
      <c r="O10" s="8">
        <f>PnL!O9*0+PnL!N9*1</f>
        <v>45</v>
      </c>
      <c r="P10" s="8">
        <f>PnL!P9*0+PnL!O9*1</f>
        <v>45</v>
      </c>
      <c r="Q10" s="8">
        <f>PnL!Q9*0+PnL!P9*1</f>
        <v>45</v>
      </c>
      <c r="R10" s="8">
        <f>PnL!R9*0+PnL!Q9*1</f>
        <v>45</v>
      </c>
      <c r="S10" s="8">
        <f>PnL!S9*0+PnL!R9*1</f>
        <v>45</v>
      </c>
    </row>
    <row r="11" spans="1:19" ht="15" customHeight="1" x14ac:dyDescent="0.2">
      <c r="A11" s="11" t="s">
        <v>601</v>
      </c>
      <c r="B11" s="3" t="s">
        <v>10</v>
      </c>
      <c r="C11" s="31">
        <f t="shared" si="0"/>
        <v>36</v>
      </c>
      <c r="D11" s="31">
        <f t="shared" si="1"/>
        <v>1703.6</v>
      </c>
      <c r="E11" s="32">
        <f t="shared" ref="E11:S11" si="2">SUM(E6:E10)</f>
        <v>2</v>
      </c>
      <c r="F11" s="32">
        <f t="shared" si="2"/>
        <v>17</v>
      </c>
      <c r="G11" s="32">
        <f t="shared" si="2"/>
        <v>17</v>
      </c>
      <c r="H11" s="32">
        <f t="shared" si="2"/>
        <v>18</v>
      </c>
      <c r="I11" s="32">
        <f t="shared" si="2"/>
        <v>17</v>
      </c>
      <c r="J11" s="32">
        <f t="shared" si="2"/>
        <v>98.8</v>
      </c>
      <c r="K11" s="32">
        <f t="shared" si="2"/>
        <v>62.4</v>
      </c>
      <c r="L11" s="32">
        <f t="shared" si="2"/>
        <v>149.55000000000001</v>
      </c>
      <c r="M11" s="32">
        <f t="shared" si="2"/>
        <v>106.55</v>
      </c>
      <c r="N11" s="32">
        <f t="shared" si="2"/>
        <v>140.19999999999999</v>
      </c>
      <c r="O11" s="32">
        <f t="shared" si="2"/>
        <v>133.25</v>
      </c>
      <c r="P11" s="32">
        <f t="shared" si="2"/>
        <v>186.35</v>
      </c>
      <c r="Q11" s="32">
        <f t="shared" si="2"/>
        <v>175.4</v>
      </c>
      <c r="R11" s="32">
        <f t="shared" si="2"/>
        <v>291.70000000000005</v>
      </c>
      <c r="S11" s="32">
        <f t="shared" si="2"/>
        <v>324.39999999999998</v>
      </c>
    </row>
    <row r="12" spans="1:19" ht="15" customHeight="1" x14ac:dyDescent="0.2">
      <c r="A12" s="2"/>
      <c r="B12" s="2"/>
      <c r="C12" s="2"/>
      <c r="D12" s="2"/>
      <c r="E12" s="2"/>
      <c r="F12" s="2"/>
      <c r="G12" s="2"/>
      <c r="H12" s="2"/>
      <c r="I12" s="2"/>
      <c r="J12" s="2"/>
      <c r="K12" s="2"/>
      <c r="L12" s="2"/>
      <c r="M12" s="2"/>
      <c r="N12" s="2"/>
      <c r="O12" s="2"/>
      <c r="P12" s="2"/>
      <c r="Q12" s="2"/>
      <c r="R12" s="2"/>
      <c r="S12" s="2"/>
    </row>
    <row r="13" spans="1:19" ht="15" customHeight="1" x14ac:dyDescent="0.2">
      <c r="A13" s="6" t="s">
        <v>79</v>
      </c>
      <c r="B13" s="7"/>
      <c r="C13" s="7"/>
      <c r="D13" s="7"/>
      <c r="E13" s="7"/>
      <c r="F13" s="7"/>
      <c r="G13" s="7"/>
      <c r="H13" s="7"/>
      <c r="I13" s="7"/>
      <c r="J13" s="7"/>
      <c r="K13" s="7"/>
      <c r="L13" s="7"/>
      <c r="M13" s="7"/>
      <c r="N13" s="7"/>
      <c r="O13" s="7"/>
      <c r="P13" s="7"/>
      <c r="Q13" s="7"/>
      <c r="R13" s="7"/>
      <c r="S13" s="7"/>
    </row>
    <row r="14" spans="1:19" ht="15" customHeight="1" x14ac:dyDescent="0.2">
      <c r="A14" s="28" t="s">
        <v>602</v>
      </c>
      <c r="B14" s="3" t="s">
        <v>10</v>
      </c>
      <c r="C14" s="31">
        <f>SUM(E14:G14)</f>
        <v>17.399999999999999</v>
      </c>
      <c r="D14" s="31">
        <f>SUM(H14:S14)</f>
        <v>587.45000000000005</v>
      </c>
      <c r="E14" s="8">
        <f>PnL!E21</f>
        <v>5.8</v>
      </c>
      <c r="F14" s="8">
        <f>PnL!F21</f>
        <v>5.8</v>
      </c>
      <c r="G14" s="8">
        <f>PnL!G21</f>
        <v>5.8</v>
      </c>
      <c r="H14" s="8">
        <f>PnL!H21</f>
        <v>6.2</v>
      </c>
      <c r="I14" s="8">
        <f>PnL!I21</f>
        <v>5.8</v>
      </c>
      <c r="J14" s="8">
        <f>PnL!J21</f>
        <v>43.65</v>
      </c>
      <c r="K14" s="8">
        <f>PnL!K21</f>
        <v>25.4</v>
      </c>
      <c r="L14" s="8">
        <f>PnL!L21</f>
        <v>48.25</v>
      </c>
      <c r="M14" s="8">
        <f>PnL!M21</f>
        <v>21.05</v>
      </c>
      <c r="N14" s="8">
        <f>PnL!N21</f>
        <v>68.650000000000006</v>
      </c>
      <c r="O14" s="8">
        <f>PnL!O21</f>
        <v>26.45</v>
      </c>
      <c r="P14" s="8">
        <f>PnL!P21</f>
        <v>65.099999999999994</v>
      </c>
      <c r="Q14" s="8">
        <f>PnL!Q21</f>
        <v>74.3</v>
      </c>
      <c r="R14" s="8">
        <f>PnL!R21</f>
        <v>112.55</v>
      </c>
      <c r="S14" s="8">
        <f>PnL!S21</f>
        <v>90.05</v>
      </c>
    </row>
    <row r="15" spans="1:19" ht="15" customHeight="1" x14ac:dyDescent="0.2">
      <c r="A15" s="28" t="s">
        <v>603</v>
      </c>
      <c r="B15" s="3" t="s">
        <v>10</v>
      </c>
      <c r="C15" s="31">
        <f>SUM(E15:G15)</f>
        <v>62.039750000000012</v>
      </c>
      <c r="D15" s="31">
        <f>SUM(H15:S15)</f>
        <v>828.43259999999987</v>
      </c>
      <c r="E15" s="8">
        <f>PnL!E31</f>
        <v>20.679916666666671</v>
      </c>
      <c r="F15" s="8">
        <f>PnL!F31</f>
        <v>20.679916666666671</v>
      </c>
      <c r="G15" s="8">
        <f>PnL!G31</f>
        <v>20.679916666666671</v>
      </c>
      <c r="H15" s="8">
        <f>PnL!H31</f>
        <v>40.462716666666665</v>
      </c>
      <c r="I15" s="8">
        <f>PnL!I31</f>
        <v>40.462716666666665</v>
      </c>
      <c r="J15" s="8">
        <f>PnL!J31</f>
        <v>42.962716666666665</v>
      </c>
      <c r="K15" s="8">
        <f>PnL!K31</f>
        <v>48.782716666666666</v>
      </c>
      <c r="L15" s="8">
        <f>PnL!L31</f>
        <v>73.782716666666659</v>
      </c>
      <c r="M15" s="8">
        <f>PnL!M31</f>
        <v>73.782716666666659</v>
      </c>
      <c r="N15" s="8">
        <f>PnL!N31</f>
        <v>84.282716666666659</v>
      </c>
      <c r="O15" s="8">
        <f>PnL!O31</f>
        <v>81.782716666666659</v>
      </c>
      <c r="P15" s="8">
        <f>PnL!P31</f>
        <v>81.782716666666659</v>
      </c>
      <c r="Q15" s="8">
        <f>PnL!Q31</f>
        <v>84.282716666666659</v>
      </c>
      <c r="R15" s="8">
        <f>PnL!R31</f>
        <v>89.282716666666659</v>
      </c>
      <c r="S15" s="8">
        <f>PnL!S31</f>
        <v>86.782716666666659</v>
      </c>
    </row>
    <row r="16" spans="1:19" ht="15" customHeight="1" x14ac:dyDescent="0.2">
      <c r="A16" s="28" t="s">
        <v>604</v>
      </c>
      <c r="B16" s="3" t="s">
        <v>10</v>
      </c>
      <c r="C16" s="31">
        <f>SUM(E16:G16)</f>
        <v>0.17</v>
      </c>
      <c r="D16" s="31">
        <f>SUM(H16:S16)</f>
        <v>8.0050000000000008</v>
      </c>
      <c r="E16" s="8">
        <f>0</f>
        <v>0</v>
      </c>
      <c r="F16" s="8">
        <f>PnL!E34</f>
        <v>8.5000000000000006E-2</v>
      </c>
      <c r="G16" s="8">
        <f>PnL!F34</f>
        <v>8.5000000000000006E-2</v>
      </c>
      <c r="H16" s="8">
        <f>PnL!G34</f>
        <v>8.5000000000000006E-2</v>
      </c>
      <c r="I16" s="8">
        <f>PnL!H34</f>
        <v>0.09</v>
      </c>
      <c r="J16" s="8">
        <f>PnL!I34</f>
        <v>8.5000000000000006E-2</v>
      </c>
      <c r="K16" s="8">
        <f>PnL!J34</f>
        <v>0.72250000000000003</v>
      </c>
      <c r="L16" s="8">
        <f>PnL!K34</f>
        <v>0.42249999999999999</v>
      </c>
      <c r="M16" s="8">
        <f>PnL!L34</f>
        <v>0.79249999999999998</v>
      </c>
      <c r="N16" s="8">
        <f>PnL!M34</f>
        <v>0.30249999999999999</v>
      </c>
      <c r="O16" s="8">
        <f>PnL!N34</f>
        <v>1.1400000000000001</v>
      </c>
      <c r="P16" s="8">
        <f>PnL!O34</f>
        <v>0.38250000000000001</v>
      </c>
      <c r="Q16" s="8">
        <f>PnL!P34</f>
        <v>1.03</v>
      </c>
      <c r="R16" s="8">
        <f>PnL!Q34</f>
        <v>1.155</v>
      </c>
      <c r="S16" s="8">
        <f>PnL!R34</f>
        <v>1.7975000000000001</v>
      </c>
    </row>
    <row r="17" spans="1:19" ht="15" customHeight="1" x14ac:dyDescent="0.2">
      <c r="A17" s="11" t="s">
        <v>605</v>
      </c>
      <c r="B17" s="3" t="s">
        <v>10</v>
      </c>
      <c r="C17" s="31">
        <f>SUM(E17:G17)</f>
        <v>79.60975000000002</v>
      </c>
      <c r="D17" s="31">
        <f>SUM(H17:S17)</f>
        <v>1423.8876000000002</v>
      </c>
      <c r="E17" s="32">
        <f t="shared" ref="E17:S17" si="3">SUM(E14:E16)</f>
        <v>26.479916666666671</v>
      </c>
      <c r="F17" s="32">
        <f t="shared" si="3"/>
        <v>26.564916666666672</v>
      </c>
      <c r="G17" s="32">
        <f t="shared" si="3"/>
        <v>26.564916666666672</v>
      </c>
      <c r="H17" s="32">
        <f t="shared" si="3"/>
        <v>46.747716666666669</v>
      </c>
      <c r="I17" s="32">
        <f t="shared" si="3"/>
        <v>46.352716666666666</v>
      </c>
      <c r="J17" s="32">
        <f t="shared" si="3"/>
        <v>86.697716666666665</v>
      </c>
      <c r="K17" s="32">
        <f t="shared" si="3"/>
        <v>74.905216666666661</v>
      </c>
      <c r="L17" s="32">
        <f t="shared" si="3"/>
        <v>122.45521666666666</v>
      </c>
      <c r="M17" s="32">
        <f t="shared" si="3"/>
        <v>95.62521666666666</v>
      </c>
      <c r="N17" s="32">
        <f t="shared" si="3"/>
        <v>153.23521666666667</v>
      </c>
      <c r="O17" s="32">
        <f t="shared" si="3"/>
        <v>109.37271666666666</v>
      </c>
      <c r="P17" s="32">
        <f t="shared" si="3"/>
        <v>147.26521666666665</v>
      </c>
      <c r="Q17" s="32">
        <f t="shared" si="3"/>
        <v>159.61271666666667</v>
      </c>
      <c r="R17" s="32">
        <f t="shared" si="3"/>
        <v>202.98771666666667</v>
      </c>
      <c r="S17" s="32">
        <f t="shared" si="3"/>
        <v>178.63021666666668</v>
      </c>
    </row>
    <row r="18" spans="1:19" ht="15" customHeight="1" x14ac:dyDescent="0.2">
      <c r="A18" s="2"/>
      <c r="B18" s="2"/>
      <c r="C18" s="2"/>
      <c r="D18" s="2"/>
      <c r="E18" s="2"/>
      <c r="F18" s="2"/>
      <c r="G18" s="2"/>
      <c r="H18" s="2"/>
      <c r="I18" s="2"/>
      <c r="J18" s="2"/>
      <c r="K18" s="2"/>
      <c r="L18" s="2"/>
      <c r="M18" s="2"/>
      <c r="N18" s="2"/>
      <c r="O18" s="2"/>
      <c r="P18" s="2"/>
      <c r="Q18" s="2"/>
      <c r="R18" s="2"/>
      <c r="S18" s="2"/>
    </row>
    <row r="19" spans="1:19" ht="15" customHeight="1" x14ac:dyDescent="0.2">
      <c r="A19" s="11" t="s">
        <v>606</v>
      </c>
      <c r="B19" s="3" t="s">
        <v>10</v>
      </c>
      <c r="C19" s="31">
        <f>SUM(E19:G19)</f>
        <v>-43.60975000000002</v>
      </c>
      <c r="D19" s="31">
        <f>SUM(H19:S19)</f>
        <v>279.7124</v>
      </c>
      <c r="E19" s="32">
        <f t="shared" ref="E19:S19" si="4">E11-E17</f>
        <v>-24.479916666666671</v>
      </c>
      <c r="F19" s="32">
        <f t="shared" si="4"/>
        <v>-9.5649166666666723</v>
      </c>
      <c r="G19" s="32">
        <f t="shared" si="4"/>
        <v>-9.5649166666666723</v>
      </c>
      <c r="H19" s="32">
        <f t="shared" si="4"/>
        <v>-28.747716666666669</v>
      </c>
      <c r="I19" s="32">
        <f t="shared" si="4"/>
        <v>-29.352716666666666</v>
      </c>
      <c r="J19" s="32">
        <f t="shared" si="4"/>
        <v>12.102283333333332</v>
      </c>
      <c r="K19" s="32">
        <f t="shared" si="4"/>
        <v>-12.505216666666662</v>
      </c>
      <c r="L19" s="32">
        <f t="shared" si="4"/>
        <v>27.094783333333353</v>
      </c>
      <c r="M19" s="32">
        <f t="shared" si="4"/>
        <v>10.924783333333338</v>
      </c>
      <c r="N19" s="32">
        <f t="shared" si="4"/>
        <v>-13.035216666666685</v>
      </c>
      <c r="O19" s="32">
        <f t="shared" si="4"/>
        <v>23.877283333333338</v>
      </c>
      <c r="P19" s="32">
        <f t="shared" si="4"/>
        <v>39.084783333333348</v>
      </c>
      <c r="Q19" s="32">
        <f t="shared" si="4"/>
        <v>15.787283333333335</v>
      </c>
      <c r="R19" s="32">
        <f t="shared" si="4"/>
        <v>88.712283333333374</v>
      </c>
      <c r="S19" s="32">
        <f t="shared" si="4"/>
        <v>145.76978333333329</v>
      </c>
    </row>
    <row r="20" spans="1:19" ht="15" customHeight="1" x14ac:dyDescent="0.2">
      <c r="A20" s="28" t="s">
        <v>607</v>
      </c>
      <c r="B20" s="3" t="s">
        <v>10</v>
      </c>
      <c r="C20" s="31">
        <f>E20</f>
        <v>210</v>
      </c>
      <c r="D20" s="31">
        <f>H20</f>
        <v>166.39024999999998</v>
      </c>
      <c r="E20" s="8">
        <f>Inputs!$C$72</f>
        <v>210</v>
      </c>
      <c r="F20" s="8">
        <f t="shared" ref="F20:S20" si="5">E21</f>
        <v>185.52008333333333</v>
      </c>
      <c r="G20" s="8">
        <f t="shared" si="5"/>
        <v>175.95516666666666</v>
      </c>
      <c r="H20" s="8">
        <f t="shared" si="5"/>
        <v>166.39024999999998</v>
      </c>
      <c r="I20" s="8">
        <f t="shared" si="5"/>
        <v>137.64253333333332</v>
      </c>
      <c r="J20" s="8">
        <f t="shared" si="5"/>
        <v>108.28981666666665</v>
      </c>
      <c r="K20" s="8">
        <f t="shared" si="5"/>
        <v>120.39209999999999</v>
      </c>
      <c r="L20" s="8">
        <f t="shared" si="5"/>
        <v>107.88688333333332</v>
      </c>
      <c r="M20" s="8">
        <f t="shared" si="5"/>
        <v>134.98166666666668</v>
      </c>
      <c r="N20" s="8">
        <f t="shared" si="5"/>
        <v>145.90645000000001</v>
      </c>
      <c r="O20" s="8">
        <f t="shared" si="5"/>
        <v>132.87123333333332</v>
      </c>
      <c r="P20" s="8">
        <f t="shared" si="5"/>
        <v>156.74851666666666</v>
      </c>
      <c r="Q20" s="8">
        <f t="shared" si="5"/>
        <v>195.83330000000001</v>
      </c>
      <c r="R20" s="8">
        <f t="shared" si="5"/>
        <v>211.62058333333334</v>
      </c>
      <c r="S20" s="8">
        <f t="shared" si="5"/>
        <v>300.33286666666675</v>
      </c>
    </row>
    <row r="21" spans="1:19" ht="15" customHeight="1" x14ac:dyDescent="0.2">
      <c r="A21" s="11" t="s">
        <v>80</v>
      </c>
      <c r="B21" s="3" t="s">
        <v>10</v>
      </c>
      <c r="C21" s="31">
        <f>G21</f>
        <v>166.39024999999998</v>
      </c>
      <c r="D21" s="31">
        <f>S21</f>
        <v>446.10265000000004</v>
      </c>
      <c r="E21" s="32">
        <f t="shared" ref="E21:S21" si="6">E20+E19</f>
        <v>185.52008333333333</v>
      </c>
      <c r="F21" s="32">
        <f t="shared" si="6"/>
        <v>175.95516666666666</v>
      </c>
      <c r="G21" s="32">
        <f t="shared" si="6"/>
        <v>166.39024999999998</v>
      </c>
      <c r="H21" s="32">
        <f t="shared" si="6"/>
        <v>137.64253333333332</v>
      </c>
      <c r="I21" s="32">
        <f t="shared" si="6"/>
        <v>108.28981666666665</v>
      </c>
      <c r="J21" s="32">
        <f t="shared" si="6"/>
        <v>120.39209999999999</v>
      </c>
      <c r="K21" s="32">
        <f t="shared" si="6"/>
        <v>107.88688333333332</v>
      </c>
      <c r="L21" s="32">
        <f t="shared" si="6"/>
        <v>134.98166666666668</v>
      </c>
      <c r="M21" s="32">
        <f t="shared" si="6"/>
        <v>145.90645000000001</v>
      </c>
      <c r="N21" s="32">
        <f t="shared" si="6"/>
        <v>132.87123333333332</v>
      </c>
      <c r="O21" s="32">
        <f t="shared" si="6"/>
        <v>156.74851666666666</v>
      </c>
      <c r="P21" s="32">
        <f t="shared" si="6"/>
        <v>195.83330000000001</v>
      </c>
      <c r="Q21" s="32">
        <f t="shared" si="6"/>
        <v>211.62058333333334</v>
      </c>
      <c r="R21" s="32">
        <f t="shared" si="6"/>
        <v>300.33286666666675</v>
      </c>
      <c r="S21" s="32">
        <f t="shared" si="6"/>
        <v>446.10265000000004</v>
      </c>
    </row>
    <row r="22" spans="1:19" ht="15" customHeight="1" x14ac:dyDescent="0.2">
      <c r="A22" s="2"/>
      <c r="B22" s="2"/>
      <c r="C22" s="2"/>
      <c r="D22" s="2"/>
      <c r="E22" s="2"/>
      <c r="F22" s="2"/>
      <c r="G22" s="2"/>
      <c r="H22" s="2"/>
      <c r="I22" s="2"/>
      <c r="J22" s="2"/>
      <c r="K22" s="2"/>
      <c r="L22" s="2"/>
      <c r="M22" s="2"/>
      <c r="N22" s="2"/>
      <c r="O22" s="2"/>
      <c r="P22" s="2"/>
      <c r="Q22" s="2"/>
      <c r="R22" s="2"/>
      <c r="S22" s="2"/>
    </row>
    <row r="23" spans="1:19" ht="15" customHeight="1" x14ac:dyDescent="0.2">
      <c r="A23" s="6" t="s">
        <v>608</v>
      </c>
      <c r="B23" s="7"/>
      <c r="C23" s="7"/>
      <c r="D23" s="7"/>
      <c r="E23" s="7"/>
      <c r="F23" s="7"/>
      <c r="G23" s="7"/>
      <c r="H23" s="7"/>
      <c r="I23" s="7"/>
      <c r="J23" s="7"/>
      <c r="K23" s="7"/>
      <c r="L23" s="7"/>
      <c r="M23" s="7"/>
      <c r="N23" s="7"/>
      <c r="O23" s="7"/>
      <c r="P23" s="7"/>
      <c r="Q23" s="7"/>
      <c r="R23" s="7"/>
      <c r="S23" s="7"/>
    </row>
    <row r="24" spans="1:19" ht="15" customHeight="1" x14ac:dyDescent="0.2">
      <c r="A24" s="28" t="s">
        <v>609</v>
      </c>
      <c r="B24" s="3" t="s">
        <v>10</v>
      </c>
      <c r="C24" s="31">
        <f>MAX(E24:G24)</f>
        <v>26.479916666666671</v>
      </c>
      <c r="D24" s="31">
        <f>MAX(H24:S24)</f>
        <v>201.83271666666667</v>
      </c>
      <c r="E24" s="8">
        <f t="shared" ref="E24:S24" si="7">E15+E14</f>
        <v>26.479916666666671</v>
      </c>
      <c r="F24" s="8">
        <f t="shared" si="7"/>
        <v>26.479916666666671</v>
      </c>
      <c r="G24" s="8">
        <f t="shared" si="7"/>
        <v>26.479916666666671</v>
      </c>
      <c r="H24" s="8">
        <f t="shared" si="7"/>
        <v>46.662716666666668</v>
      </c>
      <c r="I24" s="8">
        <f t="shared" si="7"/>
        <v>46.262716666666662</v>
      </c>
      <c r="J24" s="8">
        <f t="shared" si="7"/>
        <v>86.612716666666671</v>
      </c>
      <c r="K24" s="8">
        <f t="shared" si="7"/>
        <v>74.182716666666664</v>
      </c>
      <c r="L24" s="8">
        <f t="shared" si="7"/>
        <v>122.03271666666666</v>
      </c>
      <c r="M24" s="8">
        <f t="shared" si="7"/>
        <v>94.832716666666656</v>
      </c>
      <c r="N24" s="8">
        <f t="shared" si="7"/>
        <v>152.93271666666666</v>
      </c>
      <c r="O24" s="8">
        <f t="shared" si="7"/>
        <v>108.23271666666666</v>
      </c>
      <c r="P24" s="8">
        <f t="shared" si="7"/>
        <v>146.88271666666665</v>
      </c>
      <c r="Q24" s="8">
        <f t="shared" si="7"/>
        <v>158.58271666666667</v>
      </c>
      <c r="R24" s="8">
        <f t="shared" si="7"/>
        <v>201.83271666666667</v>
      </c>
      <c r="S24" s="8">
        <f t="shared" si="7"/>
        <v>176.83271666666667</v>
      </c>
    </row>
    <row r="25" spans="1:19" ht="15" customHeight="1" x14ac:dyDescent="0.2">
      <c r="A25" s="28" t="s">
        <v>610</v>
      </c>
      <c r="B25" s="3" t="s">
        <v>425</v>
      </c>
      <c r="C25" s="29">
        <f>MIN(E25:G25)</f>
        <v>1</v>
      </c>
      <c r="D25" s="29">
        <f>MIN(H25:S25)</f>
        <v>0</v>
      </c>
      <c r="E25" s="10">
        <f t="shared" ref="E25:S25" si="8">IF(E21&gt;=E24,1,0)</f>
        <v>1</v>
      </c>
      <c r="F25" s="10">
        <f t="shared" si="8"/>
        <v>1</v>
      </c>
      <c r="G25" s="10">
        <f t="shared" si="8"/>
        <v>1</v>
      </c>
      <c r="H25" s="10">
        <f t="shared" si="8"/>
        <v>1</v>
      </c>
      <c r="I25" s="10">
        <f t="shared" si="8"/>
        <v>1</v>
      </c>
      <c r="J25" s="10">
        <f t="shared" si="8"/>
        <v>1</v>
      </c>
      <c r="K25" s="10">
        <f t="shared" si="8"/>
        <v>1</v>
      </c>
      <c r="L25" s="10">
        <f t="shared" si="8"/>
        <v>1</v>
      </c>
      <c r="M25" s="10">
        <f t="shared" si="8"/>
        <v>1</v>
      </c>
      <c r="N25" s="10">
        <f t="shared" si="8"/>
        <v>0</v>
      </c>
      <c r="O25" s="10">
        <f t="shared" si="8"/>
        <v>1</v>
      </c>
      <c r="P25" s="10">
        <f t="shared" si="8"/>
        <v>1</v>
      </c>
      <c r="Q25" s="10">
        <f t="shared" si="8"/>
        <v>1</v>
      </c>
      <c r="R25" s="10">
        <f t="shared" si="8"/>
        <v>1</v>
      </c>
      <c r="S25" s="10">
        <f t="shared" si="8"/>
        <v>1</v>
      </c>
    </row>
    <row r="26" spans="1:19" ht="15" customHeight="1" x14ac:dyDescent="0.2">
      <c r="A26" s="28" t="s">
        <v>611</v>
      </c>
      <c r="B26" s="3" t="s">
        <v>10</v>
      </c>
      <c r="C26" s="31">
        <f>MAX(E26:G26)</f>
        <v>15</v>
      </c>
      <c r="D26" s="31">
        <f>MAX(H26:S26)</f>
        <v>219.79999999999995</v>
      </c>
      <c r="E26" s="8">
        <f>SUM(PnL!$E$12:E12)-SUM($E$11:E11)</f>
        <v>15</v>
      </c>
      <c r="F26" s="8">
        <f>SUM(PnL!$E$12:F12)-SUM($E$11:F11)</f>
        <v>15</v>
      </c>
      <c r="G26" s="8">
        <f>SUM(PnL!$E$12:G12)-SUM($E$11:G11)</f>
        <v>15</v>
      </c>
      <c r="H26" s="8">
        <f>SUM(PnL!$E$12:H12)-SUM($E$11:H11)</f>
        <v>15</v>
      </c>
      <c r="I26" s="8">
        <f>SUM(PnL!$E$12:I12)-SUM($E$11:I11)</f>
        <v>15</v>
      </c>
      <c r="J26" s="8">
        <f>SUM(PnL!$E$12:J12)-SUM($E$11:J11)</f>
        <v>60.699999999999989</v>
      </c>
      <c r="K26" s="8">
        <f>SUM(PnL!$E$12:K12)-SUM($E$11:K11)</f>
        <v>82.799999999999983</v>
      </c>
      <c r="L26" s="8">
        <f>SUM(PnL!$E$12:L12)-SUM($E$11:L11)</f>
        <v>91.75</v>
      </c>
      <c r="M26" s="8">
        <f>SUM(PnL!$E$12:M12)-SUM($E$11:M11)</f>
        <v>45.699999999999989</v>
      </c>
      <c r="N26" s="8">
        <f>SUM(PnL!$E$12:N12)-SUM($E$11:N11)</f>
        <v>133.5</v>
      </c>
      <c r="O26" s="8">
        <f>SUM(PnL!$E$12:O12)-SUM($E$11:O11)</f>
        <v>76.75</v>
      </c>
      <c r="P26" s="8">
        <f>SUM(PnL!$E$12:P12)-SUM($E$11:P11)</f>
        <v>96.399999999999977</v>
      </c>
      <c r="Q26" s="8">
        <f>SUM(PnL!$E$12:Q12)-SUM($E$11:Q11)</f>
        <v>152</v>
      </c>
      <c r="R26" s="8">
        <f>SUM(PnL!$E$12:R12)-SUM($E$11:R11)</f>
        <v>219.79999999999995</v>
      </c>
      <c r="S26" s="8">
        <f>SUM(PnL!$E$12:S12)-SUM($E$11:S11)</f>
        <v>158.40000000000009</v>
      </c>
    </row>
    <row r="27" spans="1:19" ht="15" customHeight="1" x14ac:dyDescent="0.2">
      <c r="A27" s="28" t="s">
        <v>612</v>
      </c>
      <c r="B27" s="3" t="s">
        <v>34</v>
      </c>
      <c r="C27" s="31">
        <f>MIN(E27:G27)</f>
        <v>10.066006584021896</v>
      </c>
      <c r="D27" s="31">
        <f>MIN(H27:S27)</f>
        <v>1.6581396321061541</v>
      </c>
      <c r="E27" s="8">
        <f>IF(E15-((PnL!$D$10+PnL!$D$11-PnL!$D$19-PnL!$D$20)/12)&lt;=0,99,E21/(E15-((PnL!$D$10+PnL!$D$11-PnL!$D$19-PnL!$D$20)/12)))</f>
        <v>11.223292111777127</v>
      </c>
      <c r="F27" s="8">
        <f>IF(F15-((PnL!$D$10+PnL!$D$11-PnL!$D$19-PnL!$D$20)/12)&lt;=0,99,F21/(F15-((PnL!$D$10+PnL!$D$11-PnL!$D$19-PnL!$D$20)/12)))</f>
        <v>10.644649347899511</v>
      </c>
      <c r="G27" s="8">
        <f>IF(G15-((PnL!$D$10+PnL!$D$11-PnL!$D$19-PnL!$D$20)/12)&lt;=0,99,G21/(G15-((PnL!$D$10+PnL!$D$11-PnL!$D$19-PnL!$D$20)/12)))</f>
        <v>10.066006584021896</v>
      </c>
      <c r="H27" s="8">
        <f>IF(H15-((PnL!$D$10+PnL!$D$11-PnL!$D$19-PnL!$D$20)/12)&lt;=0,99,H21/(H15-((PnL!$D$10+PnL!$D$11-PnL!$D$19-PnL!$D$20)/12)))</f>
        <v>3.7904774406394819</v>
      </c>
      <c r="I27" s="8">
        <f>IF(I15-((PnL!$D$10+PnL!$D$11-PnL!$D$19-PnL!$D$20)/12)&lt;=0,99,I21/(I15-((PnL!$D$10+PnL!$D$11-PnL!$D$19-PnL!$D$20)/12)))</f>
        <v>2.9821458322910748</v>
      </c>
      <c r="J27" s="8">
        <f>IF(J15-((PnL!$D$10+PnL!$D$11-PnL!$D$19-PnL!$D$20)/12)&lt;=0,99,J21/(J15-((PnL!$D$10+PnL!$D$11-PnL!$D$19-PnL!$D$20)/12)))</f>
        <v>3.1018725391978483</v>
      </c>
      <c r="K27" s="8">
        <f>IF(K15-((PnL!$D$10+PnL!$D$11-PnL!$D$19-PnL!$D$20)/12)&lt;=0,99,K21/(K15-((PnL!$D$10+PnL!$D$11-PnL!$D$19-PnL!$D$20)/12)))</f>
        <v>2.4172152490531045</v>
      </c>
      <c r="L27" s="8">
        <f>IF(L15-((PnL!$D$10+PnL!$D$11-PnL!$D$19-PnL!$D$20)/12)&lt;=0,99,L21/(L15-((PnL!$D$10+PnL!$D$11-PnL!$D$19-PnL!$D$20)/12)))</f>
        <v>1.9384805466204471</v>
      </c>
      <c r="M27" s="8">
        <f>IF(M15-((PnL!$D$10+PnL!$D$11-PnL!$D$19-PnL!$D$20)/12)&lt;=0,99,M21/(M15-((PnL!$D$10+PnL!$D$11-PnL!$D$19-PnL!$D$20)/12)))</f>
        <v>2.0953720748604048</v>
      </c>
      <c r="N27" s="8">
        <f>IF(N15-((PnL!$D$10+PnL!$D$11-PnL!$D$19-PnL!$D$20)/12)&lt;=0,99,N21/(N15-((PnL!$D$10+PnL!$D$11-PnL!$D$19-PnL!$D$20)/12)))</f>
        <v>1.6581396321061541</v>
      </c>
      <c r="O27" s="8">
        <f>IF(O15-((PnL!$D$10+PnL!$D$11-PnL!$D$19-PnL!$D$20)/12)&lt;=0,99,O21/(O15-((PnL!$D$10+PnL!$D$11-PnL!$D$19-PnL!$D$20)/12)))</f>
        <v>2.0191038443199316</v>
      </c>
      <c r="P27" s="8">
        <f>IF(P15-((PnL!$D$10+PnL!$D$11-PnL!$D$19-PnL!$D$20)/12)&lt;=0,99,P21/(P15-((PnL!$D$10+PnL!$D$11-PnL!$D$19-PnL!$D$20)/12)))</f>
        <v>2.5225614716132356</v>
      </c>
      <c r="Q27" s="8">
        <f>IF(Q15-((PnL!$D$10+PnL!$D$11-PnL!$D$19-PnL!$D$20)/12)&lt;=0,99,Q21/(Q15-((PnL!$D$10+PnL!$D$11-PnL!$D$19-PnL!$D$20)/12)))</f>
        <v>2.6408761881071054</v>
      </c>
      <c r="R27" s="8">
        <f>IF(R15-((PnL!$D$10+PnL!$D$11-PnL!$D$19-PnL!$D$20)/12)&lt;=0,99,R21/(R15-((PnL!$D$10+PnL!$D$11-PnL!$D$19-PnL!$D$20)/12)))</f>
        <v>3.5278196024520945</v>
      </c>
      <c r="S27" s="8">
        <f>IF(S15-((PnL!$D$10+PnL!$D$11-PnL!$D$19-PnL!$D$20)/12)&lt;=0,99,S21/(S15-((PnL!$D$10+PnL!$D$11-PnL!$D$19-PnL!$D$20)/12)))</f>
        <v>5.3986201591258363</v>
      </c>
    </row>
    <row r="28" spans="1:19" ht="15" customHeight="1" x14ac:dyDescent="0.2">
      <c r="A28" s="2"/>
      <c r="B28" s="2"/>
      <c r="C28" s="2"/>
      <c r="D28" s="2"/>
      <c r="E28" s="2"/>
      <c r="F28" s="2"/>
      <c r="G28" s="2"/>
      <c r="H28" s="2"/>
      <c r="I28" s="2"/>
      <c r="J28" s="2"/>
      <c r="K28" s="2"/>
      <c r="L28" s="2"/>
      <c r="M28" s="2"/>
      <c r="N28" s="2"/>
      <c r="O28" s="2"/>
      <c r="P28" s="2"/>
      <c r="Q28" s="2"/>
      <c r="R28" s="2"/>
      <c r="S28" s="2"/>
    </row>
    <row r="29" spans="1:19" ht="15" customHeight="1" x14ac:dyDescent="0.2">
      <c r="A29" s="3" t="s">
        <v>613</v>
      </c>
      <c r="B29" s="2"/>
      <c r="C29" s="2"/>
      <c r="D29" s="2"/>
      <c r="E29" s="2"/>
      <c r="F29" s="2"/>
      <c r="G29" s="2"/>
      <c r="H29" s="2"/>
      <c r="I29" s="2"/>
      <c r="J29" s="2"/>
      <c r="K29" s="2"/>
      <c r="L29" s="2"/>
      <c r="M29" s="2"/>
      <c r="N29" s="2"/>
      <c r="O29" s="2"/>
      <c r="P29" s="2"/>
      <c r="Q29" s="2"/>
      <c r="R29" s="2"/>
      <c r="S29" s="2"/>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61"/>
  <sheetViews>
    <sheetView zoomScaleNormal="100" workbookViewId="0">
      <pane ySplit="4" topLeftCell="A5" activePane="bottomLeft" state="frozen"/>
      <selection pane="bottomLeft"/>
    </sheetView>
  </sheetViews>
  <sheetFormatPr baseColWidth="10" defaultColWidth="8.6640625" defaultRowHeight="15" x14ac:dyDescent="0.2"/>
  <cols>
    <col min="1" max="1" width="5" customWidth="1"/>
    <col min="2" max="2" width="18" customWidth="1"/>
    <col min="3" max="3" width="60" customWidth="1"/>
    <col min="4" max="4" width="14" customWidth="1"/>
    <col min="5" max="5" width="16" customWidth="1"/>
    <col min="6" max="6" width="60" customWidth="1"/>
    <col min="7" max="7" width="18" customWidth="1"/>
    <col min="8" max="8" width="16" customWidth="1"/>
    <col min="9" max="9" width="10" customWidth="1"/>
  </cols>
  <sheetData>
    <row r="1" spans="1:9" ht="17.25" customHeight="1" x14ac:dyDescent="0.2">
      <c r="A1" s="1" t="s">
        <v>614</v>
      </c>
      <c r="B1" s="2"/>
      <c r="C1" s="2"/>
      <c r="D1" s="2"/>
      <c r="E1" s="2"/>
      <c r="F1" s="2"/>
      <c r="G1" s="2"/>
      <c r="H1" s="2"/>
      <c r="I1" s="2"/>
    </row>
    <row r="2" spans="1:9" ht="31.5" customHeight="1" x14ac:dyDescent="0.2">
      <c r="A2" s="51" t="s">
        <v>615</v>
      </c>
      <c r="B2" s="52"/>
      <c r="C2" s="52"/>
      <c r="D2" s="52"/>
      <c r="E2" s="52"/>
      <c r="F2" s="52"/>
      <c r="G2" s="52"/>
      <c r="H2" s="52"/>
      <c r="I2" s="2"/>
    </row>
    <row r="3" spans="1:9" ht="15" customHeight="1" x14ac:dyDescent="0.2">
      <c r="A3" s="2"/>
      <c r="B3" s="2"/>
      <c r="C3" s="2"/>
      <c r="D3" s="2"/>
      <c r="E3" s="2"/>
      <c r="F3" s="2"/>
      <c r="G3" s="2"/>
      <c r="H3" s="2"/>
      <c r="I3" s="2"/>
    </row>
    <row r="4" spans="1:9" ht="15" customHeight="1" x14ac:dyDescent="0.2">
      <c r="A4" s="5" t="s">
        <v>423</v>
      </c>
      <c r="B4" s="5" t="s">
        <v>616</v>
      </c>
      <c r="C4" s="5" t="s">
        <v>86</v>
      </c>
      <c r="D4" s="5" t="s">
        <v>617</v>
      </c>
      <c r="E4" s="5" t="s">
        <v>6</v>
      </c>
      <c r="F4" s="5" t="s">
        <v>618</v>
      </c>
      <c r="G4" s="5" t="s">
        <v>619</v>
      </c>
      <c r="H4" s="5" t="s">
        <v>620</v>
      </c>
      <c r="I4" s="5" t="s">
        <v>88</v>
      </c>
    </row>
    <row r="5" spans="1:9" ht="15" customHeight="1" x14ac:dyDescent="0.2">
      <c r="A5" s="3" t="s">
        <v>621</v>
      </c>
      <c r="B5" s="3" t="s">
        <v>622</v>
      </c>
      <c r="C5" s="3" t="s">
        <v>623</v>
      </c>
      <c r="D5" s="3">
        <v>5</v>
      </c>
      <c r="E5" s="3" t="s">
        <v>110</v>
      </c>
      <c r="F5" s="3" t="s">
        <v>624</v>
      </c>
      <c r="G5" s="3" t="s">
        <v>625</v>
      </c>
      <c r="H5" s="3">
        <v>5.5</v>
      </c>
      <c r="I5" s="3" t="s">
        <v>626</v>
      </c>
    </row>
    <row r="6" spans="1:9" ht="15" customHeight="1" x14ac:dyDescent="0.2">
      <c r="A6" s="2">
        <v>1</v>
      </c>
      <c r="B6" s="2" t="s">
        <v>627</v>
      </c>
      <c r="C6" s="2" t="s">
        <v>137</v>
      </c>
      <c r="D6" s="37">
        <f>Inputs!C22</f>
        <v>1</v>
      </c>
      <c r="E6" s="2" t="s">
        <v>138</v>
      </c>
      <c r="F6" s="2" t="s">
        <v>628</v>
      </c>
      <c r="G6" s="2" t="s">
        <v>629</v>
      </c>
      <c r="H6" s="38"/>
      <c r="I6" s="2" t="s">
        <v>630</v>
      </c>
    </row>
    <row r="7" spans="1:9" ht="15" customHeight="1" x14ac:dyDescent="0.2">
      <c r="A7" s="2">
        <v>2</v>
      </c>
      <c r="B7" s="2" t="s">
        <v>627</v>
      </c>
      <c r="C7" s="2" t="s">
        <v>142</v>
      </c>
      <c r="D7" s="34">
        <f>Inputs!C23</f>
        <v>3.5</v>
      </c>
      <c r="E7" s="2" t="s">
        <v>143</v>
      </c>
      <c r="F7" s="2" t="s">
        <v>631</v>
      </c>
      <c r="G7" s="2" t="s">
        <v>632</v>
      </c>
      <c r="H7" s="38"/>
      <c r="I7" s="2" t="s">
        <v>630</v>
      </c>
    </row>
    <row r="8" spans="1:9" ht="15" customHeight="1" x14ac:dyDescent="0.2">
      <c r="A8" s="2">
        <v>3</v>
      </c>
      <c r="B8" s="2" t="s">
        <v>627</v>
      </c>
      <c r="C8" s="2" t="s">
        <v>146</v>
      </c>
      <c r="D8" s="39">
        <f>Inputs!C24</f>
        <v>0.8</v>
      </c>
      <c r="E8" s="2" t="s">
        <v>21</v>
      </c>
      <c r="F8" s="2" t="s">
        <v>633</v>
      </c>
      <c r="G8" s="2" t="s">
        <v>634</v>
      </c>
      <c r="H8" s="38"/>
      <c r="I8" s="2" t="s">
        <v>630</v>
      </c>
    </row>
    <row r="9" spans="1:9" ht="15" customHeight="1" x14ac:dyDescent="0.2">
      <c r="A9" s="2">
        <v>4</v>
      </c>
      <c r="B9" s="2" t="s">
        <v>635</v>
      </c>
      <c r="C9" s="2" t="s">
        <v>161</v>
      </c>
      <c r="D9" s="37">
        <f>Inputs!C30</f>
        <v>3</v>
      </c>
      <c r="E9" s="2" t="s">
        <v>162</v>
      </c>
      <c r="F9" s="2" t="s">
        <v>636</v>
      </c>
      <c r="G9" s="2" t="s">
        <v>637</v>
      </c>
      <c r="H9" s="38"/>
      <c r="I9" s="2" t="s">
        <v>630</v>
      </c>
    </row>
    <row r="10" spans="1:9" ht="15" customHeight="1" x14ac:dyDescent="0.2">
      <c r="A10" s="2">
        <v>5</v>
      </c>
      <c r="B10" s="2" t="s">
        <v>635</v>
      </c>
      <c r="C10" s="2" t="s">
        <v>165</v>
      </c>
      <c r="D10" s="37">
        <f>Inputs!C31</f>
        <v>1</v>
      </c>
      <c r="E10" s="2" t="s">
        <v>162</v>
      </c>
      <c r="F10" s="2" t="s">
        <v>638</v>
      </c>
      <c r="G10" s="2" t="s">
        <v>639</v>
      </c>
      <c r="H10" s="38"/>
      <c r="I10" s="2" t="s">
        <v>630</v>
      </c>
    </row>
    <row r="11" spans="1:9" ht="15" customHeight="1" x14ac:dyDescent="0.2">
      <c r="A11" s="2">
        <v>6</v>
      </c>
      <c r="B11" s="2" t="s">
        <v>635</v>
      </c>
      <c r="C11" s="2" t="s">
        <v>168</v>
      </c>
      <c r="D11" s="37">
        <f>Inputs!C32</f>
        <v>1</v>
      </c>
      <c r="E11" s="2" t="s">
        <v>162</v>
      </c>
      <c r="F11" s="2" t="s">
        <v>638</v>
      </c>
      <c r="G11" s="2" t="s">
        <v>640</v>
      </c>
      <c r="H11" s="38"/>
      <c r="I11" s="2" t="s">
        <v>630</v>
      </c>
    </row>
    <row r="12" spans="1:9" ht="15" customHeight="1" x14ac:dyDescent="0.2">
      <c r="A12" s="2">
        <v>7</v>
      </c>
      <c r="B12" s="2" t="s">
        <v>635</v>
      </c>
      <c r="C12" s="2" t="s">
        <v>170</v>
      </c>
      <c r="D12" s="37">
        <f>Inputs!C33</f>
        <v>1</v>
      </c>
      <c r="E12" s="2" t="s">
        <v>162</v>
      </c>
      <c r="F12" s="2" t="s">
        <v>638</v>
      </c>
      <c r="G12" s="2" t="s">
        <v>641</v>
      </c>
      <c r="H12" s="38"/>
      <c r="I12" s="2" t="s">
        <v>630</v>
      </c>
    </row>
    <row r="13" spans="1:9" ht="15" customHeight="1" x14ac:dyDescent="0.2">
      <c r="A13" s="2">
        <v>8</v>
      </c>
      <c r="B13" s="2" t="s">
        <v>635</v>
      </c>
      <c r="C13" s="2" t="s">
        <v>182</v>
      </c>
      <c r="D13" s="34">
        <f>Inputs!C37</f>
        <v>2.5</v>
      </c>
      <c r="E13" s="2" t="s">
        <v>143</v>
      </c>
      <c r="F13" s="2" t="s">
        <v>642</v>
      </c>
      <c r="G13" s="2" t="s">
        <v>643</v>
      </c>
      <c r="H13" s="38"/>
      <c r="I13" s="2" t="s">
        <v>630</v>
      </c>
    </row>
    <row r="14" spans="1:9" ht="15" customHeight="1" x14ac:dyDescent="0.2">
      <c r="A14" s="2">
        <v>9</v>
      </c>
      <c r="B14" s="2" t="s">
        <v>622</v>
      </c>
      <c r="C14" s="2" t="s">
        <v>206</v>
      </c>
      <c r="D14" s="34">
        <f>Inputs!C47</f>
        <v>1.5</v>
      </c>
      <c r="E14" s="2" t="s">
        <v>110</v>
      </c>
      <c r="F14" s="2" t="s">
        <v>644</v>
      </c>
      <c r="G14" s="2" t="s">
        <v>645</v>
      </c>
      <c r="H14" s="38"/>
      <c r="I14" s="2" t="s">
        <v>630</v>
      </c>
    </row>
    <row r="15" spans="1:9" ht="15" customHeight="1" x14ac:dyDescent="0.2">
      <c r="A15" s="2">
        <v>10</v>
      </c>
      <c r="B15" s="2" t="s">
        <v>622</v>
      </c>
      <c r="C15" s="2" t="s">
        <v>215</v>
      </c>
      <c r="D15" s="40" t="str">
        <f>Inputs!C51</f>
        <v>May-27</v>
      </c>
      <c r="E15" s="2" t="s">
        <v>217</v>
      </c>
      <c r="F15" s="2" t="s">
        <v>646</v>
      </c>
      <c r="G15" s="2" t="s">
        <v>647</v>
      </c>
      <c r="H15" s="38"/>
      <c r="I15" s="2" t="s">
        <v>630</v>
      </c>
    </row>
    <row r="16" spans="1:9" ht="15" customHeight="1" x14ac:dyDescent="0.2">
      <c r="A16" s="2">
        <v>11</v>
      </c>
      <c r="B16" s="2" t="s">
        <v>622</v>
      </c>
      <c r="C16" s="2" t="s">
        <v>227</v>
      </c>
      <c r="D16" s="40" t="str">
        <f>Inputs!C54</f>
        <v>Jan-27</v>
      </c>
      <c r="E16" s="2" t="s">
        <v>217</v>
      </c>
      <c r="F16" s="2" t="s">
        <v>648</v>
      </c>
      <c r="G16" s="2" t="s">
        <v>649</v>
      </c>
      <c r="H16" s="38"/>
      <c r="I16" s="2" t="s">
        <v>630</v>
      </c>
    </row>
    <row r="17" spans="1:9" ht="15" customHeight="1" x14ac:dyDescent="0.2">
      <c r="A17" s="2">
        <v>12</v>
      </c>
      <c r="B17" s="2" t="s">
        <v>627</v>
      </c>
      <c r="C17" s="2" t="s">
        <v>230</v>
      </c>
      <c r="D17" s="34">
        <f>Inputs!C55</f>
        <v>2</v>
      </c>
      <c r="E17" s="2" t="s">
        <v>110</v>
      </c>
      <c r="F17" s="2" t="s">
        <v>650</v>
      </c>
      <c r="G17" s="2" t="s">
        <v>651</v>
      </c>
      <c r="H17" s="38"/>
      <c r="I17" s="2" t="s">
        <v>630</v>
      </c>
    </row>
    <row r="18" spans="1:9" ht="15" customHeight="1" x14ac:dyDescent="0.2">
      <c r="A18" s="2">
        <v>13</v>
      </c>
      <c r="B18" s="2" t="s">
        <v>635</v>
      </c>
      <c r="C18" s="2" t="s">
        <v>235</v>
      </c>
      <c r="D18" s="37">
        <f>Inputs!C57</f>
        <v>4</v>
      </c>
      <c r="E18" s="2" t="s">
        <v>26</v>
      </c>
      <c r="F18" s="2" t="s">
        <v>652</v>
      </c>
      <c r="G18" s="2" t="s">
        <v>653</v>
      </c>
      <c r="H18" s="38"/>
      <c r="I18" s="2" t="s">
        <v>630</v>
      </c>
    </row>
    <row r="19" spans="1:9" ht="15" customHeight="1" x14ac:dyDescent="0.2">
      <c r="A19" s="2">
        <v>14</v>
      </c>
      <c r="B19" s="2" t="s">
        <v>635</v>
      </c>
      <c r="C19" s="2" t="s">
        <v>238</v>
      </c>
      <c r="D19" s="37">
        <f>Inputs!C58</f>
        <v>12</v>
      </c>
      <c r="E19" s="2" t="s">
        <v>239</v>
      </c>
      <c r="F19" s="2" t="s">
        <v>654</v>
      </c>
      <c r="G19" s="2" t="s">
        <v>655</v>
      </c>
      <c r="H19" s="38"/>
      <c r="I19" s="2" t="s">
        <v>630</v>
      </c>
    </row>
    <row r="20" spans="1:9" ht="15" customHeight="1" x14ac:dyDescent="0.2">
      <c r="A20" s="2">
        <v>15</v>
      </c>
      <c r="B20" s="2" t="s">
        <v>635</v>
      </c>
      <c r="C20" s="2" t="s">
        <v>242</v>
      </c>
      <c r="D20" s="34">
        <f>Inputs!C59</f>
        <v>1.33</v>
      </c>
      <c r="E20" s="2" t="s">
        <v>239</v>
      </c>
      <c r="F20" s="2" t="s">
        <v>656</v>
      </c>
      <c r="G20" s="2" t="s">
        <v>657</v>
      </c>
      <c r="H20" s="38"/>
      <c r="I20" s="2" t="s">
        <v>630</v>
      </c>
    </row>
    <row r="21" spans="1:9" ht="15" customHeight="1" x14ac:dyDescent="0.2">
      <c r="A21" s="2">
        <v>16</v>
      </c>
      <c r="B21" s="2" t="s">
        <v>627</v>
      </c>
      <c r="C21" s="2" t="s">
        <v>246</v>
      </c>
      <c r="D21" s="37">
        <f>Inputs!C61</f>
        <v>1</v>
      </c>
      <c r="E21" s="2" t="s">
        <v>138</v>
      </c>
      <c r="F21" s="2" t="s">
        <v>658</v>
      </c>
      <c r="G21" s="2" t="s">
        <v>659</v>
      </c>
      <c r="H21" s="38"/>
      <c r="I21" s="2" t="s">
        <v>630</v>
      </c>
    </row>
    <row r="22" spans="1:9" ht="15" customHeight="1" x14ac:dyDescent="0.2">
      <c r="A22" s="2">
        <v>17</v>
      </c>
      <c r="B22" s="2" t="s">
        <v>627</v>
      </c>
      <c r="C22" s="2" t="s">
        <v>249</v>
      </c>
      <c r="D22" s="34">
        <f>Inputs!C62</f>
        <v>7.4999999999999997E-2</v>
      </c>
      <c r="E22" s="2" t="s">
        <v>250</v>
      </c>
      <c r="F22" s="2" t="s">
        <v>660</v>
      </c>
      <c r="G22" s="2" t="s">
        <v>661</v>
      </c>
      <c r="H22" s="38"/>
      <c r="I22" s="2" t="s">
        <v>630</v>
      </c>
    </row>
    <row r="23" spans="1:9" ht="15" customHeight="1" x14ac:dyDescent="0.2">
      <c r="A23" s="2">
        <v>18</v>
      </c>
      <c r="B23" s="2" t="s">
        <v>627</v>
      </c>
      <c r="C23" s="2" t="s">
        <v>253</v>
      </c>
      <c r="D23" s="37">
        <f>Inputs!C63</f>
        <v>40</v>
      </c>
      <c r="E23" s="2" t="s">
        <v>43</v>
      </c>
      <c r="F23" s="2" t="s">
        <v>662</v>
      </c>
      <c r="G23" s="2" t="s">
        <v>663</v>
      </c>
      <c r="H23" s="38"/>
      <c r="I23" s="2" t="s">
        <v>630</v>
      </c>
    </row>
    <row r="24" spans="1:9" ht="15" customHeight="1" x14ac:dyDescent="0.2">
      <c r="A24" s="2">
        <v>19</v>
      </c>
      <c r="B24" s="2" t="s">
        <v>627</v>
      </c>
      <c r="C24" s="2" t="s">
        <v>255</v>
      </c>
      <c r="D24" s="37">
        <f>Inputs!C64</f>
        <v>30</v>
      </c>
      <c r="E24" s="2" t="s">
        <v>43</v>
      </c>
      <c r="F24" s="2" t="s">
        <v>662</v>
      </c>
      <c r="G24" s="2" t="s">
        <v>664</v>
      </c>
      <c r="H24" s="38"/>
      <c r="I24" s="2" t="s">
        <v>630</v>
      </c>
    </row>
    <row r="25" spans="1:9" ht="15" customHeight="1" x14ac:dyDescent="0.2">
      <c r="A25" s="2">
        <v>20</v>
      </c>
      <c r="B25" s="2" t="s">
        <v>627</v>
      </c>
      <c r="C25" s="2" t="s">
        <v>257</v>
      </c>
      <c r="D25" s="37">
        <f>Inputs!C65</f>
        <v>40</v>
      </c>
      <c r="E25" s="2" t="s">
        <v>43</v>
      </c>
      <c r="F25" s="2" t="s">
        <v>662</v>
      </c>
      <c r="G25" s="2" t="s">
        <v>665</v>
      </c>
      <c r="H25" s="38"/>
      <c r="I25" s="2" t="s">
        <v>630</v>
      </c>
    </row>
    <row r="26" spans="1:9" ht="15" customHeight="1" x14ac:dyDescent="0.2">
      <c r="A26" s="2">
        <v>21</v>
      </c>
      <c r="B26" s="2" t="s">
        <v>627</v>
      </c>
      <c r="C26" s="2" t="s">
        <v>259</v>
      </c>
      <c r="D26" s="37">
        <f>Inputs!C66</f>
        <v>50</v>
      </c>
      <c r="E26" s="2" t="s">
        <v>43</v>
      </c>
      <c r="F26" s="2" t="s">
        <v>662</v>
      </c>
      <c r="G26" s="2" t="s">
        <v>666</v>
      </c>
      <c r="H26" s="38"/>
      <c r="I26" s="2" t="s">
        <v>630</v>
      </c>
    </row>
    <row r="27" spans="1:9" ht="15" customHeight="1" x14ac:dyDescent="0.2">
      <c r="A27" s="2">
        <v>22</v>
      </c>
      <c r="B27" s="2" t="s">
        <v>627</v>
      </c>
      <c r="C27" s="2" t="s">
        <v>261</v>
      </c>
      <c r="D27" s="34">
        <f>Inputs!C67</f>
        <v>0.05</v>
      </c>
      <c r="E27" s="2" t="s">
        <v>262</v>
      </c>
      <c r="F27" s="2" t="s">
        <v>667</v>
      </c>
      <c r="G27" s="2" t="s">
        <v>668</v>
      </c>
      <c r="H27" s="38"/>
      <c r="I27" s="2" t="s">
        <v>630</v>
      </c>
    </row>
    <row r="28" spans="1:9" ht="15" customHeight="1" x14ac:dyDescent="0.2">
      <c r="A28" s="2">
        <v>23</v>
      </c>
      <c r="B28" s="2" t="s">
        <v>627</v>
      </c>
      <c r="C28" s="2" t="s">
        <v>265</v>
      </c>
      <c r="D28" s="37">
        <f>Inputs!C68</f>
        <v>10</v>
      </c>
      <c r="E28" s="2" t="s">
        <v>266</v>
      </c>
      <c r="F28" s="2" t="s">
        <v>669</v>
      </c>
      <c r="G28" s="2" t="s">
        <v>670</v>
      </c>
      <c r="H28" s="38"/>
      <c r="I28" s="2" t="s">
        <v>630</v>
      </c>
    </row>
    <row r="29" spans="1:9" ht="15" customHeight="1" x14ac:dyDescent="0.2">
      <c r="A29" s="2">
        <v>24</v>
      </c>
      <c r="B29" s="2" t="s">
        <v>627</v>
      </c>
      <c r="C29" s="2" t="s">
        <v>269</v>
      </c>
      <c r="D29" s="37">
        <f>Inputs!C70</f>
        <v>4</v>
      </c>
      <c r="E29" s="2" t="s">
        <v>270</v>
      </c>
      <c r="F29" s="2" t="s">
        <v>671</v>
      </c>
      <c r="G29" s="2" t="s">
        <v>672</v>
      </c>
      <c r="H29" s="38"/>
      <c r="I29" s="2" t="s">
        <v>630</v>
      </c>
    </row>
    <row r="30" spans="1:9" ht="15" customHeight="1" x14ac:dyDescent="0.2">
      <c r="A30" s="2">
        <v>25</v>
      </c>
      <c r="B30" s="2" t="s">
        <v>673</v>
      </c>
      <c r="C30" s="2" t="s">
        <v>277</v>
      </c>
      <c r="D30" s="39">
        <f>Inputs!C73</f>
        <v>0.6</v>
      </c>
      <c r="E30" s="2" t="s">
        <v>21</v>
      </c>
      <c r="F30" s="2" t="s">
        <v>674</v>
      </c>
      <c r="G30" s="2" t="s">
        <v>675</v>
      </c>
      <c r="H30" s="38"/>
      <c r="I30" s="2" t="s">
        <v>630</v>
      </c>
    </row>
    <row r="31" spans="1:9" ht="15" customHeight="1" x14ac:dyDescent="0.2">
      <c r="A31" s="2">
        <v>26</v>
      </c>
      <c r="B31" s="2" t="s">
        <v>673</v>
      </c>
      <c r="C31" s="2" t="s">
        <v>280</v>
      </c>
      <c r="D31" s="39">
        <f>Inputs!C74</f>
        <v>0.3</v>
      </c>
      <c r="E31" s="2" t="s">
        <v>21</v>
      </c>
      <c r="F31" s="2" t="s">
        <v>674</v>
      </c>
      <c r="G31" s="2" t="s">
        <v>676</v>
      </c>
      <c r="H31" s="38"/>
      <c r="I31" s="2" t="s">
        <v>630</v>
      </c>
    </row>
    <row r="32" spans="1:9" ht="15" customHeight="1" x14ac:dyDescent="0.2">
      <c r="A32" s="2">
        <v>27</v>
      </c>
      <c r="B32" s="2" t="s">
        <v>673</v>
      </c>
      <c r="C32" s="2" t="s">
        <v>283</v>
      </c>
      <c r="D32" s="39">
        <f>Inputs!C75</f>
        <v>0.1</v>
      </c>
      <c r="E32" s="2" t="s">
        <v>21</v>
      </c>
      <c r="F32" s="2" t="s">
        <v>674</v>
      </c>
      <c r="G32" s="2" t="s">
        <v>677</v>
      </c>
      <c r="H32" s="38"/>
      <c r="I32" s="2" t="s">
        <v>630</v>
      </c>
    </row>
    <row r="33" spans="1:9" ht="15" customHeight="1" x14ac:dyDescent="0.2">
      <c r="A33" s="2">
        <v>28</v>
      </c>
      <c r="B33" s="2" t="s">
        <v>673</v>
      </c>
      <c r="C33" s="2" t="s">
        <v>285</v>
      </c>
      <c r="D33" s="39">
        <f>Inputs!C76</f>
        <v>0.8</v>
      </c>
      <c r="E33" s="2" t="s">
        <v>21</v>
      </c>
      <c r="F33" s="2" t="s">
        <v>678</v>
      </c>
      <c r="G33" s="2" t="s">
        <v>679</v>
      </c>
      <c r="H33" s="38"/>
      <c r="I33" s="2" t="s">
        <v>630</v>
      </c>
    </row>
    <row r="34" spans="1:9" ht="15" customHeight="1" x14ac:dyDescent="0.2">
      <c r="A34" s="2">
        <v>29</v>
      </c>
      <c r="B34" s="2" t="s">
        <v>673</v>
      </c>
      <c r="C34" s="2" t="s">
        <v>288</v>
      </c>
      <c r="D34" s="39">
        <f>Inputs!C77</f>
        <v>0.2</v>
      </c>
      <c r="E34" s="2" t="s">
        <v>21</v>
      </c>
      <c r="F34" s="2" t="s">
        <v>680</v>
      </c>
      <c r="G34" s="2" t="s">
        <v>681</v>
      </c>
      <c r="H34" s="38"/>
      <c r="I34" s="2" t="s">
        <v>630</v>
      </c>
    </row>
    <row r="35" spans="1:9" ht="15" customHeight="1" x14ac:dyDescent="0.2">
      <c r="A35" s="2">
        <v>30</v>
      </c>
      <c r="B35" s="2" t="s">
        <v>673</v>
      </c>
      <c r="C35" s="2" t="s">
        <v>291</v>
      </c>
      <c r="D35" s="39">
        <f>Inputs!C78</f>
        <v>0.5</v>
      </c>
      <c r="E35" s="2" t="s">
        <v>21</v>
      </c>
      <c r="F35" s="2" t="s">
        <v>680</v>
      </c>
      <c r="G35" s="2" t="s">
        <v>682</v>
      </c>
      <c r="H35" s="38"/>
      <c r="I35" s="2" t="s">
        <v>630</v>
      </c>
    </row>
    <row r="36" spans="1:9" ht="15" customHeight="1" x14ac:dyDescent="0.2">
      <c r="A36" s="2">
        <v>31</v>
      </c>
      <c r="B36" s="2" t="s">
        <v>673</v>
      </c>
      <c r="C36" s="2" t="s">
        <v>293</v>
      </c>
      <c r="D36" s="39">
        <f>Inputs!C79</f>
        <v>0.3</v>
      </c>
      <c r="E36" s="2" t="s">
        <v>21</v>
      </c>
      <c r="F36" s="2" t="s">
        <v>680</v>
      </c>
      <c r="G36" s="2" t="s">
        <v>683</v>
      </c>
      <c r="H36" s="38"/>
      <c r="I36" s="2" t="s">
        <v>630</v>
      </c>
    </row>
    <row r="37" spans="1:9" ht="15" customHeight="1" x14ac:dyDescent="0.2">
      <c r="A37" s="2">
        <v>32</v>
      </c>
      <c r="B37" s="2" t="s">
        <v>673</v>
      </c>
      <c r="C37" s="2" t="s">
        <v>295</v>
      </c>
      <c r="D37" s="39">
        <f>Inputs!C80</f>
        <v>5.0000000000000001E-3</v>
      </c>
      <c r="E37" s="2" t="s">
        <v>296</v>
      </c>
      <c r="F37" s="2" t="s">
        <v>684</v>
      </c>
      <c r="G37" s="2" t="s">
        <v>685</v>
      </c>
      <c r="H37" s="38"/>
      <c r="I37" s="2" t="s">
        <v>630</v>
      </c>
    </row>
    <row r="38" spans="1:9" ht="15" customHeight="1" x14ac:dyDescent="0.2">
      <c r="A38" s="2">
        <v>33</v>
      </c>
      <c r="B38" s="2" t="s">
        <v>686</v>
      </c>
      <c r="C38" s="2" t="s">
        <v>300</v>
      </c>
      <c r="D38" s="39">
        <f>Inputs!C82</f>
        <v>0.15</v>
      </c>
      <c r="E38" s="2" t="s">
        <v>21</v>
      </c>
      <c r="F38" s="2" t="s">
        <v>687</v>
      </c>
      <c r="G38" s="2" t="s">
        <v>688</v>
      </c>
      <c r="H38" s="38"/>
      <c r="I38" s="2" t="s">
        <v>630</v>
      </c>
    </row>
    <row r="39" spans="1:9" ht="15" customHeight="1" x14ac:dyDescent="0.2">
      <c r="A39" s="2">
        <v>34</v>
      </c>
      <c r="B39" s="2" t="s">
        <v>686</v>
      </c>
      <c r="C39" s="2" t="s">
        <v>303</v>
      </c>
      <c r="D39" s="39">
        <f>Inputs!C83</f>
        <v>0.85</v>
      </c>
      <c r="E39" s="2" t="s">
        <v>21</v>
      </c>
      <c r="F39" s="2" t="s">
        <v>689</v>
      </c>
      <c r="G39" s="2" t="s">
        <v>690</v>
      </c>
      <c r="H39" s="38"/>
      <c r="I39" s="2" t="s">
        <v>630</v>
      </c>
    </row>
    <row r="40" spans="1:9" ht="15" customHeight="1" x14ac:dyDescent="0.2">
      <c r="A40" s="2">
        <v>35</v>
      </c>
      <c r="B40" s="2" t="s">
        <v>691</v>
      </c>
      <c r="C40" s="2" t="s">
        <v>310</v>
      </c>
      <c r="D40" s="40" t="str">
        <f>Inputs!C86</f>
        <v>Jan-27</v>
      </c>
      <c r="E40" s="2" t="s">
        <v>217</v>
      </c>
      <c r="F40" s="2" t="s">
        <v>692</v>
      </c>
      <c r="G40" s="2" t="s">
        <v>693</v>
      </c>
      <c r="H40" s="38"/>
      <c r="I40" s="2" t="s">
        <v>630</v>
      </c>
    </row>
    <row r="41" spans="1:9" ht="15" customHeight="1" x14ac:dyDescent="0.2">
      <c r="A41" s="2">
        <v>36</v>
      </c>
      <c r="B41" s="2" t="s">
        <v>691</v>
      </c>
      <c r="C41" s="2" t="s">
        <v>313</v>
      </c>
      <c r="D41" s="34">
        <f>Inputs!C87</f>
        <v>94</v>
      </c>
      <c r="E41" s="2" t="s">
        <v>314</v>
      </c>
      <c r="F41" s="2" t="s">
        <v>694</v>
      </c>
      <c r="G41" s="2" t="s">
        <v>695</v>
      </c>
      <c r="H41" s="38"/>
      <c r="I41" s="2" t="s">
        <v>630</v>
      </c>
    </row>
    <row r="42" spans="1:9" ht="15" customHeight="1" x14ac:dyDescent="0.2">
      <c r="A42" s="2">
        <v>37</v>
      </c>
      <c r="B42" s="2" t="s">
        <v>691</v>
      </c>
      <c r="C42" s="2" t="s">
        <v>317</v>
      </c>
      <c r="D42" s="34">
        <f>Inputs!C88</f>
        <v>24</v>
      </c>
      <c r="E42" s="2" t="s">
        <v>102</v>
      </c>
      <c r="F42" s="2" t="s">
        <v>696</v>
      </c>
      <c r="G42" s="2" t="s">
        <v>697</v>
      </c>
      <c r="H42" s="38"/>
      <c r="I42" s="2" t="s">
        <v>630</v>
      </c>
    </row>
    <row r="43" spans="1:9" ht="15" customHeight="1" x14ac:dyDescent="0.2">
      <c r="A43" s="2">
        <v>38</v>
      </c>
      <c r="B43" s="2" t="s">
        <v>691</v>
      </c>
      <c r="C43" s="2" t="s">
        <v>320</v>
      </c>
      <c r="D43" s="34">
        <f>Inputs!C89</f>
        <v>45</v>
      </c>
      <c r="E43" s="2" t="s">
        <v>321</v>
      </c>
      <c r="F43" s="2" t="s">
        <v>698</v>
      </c>
      <c r="G43" s="2" t="s">
        <v>699</v>
      </c>
      <c r="H43" s="38"/>
      <c r="I43" s="2" t="s">
        <v>630</v>
      </c>
    </row>
    <row r="44" spans="1:9" ht="15" customHeight="1" x14ac:dyDescent="0.2">
      <c r="A44" s="2">
        <v>39</v>
      </c>
      <c r="B44" s="2" t="s">
        <v>691</v>
      </c>
      <c r="C44" s="2" t="s">
        <v>324</v>
      </c>
      <c r="D44" s="34">
        <f>Inputs!C90</f>
        <v>55</v>
      </c>
      <c r="E44" s="2" t="s">
        <v>321</v>
      </c>
      <c r="F44" s="2" t="s">
        <v>700</v>
      </c>
      <c r="G44" s="2" t="s">
        <v>701</v>
      </c>
      <c r="H44" s="38"/>
      <c r="I44" s="2" t="s">
        <v>630</v>
      </c>
    </row>
    <row r="45" spans="1:9" ht="15" customHeight="1" x14ac:dyDescent="0.2">
      <c r="A45" s="2">
        <v>40</v>
      </c>
      <c r="B45" s="2" t="s">
        <v>691</v>
      </c>
      <c r="C45" s="2" t="s">
        <v>327</v>
      </c>
      <c r="D45" s="39">
        <f>Inputs!C91</f>
        <v>0.25</v>
      </c>
      <c r="E45" s="2" t="s">
        <v>21</v>
      </c>
      <c r="F45" s="2" t="s">
        <v>702</v>
      </c>
      <c r="G45" s="2" t="s">
        <v>703</v>
      </c>
      <c r="H45" s="38"/>
      <c r="I45" s="2" t="s">
        <v>630</v>
      </c>
    </row>
    <row r="46" spans="1:9" ht="15" customHeight="1" x14ac:dyDescent="0.2">
      <c r="A46" s="2">
        <v>41</v>
      </c>
      <c r="B46" s="2" t="s">
        <v>691</v>
      </c>
      <c r="C46" s="2" t="s">
        <v>330</v>
      </c>
      <c r="D46" s="34">
        <f>Inputs!C92</f>
        <v>0.15</v>
      </c>
      <c r="E46" s="2" t="s">
        <v>143</v>
      </c>
      <c r="F46" s="2" t="s">
        <v>704</v>
      </c>
      <c r="G46" s="2" t="s">
        <v>705</v>
      </c>
      <c r="H46" s="38"/>
      <c r="I46" s="2" t="s">
        <v>630</v>
      </c>
    </row>
    <row r="47" spans="1:9" ht="15" customHeight="1" x14ac:dyDescent="0.2">
      <c r="A47" s="2">
        <v>42</v>
      </c>
      <c r="B47" s="2" t="s">
        <v>691</v>
      </c>
      <c r="C47" s="2" t="s">
        <v>338</v>
      </c>
      <c r="D47" s="37">
        <f>Inputs!C95</f>
        <v>1</v>
      </c>
      <c r="E47" s="2" t="s">
        <v>138</v>
      </c>
      <c r="F47" s="2" t="s">
        <v>706</v>
      </c>
      <c r="G47" s="2" t="s">
        <v>707</v>
      </c>
      <c r="H47" s="38"/>
      <c r="I47" s="2" t="s">
        <v>630</v>
      </c>
    </row>
    <row r="48" spans="1:9" ht="15" customHeight="1" x14ac:dyDescent="0.2">
      <c r="A48" s="2">
        <v>43</v>
      </c>
      <c r="B48" s="2" t="s">
        <v>691</v>
      </c>
      <c r="C48" s="2" t="s">
        <v>345</v>
      </c>
      <c r="D48" s="39">
        <f>Inputs!C97</f>
        <v>0.3</v>
      </c>
      <c r="E48" s="2" t="s">
        <v>21</v>
      </c>
      <c r="F48" s="2" t="s">
        <v>708</v>
      </c>
      <c r="G48" s="2" t="s">
        <v>709</v>
      </c>
      <c r="H48" s="38"/>
      <c r="I48" s="2" t="s">
        <v>630</v>
      </c>
    </row>
    <row r="49" spans="1:9" ht="15" customHeight="1" x14ac:dyDescent="0.2">
      <c r="A49" s="2">
        <v>44</v>
      </c>
      <c r="B49" s="2" t="s">
        <v>691</v>
      </c>
      <c r="C49" s="2" t="s">
        <v>348</v>
      </c>
      <c r="D49" s="39">
        <f>Inputs!C98</f>
        <v>1</v>
      </c>
      <c r="E49" s="2" t="s">
        <v>21</v>
      </c>
      <c r="F49" s="2" t="s">
        <v>710</v>
      </c>
      <c r="G49" s="2" t="s">
        <v>711</v>
      </c>
      <c r="H49" s="38"/>
      <c r="I49" s="2" t="s">
        <v>630</v>
      </c>
    </row>
    <row r="50" spans="1:9" ht="15" customHeight="1" x14ac:dyDescent="0.2">
      <c r="A50" s="2">
        <v>45</v>
      </c>
      <c r="B50" s="2" t="s">
        <v>673</v>
      </c>
      <c r="C50" s="2" t="s">
        <v>712</v>
      </c>
      <c r="D50" s="2" t="s">
        <v>713</v>
      </c>
      <c r="E50" s="2"/>
      <c r="F50" s="2" t="s">
        <v>714</v>
      </c>
      <c r="G50" s="2" t="s">
        <v>715</v>
      </c>
      <c r="H50" s="38"/>
      <c r="I50" s="2" t="s">
        <v>630</v>
      </c>
    </row>
    <row r="51" spans="1:9" ht="15" customHeight="1" x14ac:dyDescent="0.2">
      <c r="A51" s="2">
        <v>46</v>
      </c>
      <c r="B51" s="2" t="s">
        <v>716</v>
      </c>
      <c r="C51" s="2" t="s">
        <v>717</v>
      </c>
      <c r="D51" s="2" t="s">
        <v>718</v>
      </c>
      <c r="E51" s="2"/>
      <c r="F51" s="2" t="s">
        <v>719</v>
      </c>
      <c r="G51" s="2" t="s">
        <v>720</v>
      </c>
      <c r="H51" s="38"/>
      <c r="I51" s="2" t="s">
        <v>630</v>
      </c>
    </row>
    <row r="52" spans="1:9" ht="15" customHeight="1" x14ac:dyDescent="0.2">
      <c r="A52" s="2">
        <v>47</v>
      </c>
      <c r="B52" s="2" t="s">
        <v>716</v>
      </c>
      <c r="C52" s="2" t="s">
        <v>721</v>
      </c>
      <c r="D52" s="2" t="s">
        <v>722</v>
      </c>
      <c r="E52" s="2"/>
      <c r="F52" s="2" t="s">
        <v>723</v>
      </c>
      <c r="G52" s="2" t="s">
        <v>724</v>
      </c>
      <c r="H52" s="38"/>
      <c r="I52" s="2" t="s">
        <v>630</v>
      </c>
    </row>
    <row r="53" spans="1:9" ht="15" customHeight="1" x14ac:dyDescent="0.2">
      <c r="A53" s="2">
        <v>48</v>
      </c>
      <c r="B53" s="2" t="s">
        <v>691</v>
      </c>
      <c r="C53" s="2" t="s">
        <v>725</v>
      </c>
      <c r="D53" s="2" t="s">
        <v>726</v>
      </c>
      <c r="E53" s="2"/>
      <c r="F53" s="2" t="s">
        <v>727</v>
      </c>
      <c r="G53" s="2" t="s">
        <v>728</v>
      </c>
      <c r="H53" s="38"/>
      <c r="I53" s="2" t="s">
        <v>630</v>
      </c>
    </row>
    <row r="54" spans="1:9" ht="15" customHeight="1" x14ac:dyDescent="0.2">
      <c r="A54" s="2">
        <v>49</v>
      </c>
      <c r="B54" s="2" t="s">
        <v>691</v>
      </c>
      <c r="C54" s="2" t="s">
        <v>729</v>
      </c>
      <c r="D54" s="2" t="s">
        <v>730</v>
      </c>
      <c r="E54" s="2"/>
      <c r="F54" s="2" t="s">
        <v>731</v>
      </c>
      <c r="G54" s="2" t="s">
        <v>732</v>
      </c>
      <c r="H54" s="38"/>
      <c r="I54" s="2" t="s">
        <v>630</v>
      </c>
    </row>
    <row r="55" spans="1:9" ht="15" customHeight="1" x14ac:dyDescent="0.2">
      <c r="A55" s="2">
        <v>50</v>
      </c>
      <c r="B55" s="2" t="s">
        <v>716</v>
      </c>
      <c r="C55" s="2" t="s">
        <v>733</v>
      </c>
      <c r="D55" s="2" t="s">
        <v>734</v>
      </c>
      <c r="E55" s="2"/>
      <c r="F55" s="2" t="s">
        <v>735</v>
      </c>
      <c r="G55" s="2" t="s">
        <v>720</v>
      </c>
      <c r="H55" s="38"/>
      <c r="I55" s="2" t="s">
        <v>630</v>
      </c>
    </row>
    <row r="56" spans="1:9" x14ac:dyDescent="0.2">
      <c r="A56" s="2">
        <v>51</v>
      </c>
      <c r="B56" s="2" t="s">
        <v>736</v>
      </c>
      <c r="C56" s="2" t="s">
        <v>355</v>
      </c>
      <c r="D56" s="2" t="str">
        <f>Inputs!C102</f>
        <v>Mar-27</v>
      </c>
      <c r="E56" s="2"/>
      <c r="F56" s="2" t="s">
        <v>737</v>
      </c>
      <c r="G56" s="2" t="s">
        <v>738</v>
      </c>
      <c r="H56" s="38"/>
      <c r="I56" s="2" t="s">
        <v>630</v>
      </c>
    </row>
    <row r="57" spans="1:9" x14ac:dyDescent="0.2">
      <c r="A57" s="2">
        <v>52</v>
      </c>
      <c r="B57" s="2" t="s">
        <v>739</v>
      </c>
      <c r="C57" s="2" t="s">
        <v>372</v>
      </c>
      <c r="D57" s="2">
        <f>Inputs!C108</f>
        <v>0.18</v>
      </c>
      <c r="E57" s="2"/>
      <c r="F57" s="2" t="s">
        <v>740</v>
      </c>
      <c r="G57" s="2" t="s">
        <v>741</v>
      </c>
      <c r="H57" s="38"/>
      <c r="I57" s="2" t="s">
        <v>630</v>
      </c>
    </row>
    <row r="58" spans="1:9" x14ac:dyDescent="0.2">
      <c r="A58" s="2">
        <v>53</v>
      </c>
      <c r="B58" s="2" t="s">
        <v>739</v>
      </c>
      <c r="C58" s="2" t="s">
        <v>742</v>
      </c>
      <c r="D58" s="2">
        <f>Inputs!C112</f>
        <v>9</v>
      </c>
      <c r="E58" s="2"/>
      <c r="F58" s="2" t="s">
        <v>743</v>
      </c>
      <c r="G58" s="2" t="s">
        <v>744</v>
      </c>
      <c r="H58" s="38"/>
      <c r="I58" s="2" t="s">
        <v>630</v>
      </c>
    </row>
    <row r="59" spans="1:9" x14ac:dyDescent="0.2">
      <c r="A59" s="2">
        <v>54</v>
      </c>
      <c r="B59" s="2" t="s">
        <v>739</v>
      </c>
      <c r="C59" s="2" t="s">
        <v>745</v>
      </c>
      <c r="D59" s="2" t="str">
        <f>Inputs!C114</f>
        <v>Apr-27</v>
      </c>
      <c r="E59" s="2"/>
      <c r="F59" s="2" t="s">
        <v>746</v>
      </c>
      <c r="G59" s="2" t="s">
        <v>747</v>
      </c>
      <c r="H59" s="38"/>
      <c r="I59" s="2" t="s">
        <v>630</v>
      </c>
    </row>
    <row r="60" spans="1:9" x14ac:dyDescent="0.2">
      <c r="A60" s="2">
        <v>55</v>
      </c>
      <c r="B60" s="2" t="s">
        <v>739</v>
      </c>
      <c r="C60" s="2" t="s">
        <v>748</v>
      </c>
      <c r="D60" s="2">
        <f>Inputs!C116</f>
        <v>8</v>
      </c>
      <c r="E60" s="2"/>
      <c r="F60" s="2" t="s">
        <v>749</v>
      </c>
      <c r="G60" s="2" t="s">
        <v>750</v>
      </c>
      <c r="H60" s="38"/>
      <c r="I60" s="2" t="s">
        <v>630</v>
      </c>
    </row>
    <row r="61" spans="1:9" x14ac:dyDescent="0.2">
      <c r="A61" s="2">
        <v>56</v>
      </c>
      <c r="B61" s="2" t="s">
        <v>739</v>
      </c>
      <c r="C61" s="2" t="s">
        <v>751</v>
      </c>
      <c r="D61" s="2">
        <f>Inputs!C119</f>
        <v>1</v>
      </c>
      <c r="E61" s="2"/>
      <c r="F61" s="2" t="s">
        <v>752</v>
      </c>
      <c r="G61" s="2" t="s">
        <v>753</v>
      </c>
      <c r="H61" s="38"/>
      <c r="I61" s="2" t="s">
        <v>630</v>
      </c>
    </row>
  </sheetData>
  <mergeCells count="1">
    <mergeCell ref="A2:H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Outlook</vt:lpstr>
      <vt:lpstr>Inputs</vt:lpstr>
      <vt:lpstr>Volume</vt:lpstr>
      <vt:lpstr>Unit_Economics</vt:lpstr>
      <vt:lpstr>Rate_Card</vt:lpstr>
      <vt:lpstr>Capacity_OPEX</vt:lpstr>
      <vt:lpstr>PnL</vt:lpstr>
      <vt:lpstr>CashFlow</vt:lpstr>
      <vt:lpstr>To_Fill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Galih Muji Agung</cp:lastModifiedBy>
  <cp:revision>0</cp:revision>
  <dcterms:created xsi:type="dcterms:W3CDTF">2026-10-04T15:16:12Z</dcterms:created>
  <dcterms:modified xsi:type="dcterms:W3CDTF">2026-10-05T01:48:14Z</dcterms:modified>
  <dc:language>en-US</dc:language>
</cp:coreProperties>
</file>