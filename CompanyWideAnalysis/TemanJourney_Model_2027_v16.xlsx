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Outlook" sheetId="2" state="visible" r:id="rId4"/>
    <sheet name="Roadmap" sheetId="3" state="visible" r:id="rId5"/>
    <sheet name="Segments" sheetId="4" state="visible" r:id="rId6"/>
    <sheet name="B2C" sheetId="5" state="visible" r:id="rId7"/>
    <sheet name="B2C_Pricing" sheetId="6" state="visible" r:id="rId8"/>
    <sheet name="Channels" sheetId="7" state="visible" r:id="rId9"/>
    <sheet name="Inputs" sheetId="8" state="visible" r:id="rId10"/>
    <sheet name="Pay_Plan" sheetId="9" state="visible" r:id="rId11"/>
    <sheet name="Volume" sheetId="10" state="visible" r:id="rId12"/>
    <sheet name="Unit_Economics" sheetId="11" state="visible" r:id="rId13"/>
    <sheet name="Rate_Card" sheetId="12" state="visible" r:id="rId14"/>
    <sheet name="Pricing_Scheme" sheetId="13" state="visible" r:id="rId15"/>
    <sheet name="Capacity_OPEX" sheetId="14" state="visible" r:id="rId16"/>
    <sheet name="PnL" sheetId="15" state="visible" r:id="rId17"/>
    <sheet name="CashFlow" sheetId="16" state="visible" r:id="rId18"/>
    <sheet name="To_Fill"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<sst xmlns="http://schemas.openxmlformats.org/spreadsheetml/2006/main" count="2211" uniqueCount="1289">
  <si>
    <t xml:space="preserve">Teman Journey - 2027 plan (v16): EAP as the channel, BI kept as a premium client, new school channel</t>
  </si>
  <si>
    <t xml:space="preserve">Goal for 2027: a business that is profitable on its own and pays both founders. Investors come later, after scale. All money in Rp million.</t>
  </si>
  <si>
    <t xml:space="preserve">Active scenario:</t>
  </si>
  <si>
    <t xml:space="preserve">Active price plan:</t>
  </si>
  <si>
    <t xml:space="preserve">Question</t>
  </si>
  <si>
    <t xml:space="preserve">Answer</t>
  </si>
  <si>
    <t xml:space="preserve">Unit</t>
  </si>
  <si>
    <t xml:space="preserve">What it means</t>
  </si>
  <si>
    <t xml:space="preserve">A. Is 2027 profitable?</t>
  </si>
  <si>
    <t xml:space="preserve">Revenue FY 2027</t>
  </si>
  <si>
    <t xml:space="preserve">Rp m</t>
  </si>
  <si>
    <t xml:space="preserve">Total sales booked in 2027.</t>
  </si>
  <si>
    <t xml:space="preserve">Gross profit FY 2027</t>
  </si>
  <si>
    <t xml:space="preserve">Revenue minus delivery cost.</t>
  </si>
  <si>
    <t xml:space="preserve">Total fixed cost FY 2027</t>
  </si>
  <si>
    <t xml:space="preserve">Base + founders + sales + delivery steps.</t>
  </si>
  <si>
    <t xml:space="preserve">  of which founder salaries</t>
  </si>
  <si>
    <t xml:space="preserve">Both founders, from the start month in Inputs.</t>
  </si>
  <si>
    <t xml:space="preserve">Net profit FY 2027</t>
  </si>
  <si>
    <t xml:space="preserve">After founder salaries and tax.</t>
  </si>
  <si>
    <t xml:space="preserve">Net margin FY 2027</t>
  </si>
  <si>
    <t xml:space="preserve">%</t>
  </si>
  <si>
    <t xml:space="preserve">Net profit / revenue.</t>
  </si>
  <si>
    <t xml:space="preserve">Meets your target margin?</t>
  </si>
  <si>
    <t xml:space="preserve">Target is set in Inputs.</t>
  </si>
  <si>
    <t xml:space="preserve">Break-even: BI work needed per month (in KPW-event equivalents)</t>
  </si>
  <si>
    <t xml:space="preserve">events</t>
  </si>
  <si>
    <t xml:space="preserve">With banks, EAP and B2C at plan, this many KPW-size BI events a month (or the same profit from Flagships) covers all 2027 fixed costs.</t>
  </si>
  <si>
    <t xml:space="preserve">B. Is cash safe? (Pillar 3)</t>
  </si>
  <si>
    <t xml:space="preserve">Lowest month-end cash (Oct 26 - Dec 27)</t>
  </si>
  <si>
    <t xml:space="preserve">Must stay above zero.</t>
  </si>
  <si>
    <t xml:space="preserve">Month of lowest cash</t>
  </si>
  <si>
    <t xml:space="preserve">Where the squeeze is.</t>
  </si>
  <si>
    <t xml:space="preserve">Months below the cash floor</t>
  </si>
  <si>
    <t xml:space="preserve">months</t>
  </si>
  <si>
    <t xml:space="preserve">Floor = 1 month fixed cost + delivery cost.</t>
  </si>
  <si>
    <t xml:space="preserve">Cash at end of 2027</t>
  </si>
  <si>
    <t xml:space="preserve">Peak money owed by clients</t>
  </si>
  <si>
    <t xml:space="preserve">Cash tied up in unpaid invoices.</t>
  </si>
  <si>
    <t xml:space="preserve">Runway at end of Dec 2026 if B2B stops</t>
  </si>
  <si>
    <t xml:space="preserve">Months you survive on B2C alone with 2027 cost base.</t>
  </si>
  <si>
    <t xml:space="preserve">C. Can we deliver it? (Pillar 2)</t>
  </si>
  <si>
    <t xml:space="preserve">Peak facilitators needed in one month</t>
  </si>
  <si>
    <t xml:space="preserve">people</t>
  </si>
  <si>
    <t xml:space="preserve">Compare with your plan of 11.</t>
  </si>
  <si>
    <t xml:space="preserve">Facilitators to certify by end 2027</t>
  </si>
  <si>
    <t xml:space="preserve">Month the Project Manager is hired</t>
  </si>
  <si>
    <t xml:space="preserve">Triggered by the 3-month average of B2B events.</t>
  </si>
  <si>
    <t xml:space="preserve">D. What will investors ask? (risk)</t>
  </si>
  <si>
    <t xml:space="preserve">BI share of 2027 revenue</t>
  </si>
  <si>
    <t xml:space="preserve">Concentration risk. Lower is safer.</t>
  </si>
  <si>
    <t xml:space="preserve">B2B share of 2027 revenue</t>
  </si>
  <si>
    <t xml:space="preserve">Q4 share of 2027 revenue</t>
  </si>
  <si>
    <t xml:space="preserve">Seasonality risk.</t>
  </si>
  <si>
    <t xml:space="preserve">Cost to win one new B2B client (CAC)</t>
  </si>
  <si>
    <t xml:space="preserve">Sales spend / new clients.</t>
  </si>
  <si>
    <t xml:space="preserve">Memo: Coreitera revenue from TJ in 2027</t>
  </si>
  <si>
    <t xml:space="preserve">The 'tech' revenue line for the investor story.</t>
  </si>
  <si>
    <t xml:space="preserve">Memo: Theta revenue from TJ in 2027</t>
  </si>
  <si>
    <t xml:space="preserve">Scenario comparison (v16 values; refresh with analysis/lo_runner.py, then rebuild)</t>
  </si>
  <si>
    <t xml:space="preserve">Measure</t>
  </si>
  <si>
    <t xml:space="preserve">v15 plan (check)</t>
  </si>
  <si>
    <t xml:space="preserve">v16 plan</t>
  </si>
  <si>
    <t xml:space="preserve">v16 recommended (new prices + cash guard)</t>
  </si>
  <si>
    <t xml:space="preserve">v16 conservative</t>
  </si>
  <si>
    <t xml:space="preserve">v16 aggressive</t>
  </si>
  <si>
    <t xml:space="preserve">Feb-27</t>
  </si>
  <si>
    <t xml:space="preserve">Jan-27</t>
  </si>
  <si>
    <t xml:space="preserve">Apr-27</t>
  </si>
  <si>
    <t xml:space="preserve">E. Where the money comes from (v16 targets, Segments sheet)</t>
  </si>
  <si>
    <t xml:space="preserve">EAP channel share of 2027 revenue</t>
  </si>
  <si>
    <t xml:space="preserve">Primary target.</t>
  </si>
  <si>
    <t xml:space="preserve">BI BAU share of 2027 revenue</t>
  </si>
  <si>
    <t xml:space="preserve">Kept at today's volume.</t>
  </si>
  <si>
    <t xml:space="preserve">LPS / OJK share</t>
  </si>
  <si>
    <t xml:space="preserve">Secondary.</t>
  </si>
  <si>
    <t xml:space="preserve">Banks share</t>
  </si>
  <si>
    <t xml:space="preserve">Tertiary.</t>
  </si>
  <si>
    <t xml:space="preserve">Schools share</t>
  </si>
  <si>
    <t xml:space="preserve">New.</t>
  </si>
  <si>
    <t xml:space="preserve">B2C direct share</t>
  </si>
  <si>
    <t xml:space="preserve">Instagram, referral, events.</t>
  </si>
  <si>
    <t xml:space="preserve">All money from BI (incl. KPw packages)</t>
  </si>
  <si>
    <t xml:space="preserve">Concentration: lower is safer.</t>
  </si>
  <si>
    <t xml:space="preserve">Outlook: sales, costs and cash each month (Rp million)</t>
  </si>
  <si>
    <t xml:space="preserve">Read the bars against the line: when the grey cost bar is taller than the blue sales bar, cash goes down. Cash is paid later than sales, because clients pay 0 to 60 days after the event.</t>
  </si>
  <si>
    <t xml:space="preserve">Month</t>
  </si>
  <si>
    <t xml:space="preserve">Sales (revenue)</t>
  </si>
  <si>
    <t xml:space="preserve">Delivery cost</t>
  </si>
  <si>
    <t xml:space="preserve">Fixed cost</t>
  </si>
  <si>
    <t xml:space="preserve">Tax</t>
  </si>
  <si>
    <t xml:space="preserve">Total cost</t>
  </si>
  <si>
    <t xml:space="preserve">Net profit</t>
  </si>
  <si>
    <t xml:space="preserve">Cash in</t>
  </si>
  <si>
    <t xml:space="preserve">Cash out</t>
  </si>
  <si>
    <t xml:space="preserve">Cash at end of month</t>
  </si>
  <si>
    <t xml:space="preserve">Cash floor (1 month of costs)</t>
  </si>
  <si>
    <t xml:space="preserve">Above the floor? (1 = yes)</t>
  </si>
  <si>
    <t xml:space="preserve">Roadmap: when we must start selling and preparing, worked backward from each start date</t>
  </si>
  <si>
    <t xml:space="preserve">Rule: start from the date the work begins and go back through three clocks: sales (lead to signed), delivery (people ready) and cash (work done to cash in). Regulators and banks also need us inside their budget, which they plan in the second half of the year before.</t>
  </si>
  <si>
    <t xml:space="preserve">Today (blue: change it when you review)</t>
  </si>
  <si>
    <t xml:space="preserve">A. Lead times by client type, in days (Estimate until we log 3 real deals of each type in section E)</t>
  </si>
  <si>
    <t xml:space="preserve">Client type</t>
  </si>
  <si>
    <t xml:space="preserve">Contract and paperwork (legal, vendor registration, work order)</t>
  </si>
  <si>
    <t xml:space="preserve">Pitch, scoping, proposal</t>
  </si>
  <si>
    <t xml:space="preserve">Finding qualified leads</t>
  </si>
  <si>
    <t xml:space="preserve">Private company</t>
  </si>
  <si>
    <t xml:space="preserve">Regulator (BI, OJK, LPS)</t>
  </si>
  <si>
    <t xml:space="preserve">State-owned bank</t>
  </si>
  <si>
    <t xml:space="preserve">B2C public</t>
  </si>
  <si>
    <t xml:space="preserve">B. Sales clock: the latest date to start each deal</t>
  </si>
  <si>
    <t xml:space="preserve">Milestone</t>
  </si>
  <si>
    <t xml:space="preserve">New client? (1 = yes)</t>
  </si>
  <si>
    <t xml:space="preserve">Work starts</t>
  </si>
  <si>
    <t xml:space="preserve">Client budget window closes</t>
  </si>
  <si>
    <t xml:space="preserve">Sign by</t>
  </si>
  <si>
    <t xml:space="preserve">Start pitching</t>
  </si>
  <si>
    <t xml:space="preserve">Start finding leads</t>
  </si>
  <si>
    <t xml:space="preserve">Latest start</t>
  </si>
  <si>
    <t xml:space="preserve">Owner</t>
  </si>
  <si>
    <t xml:space="preserve">Status today</t>
  </si>
  <si>
    <t xml:space="preserve">BI 2027: Flagship and regional programs (first in March)</t>
  </si>
  <si>
    <t xml:space="preserve">Kia</t>
  </si>
  <si>
    <t xml:space="preserve">BI 2027: regional events Jul-Sep (moved from the Q4 peak)</t>
  </si>
  <si>
    <t xml:space="preserve">BI 2027: regional peak Oct-Dec</t>
  </si>
  <si>
    <t xml:space="preserve">EAP contract 2: the warm lead (chase now)</t>
  </si>
  <si>
    <t xml:space="preserve">Galih</t>
  </si>
  <si>
    <t xml:space="preserve">EAP contract 2 if the client is a bank</t>
  </si>
  <si>
    <t xml:space="preserve">EAP contract 3 with a bank</t>
  </si>
  <si>
    <t xml:space="preserve">Bank agreement: training days</t>
  </si>
  <si>
    <t xml:space="preserve">Kia, then BD co-founder</t>
  </si>
  <si>
    <t xml:space="preserve">B2C events (Instagram campaign, then tickets)</t>
  </si>
  <si>
    <t xml:space="preserve">Galih (lead marketing)</t>
  </si>
  <si>
    <t xml:space="preserve">OJK and LPS programs for 2028</t>
  </si>
  <si>
    <t xml:space="preserve">BI 2028 programs</t>
  </si>
  <si>
    <t xml:space="preserve">Latest start = the earlier of: start finding leads, or the budget window close minus the pitch time.</t>
  </si>
  <si>
    <t xml:space="preserve">C. Delivery clock: people ready before the work</t>
  </si>
  <si>
    <t xml:space="preserve">Item</t>
  </si>
  <si>
    <t xml:space="preserve">Why</t>
  </si>
  <si>
    <t xml:space="preserve">Needed by</t>
  </si>
  <si>
    <t xml:space="preserve">Lead time (months)</t>
  </si>
  <si>
    <t xml:space="preserve">3 certified trainers</t>
  </si>
  <si>
    <t xml:space="preserve">First programs in March need 3 trainers</t>
  </si>
  <si>
    <t xml:space="preserve">Part-time psychologist pool for EAP 2</t>
  </si>
  <si>
    <t xml:space="preserve">EAP 2 starts in February</t>
  </si>
  <si>
    <t xml:space="preserve">Second paid part-time psychologist</t>
  </si>
  <si>
    <t xml:space="preserve">B2C evenings and EAP days from January</t>
  </si>
  <si>
    <t xml:space="preserve">Standby project manager (paid per project)</t>
  </si>
  <si>
    <t xml:space="preserve">From July, more than 2 projects in a month</t>
  </si>
  <si>
    <t xml:space="preserve">Sales co-founder</t>
  </si>
  <si>
    <t xml:space="preserve">Joins in July; searching takes longer than a normal hire</t>
  </si>
  <si>
    <t xml:space="preserve">Kia and Galih</t>
  </si>
  <si>
    <t xml:space="preserve">8 certified trainers</t>
  </si>
  <si>
    <t xml:space="preserve">Busiest months: Oct to Dec 2027</t>
  </si>
  <si>
    <t xml:space="preserve">Lead Partnership (non-psychologist)</t>
  </si>
  <si>
    <t xml:space="preserve">Manages EAP clients from October; brings clients</t>
  </si>
  <si>
    <t xml:space="preserve">Intern for invoices</t>
  </si>
  <si>
    <t xml:space="preserve">Invoices grow to about 11 a month in Q4</t>
  </si>
  <si>
    <t xml:space="preserve">D. Cash clock: work done, cash not yet in</t>
  </si>
  <si>
    <t xml:space="preserve">Lowest cash in the plan (Rp m)</t>
  </si>
  <si>
    <t xml:space="preserve">Month of the lowest cash</t>
  </si>
  <si>
    <t xml:space="preserve">Months below the safety floor</t>
  </si>
  <si>
    <t xml:space="preserve">Down payment on Flagship programs (Inputs)</t>
  </si>
  <si>
    <t xml:space="preserve">Costs leave in the event month; BI central pays 60/30/10% over 60 days, regional offices per payday, banks 20/50/30%, EAP the next month. Fix a gap before signing: a down payment, staged invoices, or a later start.</t>
  </si>
  <si>
    <t xml:space="preserve">E. Sales speed log: fill in after every won or lost deal, then replace the estimates in section A</t>
  </si>
  <si>
    <t xml:space="preserve">Client</t>
  </si>
  <si>
    <t xml:space="preserve">First contact</t>
  </si>
  <si>
    <t xml:space="preserve">Proposal sent</t>
  </si>
  <si>
    <t xml:space="preserve">Signed</t>
  </si>
  <si>
    <t xml:space="preserve">Work started</t>
  </si>
  <si>
    <t xml:space="preserve">Days to sign</t>
  </si>
  <si>
    <t xml:space="preserve">Days to cash</t>
  </si>
  <si>
    <t xml:space="preserve">Won or lost</t>
  </si>
  <si>
    <t xml:space="preserve">Note</t>
  </si>
  <si>
    <t xml:space="preserve">Targets by priority: where 2027 revenue comes from (Rp million)</t>
  </si>
  <si>
    <t xml:space="preserve">Priority (founders, 16 Oct 2026): 1. EAP as the channel to counseling and training. BI stays at today's volume as a premium client (BAU). 2. LPS and OJK. 3. Banks (private banks last). New: schools. Rows add up to PnL row 12.</t>
  </si>
  <si>
    <t xml:space="preserve">Line</t>
  </si>
  <si>
    <t xml:space="preserve">Q4 2026</t>
  </si>
  <si>
    <t xml:space="preserve">FY 2027</t>
  </si>
  <si>
    <t xml:space="preserve">1. EAP channel (primary): KPw packages, new EAP contracts, their trainings, channel counseling</t>
  </si>
  <si>
    <t xml:space="preserve">BI BAU premium: Flagship, BI regional ToT, existing EAP (kept at today's volume)</t>
  </si>
  <si>
    <t xml:space="preserve">2. LPS / OJK (secondary)</t>
  </si>
  <si>
    <t xml:space="preserve">3. Banks: state and private (tertiary)</t>
  </si>
  <si>
    <t xml:space="preserve">New: schools</t>
  </si>
  <si>
    <t xml:space="preserve">B2C direct: Instagram, referral, vouchers, public events</t>
  </si>
  <si>
    <t xml:space="preserve">Total</t>
  </si>
  <si>
    <t xml:space="preserve">Check: difference to PnL total revenue (must be 0)</t>
  </si>
  <si>
    <t xml:space="preserve">Mix</t>
  </si>
  <si>
    <t xml:space="preserve">Share: EAP channel</t>
  </si>
  <si>
    <t xml:space="preserve">Share: BI BAU</t>
  </si>
  <si>
    <t xml:space="preserve">Share: LPS / OJK</t>
  </si>
  <si>
    <t xml:space="preserve">Share: banks</t>
  </si>
  <si>
    <t xml:space="preserve">Share: schools</t>
  </si>
  <si>
    <t xml:space="preserve">Share: B2C direct</t>
  </si>
  <si>
    <t xml:space="preserve">All money from BI (BI BAU + KPw packages + their trainings): concentration risk</t>
  </si>
  <si>
    <t xml:space="preserve">Share of revenue from BI</t>
  </si>
  <si>
    <t xml:space="preserve">2027 targets: the numbers to track every month</t>
  </si>
  <si>
    <t xml:space="preserve">Priority</t>
  </si>
  <si>
    <t xml:space="preserve">Target for 2027</t>
  </si>
  <si>
    <t xml:space="preserve">Plan (FY 2027)</t>
  </si>
  <si>
    <t xml:space="preserve">1. EAP channel</t>
  </si>
  <si>
    <t xml:space="preserve">New BI KPw packages signed</t>
  </si>
  <si>
    <t xml:space="preserve">packages</t>
  </si>
  <si>
    <t xml:space="preserve">Commit-2 second terms + renewals</t>
  </si>
  <si>
    <t xml:space="preserve">Enterprise EAP contracts running in Dec 2027 (incl. existing)</t>
  </si>
  <si>
    <t xml:space="preserve">contracts</t>
  </si>
  <si>
    <t xml:space="preserve">Trainings sold to EAP clients</t>
  </si>
  <si>
    <t xml:space="preserve">Paid counseling sessions through channels</t>
  </si>
  <si>
    <t xml:space="preserve">sessions</t>
  </si>
  <si>
    <t xml:space="preserve">BI BAU</t>
  </si>
  <si>
    <t xml:space="preserve">Flagship + BI regional ToT (same as v15)</t>
  </si>
  <si>
    <t xml:space="preserve">2. LPS / OJK</t>
  </si>
  <si>
    <t xml:space="preserve">LPS / OJK programs (incl. non-BI regional ToT)</t>
  </si>
  <si>
    <t xml:space="preserve">3. Banks</t>
  </si>
  <si>
    <t xml:space="preserve">Bank training days and events</t>
  </si>
  <si>
    <t xml:space="preserve">Schools tested / students</t>
  </si>
  <si>
    <t xml:space="preserve">schools</t>
  </si>
  <si>
    <t xml:space="preserve">Galih's wife (schools lead)</t>
  </si>
  <si>
    <t xml:space="preserve">Students tested</t>
  </si>
  <si>
    <t xml:space="preserve">students</t>
  </si>
  <si>
    <t xml:space="preserve">B2C direct</t>
  </si>
  <si>
    <t xml:space="preserve">Paid B2C sessions (all sources)</t>
  </si>
  <si>
    <t xml:space="preserve">Result</t>
  </si>
  <si>
    <t xml:space="preserve">BI share of revenue (all BI money)</t>
  </si>
  <si>
    <t xml:space="preserve">Both founders</t>
  </si>
  <si>
    <t xml:space="preserve">B2C funnel: Instagram followers to paid counseling sessions, and B2C vs B2B revenue (Rp million)</t>
  </si>
  <si>
    <t xml:space="preserve">Growth is set per quarter (blue). Followers on 5 Oct 2026: @temanjourney_id. Today about 2 paid sessions a month, so the booking rate starts at about 0.6 new paying clients a month per 1,000 followers. Feeds Volume row 28.</t>
  </si>
  <si>
    <t xml:space="preserve">Quarterly inputs (blue = change freely)</t>
  </si>
  <si>
    <t xml:space="preserve">Q1 2027</t>
  </si>
  <si>
    <t xml:space="preserve">Q2 2027</t>
  </si>
  <si>
    <t xml:space="preserve">Q3 2027</t>
  </si>
  <si>
    <t xml:space="preserve">Q4 2027</t>
  </si>
  <si>
    <t xml:space="preserve">Follower growth in the quarter</t>
  </si>
  <si>
    <t xml:space="preserve">Booking rate: new paying clients a month per 1,000 followers</t>
  </si>
  <si>
    <t xml:space="preserve">Sessions per client</t>
  </si>
  <si>
    <t xml:space="preserve">Referral share of new clients (target 20% by Q4 2027)</t>
  </si>
  <si>
    <t xml:space="preserve">Instagram followers on 5 Oct 2026</t>
  </si>
  <si>
    <t xml:space="preserve">Theta voucher sessions a month per EAP contract</t>
  </si>
  <si>
    <t xml:space="preserve">Theta vouchers start</t>
  </si>
  <si>
    <t xml:space="preserve">Sessions one paid part-time psychologist covers a month (3 shifts a week x 3)</t>
  </si>
  <si>
    <t xml:space="preserve">Paid part-time psychologists from Jan-27</t>
  </si>
  <si>
    <t xml:space="preserve">Pool capacity: 20 part-timers x 8 hours a month</t>
  </si>
  <si>
    <t xml:space="preserve">Full-time psychologist pay, if hired (gross)</t>
  </si>
  <si>
    <t xml:space="preserve">Referral reward per referred client (Rp100k credit to each side)</t>
  </si>
  <si>
    <t xml:space="preserve">Base Instagram ads already in the software budget (Rp m a month)</t>
  </si>
  <si>
    <t xml:space="preserve">Quarter (1 = Q4 2026 ... 5 = Q4 2027)</t>
  </si>
  <si>
    <t xml:space="preserve">#</t>
  </si>
  <si>
    <t xml:space="preserve">Instagram followers (end of month)</t>
  </si>
  <si>
    <t xml:space="preserve">Booking rate</t>
  </si>
  <si>
    <t xml:space="preserve">per 1,000</t>
  </si>
  <si>
    <t xml:space="preserve">x</t>
  </si>
  <si>
    <t xml:space="preserve">New paying clients from Instagram</t>
  </si>
  <si>
    <t xml:space="preserve">clients</t>
  </si>
  <si>
    <t xml:space="preserve">Sessions from Instagram</t>
  </si>
  <si>
    <t xml:space="preserve">Sessions from Theta vouchers (EAP staff)</t>
  </si>
  <si>
    <t xml:space="preserve">Paid B2C counseling sessions (Instagram + vouchers + referral + channels)</t>
  </si>
  <si>
    <t xml:space="preserve">Revenue</t>
  </si>
  <si>
    <t xml:space="preserve">Counseling revenue</t>
  </si>
  <si>
    <t xml:space="preserve">Public events</t>
  </si>
  <si>
    <t xml:space="preserve">Public event revenue</t>
  </si>
  <si>
    <t xml:space="preserve">B2C revenue</t>
  </si>
  <si>
    <t xml:space="preserve">B2B revenue (regulators, banks, EAP)</t>
  </si>
  <si>
    <t xml:space="preserve">B2C share of all revenue</t>
  </si>
  <si>
    <t xml:space="preserve">Can B2C pay for our psychologists?</t>
  </si>
  <si>
    <t xml:space="preserve">B2C gross profit (after psychologist session fees and event costs)</t>
  </si>
  <si>
    <t xml:space="preserve">Paid psychologists' pay incl. BPJS and THR</t>
  </si>
  <si>
    <t xml:space="preserve">Extra Instagram ads</t>
  </si>
  <si>
    <t xml:space="preserve">Psychologists' pay covered by B2C gross profit</t>
  </si>
  <si>
    <t xml:space="preserve">B2C profit after psychologists, ads and referral rewards</t>
  </si>
  <si>
    <t xml:space="preserve">Capacity (COO)</t>
  </si>
  <si>
    <t xml:space="preserve">COO: sessions to deliver (B2C + EAP + BI KPw packages)</t>
  </si>
  <si>
    <t xml:space="preserve">Paid part-time capacity</t>
  </si>
  <si>
    <t xml:space="preserve">Load on paid part-timers</t>
  </si>
  <si>
    <t xml:space="preserve">Sessions for the pool of 20</t>
  </si>
  <si>
    <t xml:space="preserve">When can we afford a full-time psychologist?</t>
  </si>
  <si>
    <t xml:space="preserve">Full-time test: counseling profit, 3-month average</t>
  </si>
  <si>
    <t xml:space="preserve">Pay of the PIC part-timer + one full-timer, incl. BPJS and THR</t>
  </si>
  <si>
    <t xml:space="preserve">Full-time psychologist affordable? (1 = yes)</t>
  </si>
  <si>
    <t xml:space="preserve">flag</t>
  </si>
  <si>
    <t xml:space="preserve">Referral (track the source of every booking)</t>
  </si>
  <si>
    <t xml:space="preserve">New clients from referral</t>
  </si>
  <si>
    <t xml:space="preserve">Sessions from referral</t>
  </si>
  <si>
    <t xml:space="preserve">Referral rewards (cost)</t>
  </si>
  <si>
    <t xml:space="preserve">Referral share of new clients</t>
  </si>
  <si>
    <t xml:space="preserve">Unit economics per client</t>
  </si>
  <si>
    <t xml:space="preserve">Profit per client (LTV) = price x (1 - psychologist fee) x sessions per client</t>
  </si>
  <si>
    <t xml:space="preserve">Cost to win a client through Instagram (all ads / Instagram clients)</t>
  </si>
  <si>
    <t xml:space="preserve">LTV / CAC, Instagram</t>
  </si>
  <si>
    <t xml:space="preserve">LTV / CAC, referral</t>
  </si>
  <si>
    <t xml:space="preserve">B2C prices: psychologist tiers and profit share (latest price list, 13 Oct 2026)</t>
  </si>
  <si>
    <t xml:space="preserve">Source: B2C Pricing/TJ_Pricing_Tier_Psikolog_Profit_Sharing.xlsx (Pricing_Counseling, Inputs). Blue = copy of that file; change both together. Rp million per session. Feeds Inputs b2c_p_new and b2c_f_new.</t>
  </si>
  <si>
    <t xml:space="preserve">Tier (psychologist experience)</t>
  </si>
  <si>
    <t xml:space="preserve">Online 60 min price</t>
  </si>
  <si>
    <t xml:space="preserve">Offline 60 min price</t>
  </si>
  <si>
    <t xml:space="preserve">Share to psychologist</t>
  </si>
  <si>
    <t xml:space="preserve">Share of sessions (mix)</t>
  </si>
  <si>
    <t xml:space="preserve">Fee online</t>
  </si>
  <si>
    <t xml:space="preserve">Fee offline</t>
  </si>
  <si>
    <t xml:space="preserve">TJ margin online</t>
  </si>
  <si>
    <t xml:space="preserve">TJ margin offline</t>
  </si>
  <si>
    <t xml:space="preserve">Tier 1 (0-2 years)</t>
  </si>
  <si>
    <t xml:space="preserve">Tier 2 (2-5 years)</t>
  </si>
  <si>
    <t xml:space="preserve">Tier 3 (5-10 years)</t>
  </si>
  <si>
    <t xml:space="preserve">Tier 4 (over 10 years)</t>
  </si>
  <si>
    <t xml:space="preserve">Check: mix adds to 100%</t>
  </si>
  <si>
    <t xml:space="preserve">Share of sessions online (rest offline)</t>
  </si>
  <si>
    <t xml:space="preserve">Estimate: fill from real bookings</t>
  </si>
  <si>
    <t xml:space="preserve">Platform and payment cost per session (paid by TJ)</t>
  </si>
  <si>
    <t xml:space="preserve">Estimate: pricing file default (Rp50k)</t>
  </si>
  <si>
    <t xml:space="preserve">4-session package discount</t>
  </si>
  <si>
    <t xml:space="preserve">Known: ACC sheet, ~10%</t>
  </si>
  <si>
    <t xml:space="preserve">Share of clients on the 4-session package</t>
  </si>
  <si>
    <t xml:space="preserve">Inputs b2c_pack (0 = price list as is)</t>
  </si>
  <si>
    <t xml:space="preserve">Blended result (feeds the model)</t>
  </si>
  <si>
    <t xml:space="preserve">Average list price per session</t>
  </si>
  <si>
    <t xml:space="preserve">Average psychologist fee per session</t>
  </si>
  <si>
    <t xml:space="preserve">Average price actually paid (after package discount)</t>
  </si>
  <si>
    <t xml:space="preserve">Psychologist fee on the price paid (profit share is on the price paid)</t>
  </si>
  <si>
    <t xml:space="preserve">TJ margin per session after platform cost</t>
  </si>
  <si>
    <t xml:space="preserve">Cost share used by the model: (fee + platform) / price</t>
  </si>
  <si>
    <t xml:space="preserve">v15 for comparison: price, and TJ margin per session</t>
  </si>
  <si>
    <t xml:space="preserve">v15 TJ margin per session (Rp1m x 60%)</t>
  </si>
  <si>
    <t xml:space="preserve">New margin vs v15 margin</t>
  </si>
  <si>
    <t xml:space="preserve">Reference: assessments (one price for all assessors, 50:50 share after the test-tool cost)</t>
  </si>
  <si>
    <t xml:space="preserve">Tes Minat Bakat (interest and aptitude)</t>
  </si>
  <si>
    <t xml:space="preserve">14+</t>
  </si>
  <si>
    <t xml:space="preserve">Tes IQ</t>
  </si>
  <si>
    <t xml:space="preserve">child to adult</t>
  </si>
  <si>
    <t xml:space="preserve">Tes Profiling</t>
  </si>
  <si>
    <t xml:space="preserve">6-13</t>
  </si>
  <si>
    <t xml:space="preserve">MHCU (adult mental health check)</t>
  </si>
  <si>
    <t xml:space="preserve">adult</t>
  </si>
  <si>
    <t xml:space="preserve">Read: the latest price list earns about Rp170k per session after the psychologist and platform, against Rp600k in v15. Counseling alone cannot pay for Instagram ads (see B2C rows 56-59); it pays when clients come through EAP, schools and referral.</t>
  </si>
  <si>
    <t xml:space="preserve">Channels (v16): EAP packages for BI regional offices, and schools</t>
  </si>
  <si>
    <t xml:space="preserve">Package prices and costs: SPKnProposalAnalysis/BI Sibolga/Internal_-_BI_Sibolga_Costing_format_TJ_v4.xlsx (costs with every session paid at the Rp350k honor; before the 2% PPh 23 withholding). Rp million.</t>
  </si>
  <si>
    <t xml:space="preserve">BI KPw package (3 months)</t>
  </si>
  <si>
    <t xml:space="preserve">Price</t>
  </si>
  <si>
    <t xml:space="preserve">Cost (all sessions paid)</t>
  </si>
  <si>
    <t xml:space="preserve">Counseling sessions</t>
  </si>
  <si>
    <t xml:space="preserve">Mix (blue)</t>
  </si>
  <si>
    <t xml:space="preserve">Margin</t>
  </si>
  <si>
    <t xml:space="preserve">Price / cost</t>
  </si>
  <si>
    <t xml:space="preserve">Price for a 30% margin</t>
  </si>
  <si>
    <t xml:space="preserve">Gap to that price</t>
  </si>
  <si>
    <t xml:space="preserve">Sapa (intro: 15 sessions)</t>
  </si>
  <si>
    <t xml:space="preserve">Tumbuh (24 sessions + MHCU + report)</t>
  </si>
  <si>
    <t xml:space="preserve">Seperjalanan (36 sessions + 2 MHCU + webinar + 2 penyuluhan)</t>
  </si>
  <si>
    <t xml:space="preserve">Berbagi (Seperjalanan, webinar free)</t>
  </si>
  <si>
    <t xml:space="preserve">Penyuluhan (Seperjalanan, no webinar)</t>
  </si>
  <si>
    <t xml:space="preserve">Average package (mix-weighted)</t>
  </si>
  <si>
    <t xml:space="preserve">Read: with every session paid at Rp350k the packages earn 7-27%, far below the 3x rule for training. They make money only when the paid part-timers deliver the sessions inside their fixed pay. Next offices: price Tumbuh and Seperjalanan at or above column H, and keep Sapa as the small intro.</t>
  </si>
  <si>
    <t xml:space="preserve">Monthly plan (blue = change freely)</t>
  </si>
  <si>
    <t xml:space="preserve">New BI KPw packages signed (new offices; Nov-26 = Sibolga)</t>
  </si>
  <si>
    <t xml:space="preserve">Schools tested (group interest and aptitude test; Feb pilot, Jul grade 10, Aug-Nov grade 12)</t>
  </si>
  <si>
    <t xml:space="preserve">Why these dates: BI KPw offices spend their own yearly budget, most of it in the second half; schools test grade 10 before the major choice (Jun-Jul) and grade 12 before college applications (Aug-Nov).</t>
  </si>
  <si>
    <t xml:space="preserve">Inputs and assumptions (all money in Rp million)</t>
  </si>
  <si>
    <t xml:space="preserve">Blue numbers are inputs you can change. Status: Known = you told us or it is in your v10 file; Your plan = your own budget; Estimate = industry estimate used until you give the real number (yellow-shaded, listed in the To_Fill sheet).</t>
  </si>
  <si>
    <t xml:space="preserve">Key</t>
  </si>
  <si>
    <t xml:space="preserve">Value</t>
  </si>
  <si>
    <t xml:space="preserve">Status</t>
  </si>
  <si>
    <t xml:space="preserve">Source / logic</t>
  </si>
  <si>
    <t xml:space="preserve">0. Scenario selector</t>
  </si>
  <si>
    <t xml:space="preserve">scen</t>
  </si>
  <si>
    <t xml:space="preserve">Active scenario (1-4)</t>
  </si>
  <si>
    <t xml:space="preserve">number</t>
  </si>
  <si>
    <t xml:space="preserve">Known</t>
  </si>
  <si>
    <t xml:space="preserve">1 = Base plan (v10 volumes). 2 = No new B2B event closes Jan-Jun 2027. 3 = BI cuts its volume by the % below. 4 = Both 2 and 3 (worst case).</t>
  </si>
  <si>
    <t xml:space="preserve">bi_cut</t>
  </si>
  <si>
    <t xml:space="preserve">BI volume cut used in scenarios 3 and 4</t>
  </si>
  <si>
    <t xml:space="preserve">Stress test size. Change freely.</t>
  </si>
  <si>
    <t xml:space="preserve">1. Prices (per event, or per month for EAP)</t>
  </si>
  <si>
    <t xml:space="preserve">p_flag</t>
  </si>
  <si>
    <t xml:space="preserve">Flagship regulator ToT (CBP Rupiah)</t>
  </si>
  <si>
    <t xml:space="preserve">Rp m / event</t>
  </si>
  <si>
    <t xml:space="preserve">Your v10 file.</t>
  </si>
  <si>
    <t xml:space="preserve">p_kpw</t>
  </si>
  <si>
    <t xml:space="preserve">Regulator regional ToT (BI KPW and LPS)</t>
  </si>
  <si>
    <t xml:space="preserve">p_kcp</t>
  </si>
  <si>
    <t xml:space="preserve">Bank branch event (KCP)</t>
  </si>
  <si>
    <t xml:space="preserve">p_eap</t>
  </si>
  <si>
    <t xml:space="preserve">Bank EAP subscription</t>
  </si>
  <si>
    <t xml:space="preserve">Rp m / month</t>
  </si>
  <si>
    <t xml:space="preserve">p_b2ce</t>
  </si>
  <si>
    <t xml:space="preserve">B2C mass event</t>
  </si>
  <si>
    <t xml:space="preserve">v16: Lyfe at 30s format (Inputs section 14). v15: your v10 file.</t>
  </si>
  <si>
    <t xml:space="preserve">p_b2cc</t>
  </si>
  <si>
    <t xml:space="preserve">B2C counseling client</t>
  </si>
  <si>
    <t xml:space="preserve">Rp m / client</t>
  </si>
  <si>
    <t xml:space="preserve">v16: latest price list (B2C_Pricing sheet). v15: Rp1,000,000 per session.</t>
  </si>
  <si>
    <t xml:space="preserve">2. Delivery cost (cost of goods sold)</t>
  </si>
  <si>
    <t xml:space="preserve">c_flag</t>
  </si>
  <si>
    <t xml:space="preserve">Flagship delivery cost</t>
  </si>
  <si>
    <t xml:space="preserve">Your v10 file: travel, hotel, materials, premium facilitator fees.</t>
  </si>
  <si>
    <t xml:space="preserve">c_kpw</t>
  </si>
  <si>
    <t xml:space="preserve">KPW / LPS delivery cost</t>
  </si>
  <si>
    <t xml:space="preserve">Your v10 file. Covers about 2 handler fees only, so travel is assumed paid by the client (see below).</t>
  </si>
  <si>
    <t xml:space="preserve">c_kcp</t>
  </si>
  <si>
    <t xml:space="preserve">Bank KCP event delivery cost</t>
  </si>
  <si>
    <t xml:space="preserve">c_eap</t>
  </si>
  <si>
    <t xml:space="preserve">EAP delivery cost</t>
  </si>
  <si>
    <t xml:space="preserve">Your v10 file: on-call tele-counseling retainer.</t>
  </si>
  <si>
    <t xml:space="preserve">c_b2ce</t>
  </si>
  <si>
    <t xml:space="preserve">B2C event delivery cost</t>
  </si>
  <si>
    <t xml:space="preserve">v16: Lyfe RAB at 16 people. v15: venue, ads, materials, fees.</t>
  </si>
  <si>
    <t xml:space="preserve">c_b2cc</t>
  </si>
  <si>
    <t xml:space="preserve">B2C counseling cost (psychologist fee)</t>
  </si>
  <si>
    <t xml:space="preserve">% of price</t>
  </si>
  <si>
    <t xml:space="preserve">v16: psychologist share by tier + platform cost (B2C_Pricing). v15: Rp400k of Rp1m.</t>
  </si>
  <si>
    <t xml:space="preserve">travel_client</t>
  </si>
  <si>
    <t xml:space="preserve">Client pays travel for regional events? (1 = yes, 0 = no)</t>
  </si>
  <si>
    <t xml:space="preserve">switch</t>
  </si>
  <si>
    <t xml:space="preserve">Estimate</t>
  </si>
  <si>
    <t xml:space="preserve">The Rp 8m KPW cost only covers 2 handler fees, so we assume BI pays travel.</t>
  </si>
  <si>
    <t xml:space="preserve">travel_pp</t>
  </si>
  <si>
    <t xml:space="preserve">Travel cost per handler per regional trip</t>
  </si>
  <si>
    <t xml:space="preserve">Rp m / person</t>
  </si>
  <si>
    <t xml:space="preserve">Industry estimate: return flight ~Rp 2m + 2 hotel nights ~Rp 1m + per diem ~Rp 0.5m.</t>
  </si>
  <si>
    <t xml:space="preserve">regional_share</t>
  </si>
  <si>
    <t xml:space="preserve">Share of KPW / LPS events outside Jakarta</t>
  </si>
  <si>
    <t xml:space="preserve">Estimate: most KPW offices are outside Jakarta.</t>
  </si>
  <si>
    <t xml:space="preserve">3. Delivery staffing (from your v10 file)</t>
  </si>
  <si>
    <t xml:space="preserve">h_flag</t>
  </si>
  <si>
    <t xml:space="preserve">Handlers per Flagship event</t>
  </si>
  <si>
    <t xml:space="preserve">1 PM, 1 Lead Psychologist, 2 Facilitators.</t>
  </si>
  <si>
    <t xml:space="preserve">h_kpw</t>
  </si>
  <si>
    <t xml:space="preserve">Handlers per KPW / LPS event</t>
  </si>
  <si>
    <t xml:space="preserve">1 Lead, 1 Facilitator.</t>
  </si>
  <si>
    <t xml:space="preserve">h_kcp</t>
  </si>
  <si>
    <t xml:space="preserve">Handlers per KCP event</t>
  </si>
  <si>
    <t xml:space="preserve">h_b2ce</t>
  </si>
  <si>
    <t xml:space="preserve">Handlers per B2C event</t>
  </si>
  <si>
    <t xml:space="preserve">1 Lead, 1 Facilitator / Assistant.</t>
  </si>
  <si>
    <t xml:space="preserve">d_flag</t>
  </si>
  <si>
    <t xml:space="preserve">Days per Flagship event</t>
  </si>
  <si>
    <t xml:space="preserve">days</t>
  </si>
  <si>
    <t xml:space="preserve">You said 2-3 day program; we use 3.</t>
  </si>
  <si>
    <t xml:space="preserve">d_kpw</t>
  </si>
  <si>
    <t xml:space="preserve">Days per KPW / LPS event</t>
  </si>
  <si>
    <t xml:space="preserve">Estimate.</t>
  </si>
  <si>
    <t xml:space="preserve">d_kcp</t>
  </si>
  <si>
    <t xml:space="preserve">Days per KCP event</t>
  </si>
  <si>
    <t xml:space="preserve">d_b2ce</t>
  </si>
  <si>
    <t xml:space="preserve">Days per B2C event</t>
  </si>
  <si>
    <t xml:space="preserve">Estimate (weekend event).</t>
  </si>
  <si>
    <t xml:space="preserve">fac_cap</t>
  </si>
  <si>
    <t xml:space="preserve">Max events per facilitator per month</t>
  </si>
  <si>
    <t xml:space="preserve">Your v10 quality rule.</t>
  </si>
  <si>
    <t xml:space="preserve">fac_now</t>
  </si>
  <si>
    <t xml:space="preserve">Certified facilitators today</t>
  </si>
  <si>
    <t xml:space="preserve">You told us: 2 active core facilitators.</t>
  </si>
  <si>
    <t xml:space="preserve">fac_plan</t>
  </si>
  <si>
    <t xml:space="preserve">Your plan: facilitators certified by Nov 2026</t>
  </si>
  <si>
    <t xml:space="preserve">Your earlier plan.</t>
  </si>
  <si>
    <t xml:space="preserve">cert_cost</t>
  </si>
  <si>
    <t xml:space="preserve">Cost to certify one new facilitator</t>
  </si>
  <si>
    <t xml:space="preserve">Industry estimate: 2-day internal ToT, materials, observed practice event.</t>
  </si>
  <si>
    <t xml:space="preserve">4. Fixed cost: base (your 2027 'bensin' budget, monthly)</t>
  </si>
  <si>
    <t xml:space="preserve">o_lead_mkt</t>
  </si>
  <si>
    <t xml:space="preserve">Lead Marketing</t>
  </si>
  <si>
    <t xml:space="preserve">Your 2027 budget.</t>
  </si>
  <si>
    <t xml:space="preserve">o_socmed</t>
  </si>
  <si>
    <t xml:space="preserve">Social Media Specialist</t>
  </si>
  <si>
    <t xml:space="preserve">o_intern_mkt</t>
  </si>
  <si>
    <t xml:space="preserve">Marketing intern</t>
  </si>
  <si>
    <t xml:space="preserve">o_pic</t>
  </si>
  <si>
    <t xml:space="preserve">PIC Psychologist</t>
  </si>
  <si>
    <t xml:space="preserve">o_admin</t>
  </si>
  <si>
    <t xml:space="preserve">Admin</t>
  </si>
  <si>
    <t xml:space="preserve">You raised it from Rp 1.8m to Rp 3m (Oct 2026).</t>
  </si>
  <si>
    <t xml:space="preserve">o_intern_ops</t>
  </si>
  <si>
    <t xml:space="preserve">Operations intern</t>
  </si>
  <si>
    <t xml:space="preserve">o_saas</t>
  </si>
  <si>
    <t xml:space="preserve">Software and IG ads (Workspace, Canva, Claude, CapCut, IG ads, Zoom)</t>
  </si>
  <si>
    <t xml:space="preserve">Your 2027 budget: Rp 24.959m per year / 12.</t>
  </si>
  <si>
    <t xml:space="preserve">o_office</t>
  </si>
  <si>
    <t xml:space="preserve">Office (rent 5.0 + electricity 0.5 + meals 0.3)</t>
  </si>
  <si>
    <t xml:space="preserve">Your 2027 budget: Rp 69.6m per year / 12.</t>
  </si>
  <si>
    <t xml:space="preserve">o_acct</t>
  </si>
  <si>
    <t xml:space="preserve">Accountant / tax consultant</t>
  </si>
  <si>
    <t xml:space="preserve">Industry estimate for a small PT in Jakarta. Not in your list; set to 0 if you do it yourself.</t>
  </si>
  <si>
    <t xml:space="preserve">5. Fixed cost: steps (only switched on when triggered)</t>
  </si>
  <si>
    <t xml:space="preserve">f_sal1</t>
  </si>
  <si>
    <t xml:space="preserve">Founder salary: co-founder</t>
  </si>
  <si>
    <t xml:space="preserve">You set this (Oct 2026).</t>
  </si>
  <si>
    <t xml:space="preserve">f_sal2</t>
  </si>
  <si>
    <t xml:space="preserve">Founder salary: Galih</t>
  </si>
  <si>
    <t xml:space="preserve">f_start</t>
  </si>
  <si>
    <t xml:space="preserve">Founder salaries start month</t>
  </si>
  <si>
    <t xml:space="preserve">month</t>
  </si>
  <si>
    <t xml:space="preserve">Your plan - confirm</t>
  </si>
  <si>
    <t xml:space="preserve">Your 2027 goal. Must match a month label exactly (e.g. Jan-27).</t>
  </si>
  <si>
    <t xml:space="preserve">am_on</t>
  </si>
  <si>
    <t xml:space="preserve">Hire a B2B Account Manager? (1 = yes)</t>
  </si>
  <si>
    <t xml:space="preserve">You decided: founders handle accounts for now. Set 1 to test hiring one later.</t>
  </si>
  <si>
    <t xml:space="preserve">am_cost</t>
  </si>
  <si>
    <t xml:space="preserve">Account Manager salary</t>
  </si>
  <si>
    <t xml:space="preserve">Your Rp 35m plan.</t>
  </si>
  <si>
    <t xml:space="preserve">am_start</t>
  </si>
  <si>
    <t xml:space="preserve">B2B sales push start month (and AM start, if hired)</t>
  </si>
  <si>
    <t xml:space="preserve">Founders start selling to LPS, OJK and banks. Must match a month label.</t>
  </si>
  <si>
    <t xml:space="preserve">sales_travel</t>
  </si>
  <si>
    <t xml:space="preserve">Sales travel and meetings (from sales start month)</t>
  </si>
  <si>
    <t xml:space="preserve">Industry estimate: 2 regional or bank HQ trips a month + meeting costs.</t>
  </si>
  <si>
    <t xml:space="preserve">pm_cost</t>
  </si>
  <si>
    <t xml:space="preserve">Project Manager salary</t>
  </si>
  <si>
    <t xml:space="preserve">pm_thr</t>
  </si>
  <si>
    <t xml:space="preserve">PM trigger: average B2B events per month (last 3 months) at or above</t>
  </si>
  <si>
    <t xml:space="preserve">Step rule: when the 3-month average reaches this, hire the PM next month. Once hired, the PM stays.</t>
  </si>
  <si>
    <t xml:space="preserve">adm2_thr</t>
  </si>
  <si>
    <t xml:space="preserve">Second admin trigger: invoices per month above</t>
  </si>
  <si>
    <t xml:space="preserve">invoices</t>
  </si>
  <si>
    <t xml:space="preserve">Step rule: invoicing on time protects the KPW payday cutoff.</t>
  </si>
  <si>
    <t xml:space="preserve">corp_inv</t>
  </si>
  <si>
    <t xml:space="preserve">Invoices per month from small corporate clients</t>
  </si>
  <si>
    <t xml:space="preserve">You have about 4 small clients, mostly quarterly: 4 / 3 per month.</t>
  </si>
  <si>
    <t xml:space="preserve">6. Coreitera and Theta (charges between your own companies)</t>
  </si>
  <si>
    <t xml:space="preserve">core_in_cogs</t>
  </si>
  <si>
    <t xml:space="preserve">Coreitera fee already inside the delivery costs above? (1 = yes)</t>
  </si>
  <si>
    <t xml:space="preserve">Assumed yes. If 0, the fee is added on top of event cost.</t>
  </si>
  <si>
    <t xml:space="preserve">core_fee</t>
  </si>
  <si>
    <t xml:space="preserve">Coreitera fee per assessment</t>
  </si>
  <si>
    <t xml:space="preserve">Rp m / participant</t>
  </si>
  <si>
    <t xml:space="preserve">Industry estimate for online B2B psychometric assessment in Indonesia: Rp 50k-150k. We use Rp 75k.</t>
  </si>
  <si>
    <t xml:space="preserve">pax_flag</t>
  </si>
  <si>
    <t xml:space="preserve">Participants per Flagship event</t>
  </si>
  <si>
    <t xml:space="preserve">pax_kpw</t>
  </si>
  <si>
    <t xml:space="preserve">Participants per KPW / LPS event</t>
  </si>
  <si>
    <t xml:space="preserve">pax_kcp</t>
  </si>
  <si>
    <t xml:space="preserve">Participants per KCP event</t>
  </si>
  <si>
    <t xml:space="preserve">pax_b2ce</t>
  </si>
  <si>
    <t xml:space="preserve">Participants per B2C event</t>
  </si>
  <si>
    <t xml:space="preserve">theta_fee</t>
  </si>
  <si>
    <t xml:space="preserve">Theta fee per counseling allocation</t>
  </si>
  <si>
    <t xml:space="preserve">Rp m / session</t>
  </si>
  <si>
    <t xml:space="preserve">Industry estimate for a platform fee per session. Shown as a memo only.</t>
  </si>
  <si>
    <t xml:space="preserve">eap_sessions</t>
  </si>
  <si>
    <t xml:space="preserve">Counseling sessions per EAP contract per month</t>
  </si>
  <si>
    <t xml:space="preserve">7. Customer acquisition (B2B)</t>
  </si>
  <si>
    <t xml:space="preserve">new_logos</t>
  </si>
  <si>
    <t xml:space="preserve">New B2B clients won in 2027 (LPS, OJK, banks)</t>
  </si>
  <si>
    <t xml:space="preserve">Your strategy: LPS and OJK, then banks such as BRI and Mandiri. Estimate: 2 regulators + 2 banks.</t>
  </si>
  <si>
    <t xml:space="preserve">8. Cash timing</t>
  </si>
  <si>
    <t xml:space="preserve">cash0</t>
  </si>
  <si>
    <t xml:space="preserve">Cash in bank at 1 Oct 2026</t>
  </si>
  <si>
    <t xml:space="preserve">You told us. Assumed free cash: no unpaid bills and no money owed to you.</t>
  </si>
  <si>
    <t xml:space="preserve">flag_s0</t>
  </si>
  <si>
    <t xml:space="preserve">BI central (Flagship): paid same month</t>
  </si>
  <si>
    <t xml:space="preserve">You said most clients pay the same month, never later than 60 days.</t>
  </si>
  <si>
    <t xml:space="preserve">flag_s30</t>
  </si>
  <si>
    <t xml:space="preserve">BI central (Flagship): paid after ~30 days</t>
  </si>
  <si>
    <t xml:space="preserve">As above.</t>
  </si>
  <si>
    <t xml:space="preserve">flag_s60</t>
  </si>
  <si>
    <t xml:space="preserve">BI central (Flagship): paid after ~60 days</t>
  </si>
  <si>
    <t xml:space="preserve">kpw_cut</t>
  </si>
  <si>
    <t xml:space="preserve">KPW / LPS: share of invoices sent before the payday cutoff</t>
  </si>
  <si>
    <t xml:space="preserve">Known rule: BI pays on the 1st; invoice before cutoff = paid that cycle, after = next month. Share is an estimate.</t>
  </si>
  <si>
    <t xml:space="preserve">bank_s0</t>
  </si>
  <si>
    <t xml:space="preserve">Banks (KCP events): paid same month</t>
  </si>
  <si>
    <t xml:space="preserve">No bank client yet, so we assume slower than BI.</t>
  </si>
  <si>
    <t xml:space="preserve">bank_s30</t>
  </si>
  <si>
    <t xml:space="preserve">Banks (KCP events): paid after ~30 days</t>
  </si>
  <si>
    <t xml:space="preserve">bank_s60</t>
  </si>
  <si>
    <t xml:space="preserve">Banks (KCP events): paid after ~60 days</t>
  </si>
  <si>
    <t xml:space="preserve">tax_rate</t>
  </si>
  <si>
    <t xml:space="preserve">Income tax on revenue (final tax, PP 55/2022)</t>
  </si>
  <si>
    <t xml:space="preserve">% of revenue</t>
  </si>
  <si>
    <t xml:space="preserve">Assumes the 0.5% small-business final tax and that prices exclude VAT. Paid the next month.</t>
  </si>
  <si>
    <t xml:space="preserve">9. Targets and concentration</t>
  </si>
  <si>
    <t xml:space="preserve">target_margin</t>
  </si>
  <si>
    <t xml:space="preserve">Target net profit margin for 2027</t>
  </si>
  <si>
    <t xml:space="preserve">Your goal is to 'look profitable'. 15% used until you set a number.</t>
  </si>
  <si>
    <t xml:space="preserve">bi_share_kpw</t>
  </si>
  <si>
    <t xml:space="preserve">Share of 'KPW and LPS' events that are BI (rest is LPS / OJK)</t>
  </si>
  <si>
    <t xml:space="preserve">BI is 70% of revenue today; LPS / OJK are new in 2027.</t>
  </si>
  <si>
    <t xml:space="preserve">10. Rate card - elite boutique pricing (used when price plan = 2)</t>
  </si>
  <si>
    <t xml:space="preserve">plan</t>
  </si>
  <si>
    <t xml:space="preserve">Active price plan (1 = current prices, 2 = new rate card)</t>
  </si>
  <si>
    <t xml:space="preserve">Switch to compare old and new prices.</t>
  </si>
  <si>
    <t xml:space="preserve">np_start</t>
  </si>
  <si>
    <t xml:space="preserve">New prices start month</t>
  </si>
  <si>
    <t xml:space="preserve">Q4 2026 work is already agreed at old prices. Must match a month label.</t>
  </si>
  <si>
    <t xml:space="preserve">np_flag</t>
  </si>
  <si>
    <t xml:space="preserve">New price: Flagship regulator ToT (3 days, training part)</t>
  </si>
  <si>
    <t xml:space="preserve">Rp m / program</t>
  </si>
  <si>
    <t xml:space="preserve">About 2x the SBM fee budget for 3 days (~Rp50m); regulators assumed to allow a bit more than SBM.</t>
  </si>
  <si>
    <t xml:space="preserve">np_kpw</t>
  </si>
  <si>
    <t xml:space="preserve">New price: KPW / LPS regional ToT (1 day, training part)</t>
  </si>
  <si>
    <t xml:space="preserve">Brings KPW to your 3x rule. About 1.9x the SBM fee budget for 1 day (~Rp12.6m).</t>
  </si>
  <si>
    <t xml:space="preserve">np_bumn</t>
  </si>
  <si>
    <t xml:space="preserve">New price: state-owned bank, per group per day</t>
  </si>
  <si>
    <t xml:space="preserve">Rp m / day</t>
  </si>
  <si>
    <t xml:space="preserve">About half of what big trainers charge banks (2-3x your old rate). Tender pressure keeps it below private banks.</t>
  </si>
  <si>
    <t xml:space="preserve">np_priv</t>
  </si>
  <si>
    <t xml:space="preserve">New price: private big bank, per group per day</t>
  </si>
  <si>
    <t xml:space="preserve">About 60% of the big-trainer rate: elite boutique = clearly cheaper than big firms, never the cheapest.</t>
  </si>
  <si>
    <t xml:space="preserve">priv_share</t>
  </si>
  <si>
    <t xml:space="preserve">Share of 2027 bank events with private banks</t>
  </si>
  <si>
    <t xml:space="preserve">Your plan starts with state banks; 1 in 4 bank events assumed private.</t>
  </si>
  <si>
    <t xml:space="preserve">assess_price</t>
  </si>
  <si>
    <t xml:space="preserve">Assessment and impact report, price per participant</t>
  </si>
  <si>
    <t xml:space="preserve">Sold as its own line (BI confirmed this is allowed). Pre- and post-assessment by Coreitera + impact report.</t>
  </si>
  <si>
    <t xml:space="preserve">as_flag</t>
  </si>
  <si>
    <t xml:space="preserve">Sell assessment with Flagship? (1 = yes)</t>
  </si>
  <si>
    <t xml:space="preserve">BI accepts it as a separate line.</t>
  </si>
  <si>
    <t xml:space="preserve">as_kpw</t>
  </si>
  <si>
    <t xml:space="preserve">Sell assessment with KPW / LPS? (1 = yes)</t>
  </si>
  <si>
    <t xml:space="preserve">as_kcp</t>
  </si>
  <si>
    <t xml:space="preserve">Sell assessment with bank events? (1 = yes)</t>
  </si>
  <si>
    <t xml:space="preserve">Banks have not been asked yet.</t>
  </si>
  <si>
    <t xml:space="preserve">bt_mult</t>
  </si>
  <si>
    <t xml:space="preserve">Big trainers charge banks this multiple of your old bank rate</t>
  </si>
  <si>
    <t xml:space="preserve">You said 2-3x; midpoint used.</t>
  </si>
  <si>
    <t xml:space="preserve">elite_up</t>
  </si>
  <si>
    <t xml:space="preserve">Elite package uplift over Signature package</t>
  </si>
  <si>
    <t xml:space="preserve">Elite adds a cascade licence and 3 months of trainer follow-up.</t>
  </si>
  <si>
    <t xml:space="preserve">vol_keep</t>
  </si>
  <si>
    <t xml:space="preserve">B2B volume kept after the price change</t>
  </si>
  <si>
    <t xml:space="preserve">100% = no client lost. Lower it to test the risk; see the volume-loss table on Rate_Card.</t>
  </si>
  <si>
    <t xml:space="preserve">11. Timing - when new sales really start (v15)</t>
  </si>
  <si>
    <t xml:space="preserve">pipe_on</t>
  </si>
  <si>
    <t xml:space="preserve">Pipeline-first timing? (1 = no new sales before the month below)</t>
  </si>
  <si>
    <t xml:space="preserve">Oct 2026 to Feb 2027 is used to pitch and sign. Existing EAP and counseling clients continue.</t>
  </si>
  <si>
    <t xml:space="preserve">sales_from</t>
  </si>
  <si>
    <t xml:space="preserve">First month new events are delivered</t>
  </si>
  <si>
    <t xml:space="preserve">Mar-27</t>
  </si>
  <si>
    <t xml:space="preserve">Must match a month label (e.g. Mar-27). Earlier months get no new B2B events.</t>
  </si>
  <si>
    <t xml:space="preserve">pipe_b2c</t>
  </si>
  <si>
    <t xml:space="preserve">Also stop B2C mass events before that month? (1 = yes)</t>
  </si>
  <si>
    <t xml:space="preserve">1 = the team focuses on pitching. 0 = keep public events running.</t>
  </si>
  <si>
    <t xml:space="preserve">12. Growth plan (v15) - pay is set month by month on the Pay_Plan sheet</t>
  </si>
  <si>
    <t xml:space="preserve">gp_on</t>
  </si>
  <si>
    <t xml:space="preserve">Growth plan switch (1 = on, 0 = v13 cost base)</t>
  </si>
  <si>
    <t xml:space="preserve">Turns on this section and the Pay_Plan sheet.</t>
  </si>
  <si>
    <t xml:space="preserve">oncost</t>
  </si>
  <si>
    <t xml:space="preserve">BPJS + THR on top of staff pay</t>
  </si>
  <si>
    <t xml:space="preserve">Required for employees even when the micro-business wage rule applies; confirm with a payroll provider.</t>
  </si>
  <si>
    <t xml:space="preserve">eap2_start</t>
  </si>
  <si>
    <t xml:space="preserve">New EAP contract 2 starts</t>
  </si>
  <si>
    <t xml:space="preserve">Each EAP contract: Rp15m a month, cost Rp5m. Signed during the pitching months.</t>
  </si>
  <si>
    <t xml:space="preserve">eap3_start</t>
  </si>
  <si>
    <t xml:space="preserve">New EAP contract 3 starts</t>
  </si>
  <si>
    <t xml:space="preserve">Jul-27</t>
  </si>
  <si>
    <t xml:space="preserve">Must match a month label.</t>
  </si>
  <si>
    <t xml:space="preserve">cof_cost</t>
  </si>
  <si>
    <t xml:space="preserve">Sales co-founder cash pay</t>
  </si>
  <si>
    <t xml:space="preserve">Plus shares that vest over 4 years.</t>
  </si>
  <si>
    <t xml:space="preserve">cof_start</t>
  </si>
  <si>
    <t xml:space="preserve">Sales co-founder starts</t>
  </si>
  <si>
    <t xml:space="preserve">Start only when a bank, OJK or LPS offer is open.</t>
  </si>
  <si>
    <t xml:space="preserve">bank_start</t>
  </si>
  <si>
    <t xml:space="preserve">Bank agreement: first training day</t>
  </si>
  <si>
    <t xml:space="preserve">Oct-27</t>
  </si>
  <si>
    <t xml:space="preserve">Bank days are priced and costed as bank events (Rate_Card).</t>
  </si>
  <si>
    <t xml:space="preserve">bank_days</t>
  </si>
  <si>
    <t xml:space="preserve">Bank training days per month from that month</t>
  </si>
  <si>
    <t xml:space="preserve">Set 0 to test 'no bank deal'.</t>
  </si>
  <si>
    <t xml:space="preserve">13. Operations (COO review, 5 Oct 2026)</t>
  </si>
  <si>
    <t xml:space="preserve">pm_fee</t>
  </si>
  <si>
    <t xml:space="preserve">Project manager fee per B2B project</t>
  </si>
  <si>
    <t xml:space="preserve">Rp m / project</t>
  </si>
  <si>
    <t xml:space="preserve">She is paid per project, not a salary: usually Rp2m per project (founders, 5 Oct 2026).</t>
  </si>
  <si>
    <t xml:space="preserve">pm_cap</t>
  </si>
  <si>
    <t xml:space="preserve">Projects one project manager can run in a month</t>
  </si>
  <si>
    <t xml:space="preserve">projects</t>
  </si>
  <si>
    <t xml:space="preserve">Founders: she handles 1 or 2 projects a month. More projects = a second (standby) project manager.</t>
  </si>
  <si>
    <t xml:space="preserve">cert_lead</t>
  </si>
  <si>
    <t xml:space="preserve">Certify new trainers this many months before they are needed</t>
  </si>
  <si>
    <t xml:space="preserve">Certification takes 1-2 months (observe, co-facilitate, lead). 0 = certify in the month of need (v13 logic).</t>
  </si>
  <si>
    <t xml:space="preserve">dp_flag</t>
  </si>
  <si>
    <t xml:space="preserve">Down payment on Flagship programs, paid the month before</t>
  </si>
  <si>
    <t xml:space="preserve">Taken from the same-month share. Test 30% in the scenario runs; ask BI whether a down payment or staged payment is possible.</t>
  </si>
  <si>
    <t xml:space="preserve">adm_base</t>
  </si>
  <si>
    <t xml:space="preserve">Admin: base pay a month (paid for days she comes in)</t>
  </si>
  <si>
    <t xml:space="preserve">Kia, 5 Oct 2026: Rp1.8m if she comes in.</t>
  </si>
  <si>
    <t xml:space="preserve">adm_fee</t>
  </si>
  <si>
    <t xml:space="preserve">Admin: fee per client handled</t>
  </si>
  <si>
    <t xml:space="preserve">Rp17,000 per client (counseling clients + EAP sessions).</t>
  </si>
  <si>
    <t xml:space="preserve">adm_bonus</t>
  </si>
  <si>
    <t xml:space="preserve">Admin: monthly bonus when she handles 5 clients a week</t>
  </si>
  <si>
    <t xml:space="preserve">Rp155,000 a week x 4 weeks.</t>
  </si>
  <si>
    <t xml:space="preserve">adm_thr</t>
  </si>
  <si>
    <t xml:space="preserve">Admin: clients a month that earn the bonus</t>
  </si>
  <si>
    <t xml:space="preserve">5 clients a week x 4 weeks.</t>
  </si>
  <si>
    <t xml:space="preserve">ump</t>
  </si>
  <si>
    <t xml:space="preserve">Jakarta minimum wage (fair-pay floor)</t>
  </si>
  <si>
    <t xml:space="preserve">UMP DKI 2026.</t>
  </si>
  <si>
    <t xml:space="preserve">perf1</t>
  </si>
  <si>
    <t xml:space="preserve">Pay step 1 unlocks when average sales of the last 3 months reach</t>
  </si>
  <si>
    <t xml:space="preserve">Founders, 5 Oct 2026: targets first, then pay rises. Social media Rp3.0m, lead marketing Rp4.0m.</t>
  </si>
  <si>
    <t xml:space="preserve">lp_cost</t>
  </si>
  <si>
    <t xml:space="preserve">Lead Partnership (non-psychologist) pay</t>
  </si>
  <si>
    <t xml:space="preserve">Kia, 5 Oct 2026: no full-time psychologist for now; a non-psychologist Lead Partnership manages EAP clients and brings clients (no conflict of interest).</t>
  </si>
  <si>
    <t xml:space="preserve">lp_start</t>
  </si>
  <si>
    <t xml:space="preserve">Lead Partnership starts</t>
  </si>
  <si>
    <t xml:space="preserve">When 3 EAP contracts run.</t>
  </si>
  <si>
    <t xml:space="preserve">perf2</t>
  </si>
  <si>
    <t xml:space="preserve">Pay step 2 unlocks at average sales of</t>
  </si>
  <si>
    <t xml:space="preserve">Social media Rp4.5m; admin gets at least the minimum wage.</t>
  </si>
  <si>
    <t xml:space="preserve">perf3</t>
  </si>
  <si>
    <t xml:space="preserve">Pay step 3 unlocks at average sales of</t>
  </si>
  <si>
    <t xml:space="preserve">Social media at the minimum wage.</t>
  </si>
  <si>
    <t xml:space="preserve">b2c_extra</t>
  </si>
  <si>
    <t xml:space="preserve">Extra public event (cash-savings step 5)</t>
  </si>
  <si>
    <t xml:space="preserve">One public event in the pitch months; the B2C funnel itself is on the B2C sheet.</t>
  </si>
  <si>
    <t xml:space="preserve">14. v16 (16 Oct 2026): EAP as the main channel, pricing scheme, schools, latest B2C prices</t>
  </si>
  <si>
    <t xml:space="preserve">v16_on</t>
  </si>
  <si>
    <t xml:space="preserve">v16 changes on (1 = yes, 0 = exactly v15)</t>
  </si>
  <si>
    <t xml:space="preserve">Turns on every v16 line below.</t>
  </si>
  <si>
    <t xml:space="preserve">b2c_p_new</t>
  </si>
  <si>
    <t xml:space="preserve">B2C counseling: average price paid per session (latest price list)</t>
  </si>
  <si>
    <t xml:space="preserve">B2C_Pricing sheet: tier prices x tier mix x online share.</t>
  </si>
  <si>
    <t xml:space="preserve">b2c_f_new</t>
  </si>
  <si>
    <t xml:space="preserve">B2C counseling: psychologist fee + platform cost, % of price</t>
  </si>
  <si>
    <t xml:space="preserve">Profit share 60/65/65/70% by tier + Rp50k platform cost per session.</t>
  </si>
  <si>
    <t xml:space="preserve">b2c_p_old</t>
  </si>
  <si>
    <t xml:space="preserve">v15 B2C counseling price (kept for the v15 check)</t>
  </si>
  <si>
    <t xml:space="preserve">v10 file.</t>
  </si>
  <si>
    <t xml:space="preserve">b2c_f_old</t>
  </si>
  <si>
    <t xml:space="preserve">v15 B2C counseling cost share (kept for the v15 check)</t>
  </si>
  <si>
    <t xml:space="preserve">b2c_pack</t>
  </si>
  <si>
    <t xml:space="preserve">Share of B2C clients on the 4-session package (10% off)</t>
  </si>
  <si>
    <t xml:space="preserve">0 = price list as is. Test with more sessions per client (B2C row 8).</t>
  </si>
  <si>
    <t xml:space="preserve">ev_p_new</t>
  </si>
  <si>
    <t xml:space="preserve">B2C public event revenue (Lyfe at 30s format: Rp259k ticket x 16 people)</t>
  </si>
  <si>
    <t xml:space="preserve">Lyfe at 30s final proposal: 12-20 people at Rp259k.</t>
  </si>
  <si>
    <t xml:space="preserve">ev_c_new</t>
  </si>
  <si>
    <t xml:space="preserve">B2C public event cost (Lyfe RAB at 16 people)</t>
  </si>
  <si>
    <t xml:space="preserve">Psychologist, kit, F&amp;B, ads cap.</t>
  </si>
  <si>
    <t xml:space="preserve">ev_p_old</t>
  </si>
  <si>
    <t xml:space="preserve">v15 B2C mass event revenue (kept for the v15 check)</t>
  </si>
  <si>
    <t xml:space="preserve">v10 file: 50 people.</t>
  </si>
  <si>
    <t xml:space="preserve">ev_c_old</t>
  </si>
  <si>
    <t xml:space="preserve">v15 B2C mass event cost (kept for the v15 check)</t>
  </si>
  <si>
    <t xml:space="preserve">lyfe_m</t>
  </si>
  <si>
    <t xml:space="preserve">Lyfe at 30s collab event (signed)</t>
  </si>
  <si>
    <t xml:space="preserve">Oct-26</t>
  </si>
  <si>
    <t xml:space="preserve">Sat 31 Oct 2026, Kanteen n Co.</t>
  </si>
  <si>
    <t xml:space="preserve">kpw_price</t>
  </si>
  <si>
    <t xml:space="preserve">BI KPw EAP package: average price (3 months)</t>
  </si>
  <si>
    <t xml:space="preserve">Rp m / package</t>
  </si>
  <si>
    <t xml:space="preserve">Channels sheet: BI Sibolga v4 packages x mix.</t>
  </si>
  <si>
    <t xml:space="preserve">kpw_cost</t>
  </si>
  <si>
    <t xml:space="preserve">BI KPw EAP package: average cost, every session paid</t>
  </si>
  <si>
    <t xml:space="preserve">Rp350k honor + Rp35k admin per session, MHCU, report, contract.</t>
  </si>
  <si>
    <t xml:space="preserve">kpw_sess</t>
  </si>
  <si>
    <t xml:space="preserve">BI KPw EAP package: counseling sessions</t>
  </si>
  <si>
    <t xml:space="preserve">Delivered over 3 months.</t>
  </si>
  <si>
    <t xml:space="preserve">commit_s</t>
  </si>
  <si>
    <t xml:space="preserve">Commit-2: share of buyers who buy two terms upfront</t>
  </si>
  <si>
    <t xml:space="preserve">Pricing_Scheme sheet. Applies to KPw packages in the model.</t>
  </si>
  <si>
    <t xml:space="preserve">commit_d</t>
  </si>
  <si>
    <t xml:space="preserve">Commit-2: cash discount on the overall price of the two terms</t>
  </si>
  <si>
    <t xml:space="preserve">Plus 2 free penyuluhan (bonus below). 10% only pays when the package earns 35%+ (Pricing_Scheme).</t>
  </si>
  <si>
    <t xml:space="preserve">bonus_c</t>
  </si>
  <si>
    <t xml:space="preserve">Commit-2 bonus: TJ cost of 2 free 30-min penyuluhan</t>
  </si>
  <si>
    <t xml:space="preserve">Rp m / deal</t>
  </si>
  <si>
    <t xml:space="preserve">BI Sibolga v4: Rp100k materials each, hosted in-house.</t>
  </si>
  <si>
    <t xml:space="preserve">bonus_v</t>
  </si>
  <si>
    <t xml:space="preserve">Commit-2 bonus: value to the client of those 2 penyuluhan</t>
  </si>
  <si>
    <t xml:space="preserve">BI Sibolga v4 values one penyuluhan at Rp1m.</t>
  </si>
  <si>
    <t xml:space="preserve">renew_r</t>
  </si>
  <si>
    <t xml:space="preserve">Renewal without Commit-2: share who buy a second term later at full price</t>
  </si>
  <si>
    <t xml:space="preserve">Replace with real renewals after the first 3 offices.</t>
  </si>
  <si>
    <t xml:space="preserve">addon</t>
  </si>
  <si>
    <t xml:space="preserve">Paid add-on counseling a month per active KPw package (B2C price)</t>
  </si>
  <si>
    <t xml:space="preserve">Staff and family who pay for more sessions after the quota.</t>
  </si>
  <si>
    <t xml:space="preserve">upsell</t>
  </si>
  <si>
    <t xml:space="preserve">Share of new EAP clients who buy one training within 3 months</t>
  </si>
  <si>
    <t xml:space="preserve">Webinar or penyuluhan inside the package opens the training sale.</t>
  </si>
  <si>
    <t xml:space="preserve">eap_bi</t>
  </si>
  <si>
    <t xml:space="preserve">Existing EAP contract is with BI? (1 = yes)</t>
  </si>
  <si>
    <t xml:space="preserve">For the BI share.</t>
  </si>
  <si>
    <t xml:space="preserve">lps_start</t>
  </si>
  <si>
    <t xml:space="preserve">LPS / OJK programs: first month</t>
  </si>
  <si>
    <t xml:space="preserve">Their 2027 budget is set; mid-year revisions are the realistic window.</t>
  </si>
  <si>
    <t xml:space="preserve">lps_rate</t>
  </si>
  <si>
    <t xml:space="preserve">LPS / OJK programs a month from then</t>
  </si>
  <si>
    <t xml:space="preserve">About one a quarter, priced as a regional ToT.</t>
  </si>
  <si>
    <t xml:space="preserve">sch_price</t>
  </si>
  <si>
    <t xml:space="preserve">School test (Tes Minat Bakat, group format): price per student</t>
  </si>
  <si>
    <t xml:space="preserve">Rp m / student</t>
  </si>
  <si>
    <t xml:space="preserve">Individual test is Rp1.625m; group format with short individual report.</t>
  </si>
  <si>
    <t xml:space="preserve">sch_tool</t>
  </si>
  <si>
    <t xml:space="preserve">School test: test-tool cost per student</t>
  </si>
  <si>
    <t xml:space="preserve">MHCU tool cost used as a proxy.</t>
  </si>
  <si>
    <t xml:space="preserve">sch_share</t>
  </si>
  <si>
    <t xml:space="preserve">School test: assessor share of (price - tool cost)</t>
  </si>
  <si>
    <t xml:space="preserve">Pricing file: tests 50:50.</t>
  </si>
  <si>
    <t xml:space="preserve">sch_pax</t>
  </si>
  <si>
    <t xml:space="preserve">School test: students per school</t>
  </si>
  <si>
    <t xml:space="preserve">About 2-3 classes of one grade.</t>
  </si>
  <si>
    <t xml:space="preserve">sch_up</t>
  </si>
  <si>
    <t xml:space="preserve">School test: students who book a 1:1 follow-up session (B2C price)</t>
  </si>
  <si>
    <t xml:space="preserve">Feeds B2C sessions.</t>
  </si>
  <si>
    <t xml:space="preserve">sch_s0</t>
  </si>
  <si>
    <t xml:space="preserve">School test: share paid in the month of the test (rest next month)</t>
  </si>
  <si>
    <t xml:space="preserve">Parents or school.</t>
  </si>
  <si>
    <t xml:space="preserve">Pay plan: gross pay a month for every role (Rp million). Blue cells are your decisions; change them freely.</t>
  </si>
  <si>
    <t xml:space="preserve">Decided 5 Oct 2026: BPJS + THR from Jan-27; social media up in steps; admin to the minimum wage from Jul-27; lead marketing capped at Rp4m in 2027 (KPI: 10k IG followers) with Rp3.5m of her budget moved to ads; admin paid per client (Rp1.8m base + Rp17k a client + Rp620k bonus); pay rises for admin, social media and lead marketing unlock when sales targets are met (rows 27-30), not by date; psychologist stays part-time (no full-time hire for now); a non-psychologist Lead Partnership from Oct-27; IG ads today Rp1m (software budget) + Rp3.5m moved from lead marketing; founders: only one is paid today (Rp10m); Rp25m from Mar-27 keeps room for the second founder, whose start is still to decide.</t>
  </si>
  <si>
    <t xml:space="preserve">Gross pay a month (blue = your input)</t>
  </si>
  <si>
    <t xml:space="preserve">Admin (formula: base + fee per client + weekly bonus; minimum wage once step 2 is unlocked)</t>
  </si>
  <si>
    <t xml:space="preserve">Social media specialist (formula: 1.5, then 3.0 / 4.5 / minimum wage at pay steps 1 / 2 / 3)</t>
  </si>
  <si>
    <t xml:space="preserve">Lead marketing (formula: 2.5, then 4.0 cap at pay step 1; KPI 10k IG followers; has shares)</t>
  </si>
  <si>
    <t xml:space="preserve">Psychologists, paid part-time: PIC now + 1 more from Jan-27 (no full-time hire in 2027)</t>
  </si>
  <si>
    <t xml:space="preserve">Interns, not Magang (2 people)</t>
  </si>
  <si>
    <t xml:space="preserve">Founders: Rp10m now (one founder paid); Rp25m from Mar-27 = room for both (second founder's start: to decide)</t>
  </si>
  <si>
    <t xml:space="preserve">Extra IG ads (Rp3.5m moved from lead marketing; Rp1m is already in the software budget)</t>
  </si>
  <si>
    <t xml:space="preserve">Lead Partnership, non-psychologist (formula: from Inputs)</t>
  </si>
  <si>
    <t xml:space="preserve">BPJS + THR paid on staff pay? (1 = yes)</t>
  </si>
  <si>
    <t xml:space="preserve">Team cost incl. BPJS and THR (staff + psychologist + interns)</t>
  </si>
  <si>
    <t xml:space="preserve">Total pay plan (team + founders + extra ads)</t>
  </si>
  <si>
    <t xml:space="preserve">Running cost by group: all fixed costs a month (Rp million)</t>
  </si>
  <si>
    <t xml:space="preserve">Founders</t>
  </si>
  <si>
    <t xml:space="preserve">Team: staff, psychologist, interns, BPJS, THR</t>
  </si>
  <si>
    <t xml:space="preserve">Marketing: software and IG ads</t>
  </si>
  <si>
    <t xml:space="preserve">Office and accountant</t>
  </si>
  <si>
    <t xml:space="preserve">Sales and delivery support: co-founder, travel, project manager, 2nd admin, trainer training</t>
  </si>
  <si>
    <t xml:space="preserve">Total running cost (equals Capacity_OPEX total)</t>
  </si>
  <si>
    <t xml:space="preserve">Check: difference to Capacity_OPEX total (must be 0)</t>
  </si>
  <si>
    <t xml:space="preserve">Pay steps: unlocked by sales, not by date (founders, 5 Oct 2026)</t>
  </si>
  <si>
    <t xml:space="preserve">Average sales of the previous 3 months (Rp m)</t>
  </si>
  <si>
    <t xml:space="preserve">Highest so far (a pay step never goes back down)</t>
  </si>
  <si>
    <t xml:space="preserve">Pay step unlocked this month (0 to 3)</t>
  </si>
  <si>
    <t xml:space="preserve">Event volume plan (from your v10 file, moved to Oct 2026 - Dec 2027)</t>
  </si>
  <si>
    <t xml:space="preserve">Rp million unless stated. Q4 2026 and FY 2027 columns are totals (or averages / peaks where stated).</t>
  </si>
  <si>
    <t xml:space="preserve">Nov-26</t>
  </si>
  <si>
    <t xml:space="preserve">Dec-26</t>
  </si>
  <si>
    <t xml:space="preserve">May-27</t>
  </si>
  <si>
    <t xml:space="preserve">Jun-27</t>
  </si>
  <si>
    <t xml:space="preserve">Aug-27</t>
  </si>
  <si>
    <t xml:space="preserve">Sep-27</t>
  </si>
  <si>
    <t xml:space="preserve">Nov-27</t>
  </si>
  <si>
    <t xml:space="preserve">Dec-27</t>
  </si>
  <si>
    <t xml:space="preserve">Timeline helpers</t>
  </si>
  <si>
    <t xml:space="preserve">Month number</t>
  </si>
  <si>
    <t xml:space="preserve">Is 2027? (1 = yes)</t>
  </si>
  <si>
    <t xml:space="preserve">Is Jan-Jun 2027? (1 = yes)</t>
  </si>
  <si>
    <t xml:space="preserve">Scenario switch: new B2B events allowed (1 = yes)</t>
  </si>
  <si>
    <t xml:space="preserve">Scenario factor: BI volume</t>
  </si>
  <si>
    <t xml:space="preserve">New prices active this month? (1 = yes)</t>
  </si>
  <si>
    <t xml:space="preserve">Price plan factor: B2B volume kept</t>
  </si>
  <si>
    <t xml:space="preserve">Base plan volumes (blue = your v10 plan; edit here)</t>
  </si>
  <si>
    <t xml:space="preserve">Flagship regulator ToT</t>
  </si>
  <si>
    <t xml:space="preserve">KPW / LPS regional ToT</t>
  </si>
  <si>
    <t xml:space="preserve">Bank KCP events</t>
  </si>
  <si>
    <t xml:space="preserve">Bank EAP contracts active</t>
  </si>
  <si>
    <t xml:space="preserve">B2C mass events</t>
  </si>
  <si>
    <t xml:space="preserve">B2C counseling clients</t>
  </si>
  <si>
    <t xml:space="preserve">Volumes used in the model (after scenario)</t>
  </si>
  <si>
    <t xml:space="preserve">Bank KCP events (incl. growth-plan bank days)</t>
  </si>
  <si>
    <t xml:space="preserve">Bank EAP contracts active (existing + growth plan)</t>
  </si>
  <si>
    <t xml:space="preserve">B2C counseling sessions (B2C funnel sheet when the growth plan is on)</t>
  </si>
  <si>
    <t xml:space="preserve">Total B2B events (Flagship + KPW/LPS + KCP)</t>
  </si>
  <si>
    <t xml:space="preserve">Notes: v15 adds the timing switch and the growth plan (Inputs sections 11 and 12). v16 adds the EAP channel, LPS / OJK and schools (rows 38-50, Inputs section 14, Channels sheet).</t>
  </si>
  <si>
    <t xml:space="preserve">Timing and growth plan (v15)</t>
  </si>
  <si>
    <t xml:space="preserve">Pipeline gap: no new sales yet (1 = yes)</t>
  </si>
  <si>
    <t xml:space="preserve">New EAP contracts active (growth plan)</t>
  </si>
  <si>
    <t xml:space="preserve">Bank training days (growth plan)</t>
  </si>
  <si>
    <t xml:space="preserve">v16: EAP channel, LPS / OJK, schools</t>
  </si>
  <si>
    <t xml:space="preserve">New BI KPw EAP packages (new offices)</t>
  </si>
  <si>
    <t xml:space="preserve">Commit-2 second terms (bought upfront with the first)</t>
  </si>
  <si>
    <t xml:space="preserve">Renewals at full price (no Commit-2)</t>
  </si>
  <si>
    <t xml:space="preserve">Active BI KPw packages (3 months each)</t>
  </si>
  <si>
    <t xml:space="preserve">BI KPw counseling sessions delivered</t>
  </si>
  <si>
    <t xml:space="preserve">Trainings sold to EAP clients: BI KPw</t>
  </si>
  <si>
    <t xml:space="preserve">Trainings sold to EAP clients: new enterprise contracts</t>
  </si>
  <si>
    <t xml:space="preserve">LPS / OJK programs (secondary target)</t>
  </si>
  <si>
    <t xml:space="preserve">Schools tested</t>
  </si>
  <si>
    <t xml:space="preserve">Paid counseling through channels (KPw add-ons + school follow-ups)</t>
  </si>
  <si>
    <t xml:space="preserve">BI KPw package value signed this month (Rp m)</t>
  </si>
  <si>
    <t xml:space="preserve">Pillar 1 - Unit economics and B2B customer acquisition cost (Rp million)</t>
  </si>
  <si>
    <t xml:space="preserve">Product</t>
  </si>
  <si>
    <t xml:space="preserve">Extra travel (if you pay)</t>
  </si>
  <si>
    <t xml:space="preserve">Coreitera fee (assessment cost)</t>
  </si>
  <si>
    <t xml:space="preserve">Total delivery cost</t>
  </si>
  <si>
    <t xml:space="preserve">Contribution (profit per event)</t>
  </si>
  <si>
    <t xml:space="preserve">Contribution %</t>
  </si>
  <si>
    <t xml:space="preserve">Price / external cost</t>
  </si>
  <si>
    <t xml:space="preserve">Meets your 3x rule?</t>
  </si>
  <si>
    <t xml:space="preserve">Handler-days</t>
  </si>
  <si>
    <t xml:space="preserve">Contribution per handler-day</t>
  </si>
  <si>
    <t xml:space="preserve">Coreitera revenue per event (memo)</t>
  </si>
  <si>
    <t xml:space="preserve">Old price (before new prices start)</t>
  </si>
  <si>
    <t xml:space="preserve">Old delivery cost</t>
  </si>
  <si>
    <t xml:space="preserve">Bank KCP event</t>
  </si>
  <si>
    <t xml:space="preserve">Bank EAP (per month)</t>
  </si>
  <si>
    <t xml:space="preserve">B2B customer acquisition cost (CAC)</t>
  </si>
  <si>
    <t xml:space="preserve">Sales cost per year (sales travel + Account Manager if hired; founder time not costed)</t>
  </si>
  <si>
    <t xml:space="preserve">New B2B clients won per year</t>
  </si>
  <si>
    <t xml:space="preserve">CAC: cost to win one new B2B client</t>
  </si>
  <si>
    <t xml:space="preserve">Events needed to pay back CAC: Flagship</t>
  </si>
  <si>
    <t xml:space="preserve">Events needed to pay back CAC: KPW / LPS</t>
  </si>
  <si>
    <t xml:space="preserve">Events needed to pay back CAC: Bank KCP</t>
  </si>
  <si>
    <t xml:space="preserve">Months of EAP needed to pay back CAC</t>
  </si>
  <si>
    <t xml:space="preserve">How to read: Contribution = price minus everything you pay to deliver that one event. It is what is left to pay fixed costs.</t>
  </si>
  <si>
    <t xml:space="preserve">Your pricing rule is price at least 3x the delivery cost paid outside the group (Coreitera fees stay inside). Rows marked 'No' break that rule.</t>
  </si>
  <si>
    <t xml:space="preserve">CAC counts only direct sales spend. Founder time is not costed here because founders are paid a fixed salary.</t>
  </si>
  <si>
    <t xml:space="preserve">Coreitera revenue per event is a memo: it is money paid between your own companies, so it cancels out in the combined profit.</t>
  </si>
  <si>
    <t xml:space="preserve">Rate card - elite boutique pricing by client tier (Rp million)</t>
  </si>
  <si>
    <t xml:space="preserve">Rule: price close to the buyer's ceiling for regulators, and against the big-trainer alternative for banks. Never below 3x delivery cost. Prices here always show the new rate card, whatever the active price plan.</t>
  </si>
  <si>
    <t xml:space="preserve">Tier and product</t>
  </si>
  <si>
    <t xml:space="preserve">What caps the price</t>
  </si>
  <si>
    <t xml:space="preserve">Training price</t>
  </si>
  <si>
    <t xml:space="preserve">Days</t>
  </si>
  <si>
    <t xml:space="preserve">Price per day</t>
  </si>
  <si>
    <t xml:space="preserve">Assessment per participant</t>
  </si>
  <si>
    <t xml:space="preserve">Participants</t>
  </si>
  <si>
    <t xml:space="preserve">Package price (training + assessment)</t>
  </si>
  <si>
    <t xml:space="preserve">External delivery cost (excl. Coreitera)</t>
  </si>
  <si>
    <t xml:space="preserve">Meets 3x?</t>
  </si>
  <si>
    <t xml:space="preserve">Per day vs big-trainer rate</t>
  </si>
  <si>
    <t xml:space="preserve">Best contract shape</t>
  </si>
  <si>
    <t xml:space="preserve">Tier 1 regulator - Flagship ToT (BI, OJK, LPS)</t>
  </si>
  <si>
    <t xml:space="preserve">Budget ceiling per activity; past contracts set the anchor</t>
  </si>
  <si>
    <t xml:space="preserve">Yearly framework contract with central procurement</t>
  </si>
  <si>
    <t xml:space="preserve">Tier 1 regulator - Regional ToT (BI KPW, LPS)</t>
  </si>
  <si>
    <t xml:space="preserve">Budget ceiling per activity</t>
  </si>
  <si>
    <t xml:space="preserve">Framework + work order (SPK) per office</t>
  </si>
  <si>
    <t xml:space="preserve">State-owned bank (BRI, Mandiri, BNI, BTN)</t>
  </si>
  <si>
    <t xml:space="preserve">Vendor tender and price competition</t>
  </si>
  <si>
    <t xml:space="preserve">Multi-branch yearly framework (10+ groups), 30% down payment</t>
  </si>
  <si>
    <t xml:space="preserve">Private big bank (BCA and others)</t>
  </si>
  <si>
    <t xml:space="preserve">Value vs big trainers (2-3x your old rate)</t>
  </si>
  <si>
    <t xml:space="preserve">Annual learning partnership + EAP priced per employee</t>
  </si>
  <si>
    <t xml:space="preserve">Reference: big-trainer day rate charged to banks</t>
  </si>
  <si>
    <t xml:space="preserve">Your old bank rate x the multiple you gave (2-3x, midpoint).</t>
  </si>
  <si>
    <t xml:space="preserve">Bank packages (good / better / best) - per group per day</t>
  </si>
  <si>
    <t xml:space="preserve">Package</t>
  </si>
  <si>
    <t xml:space="preserve">What is included</t>
  </si>
  <si>
    <t xml:space="preserve">Private bank</t>
  </si>
  <si>
    <t xml:space="preserve">Essential</t>
  </si>
  <si>
    <t xml:space="preserve">Training day only</t>
  </si>
  <si>
    <t xml:space="preserve">Signature (lead offer)</t>
  </si>
  <si>
    <t xml:space="preserve">Training + pre/post assessment + impact report</t>
  </si>
  <si>
    <t xml:space="preserve">Elite</t>
  </si>
  <si>
    <t xml:space="preserve">Signature + cascade licence for trainers + 3 months follow-up</t>
  </si>
  <si>
    <t xml:space="preserve">Volume-loss test: how many events can you lose and still earn more?</t>
  </si>
  <si>
    <t xml:space="preserve">Profit per event, old price</t>
  </si>
  <si>
    <t xml:space="preserve">Profit per event, new package</t>
  </si>
  <si>
    <t xml:space="preserve">Max share of events you can lose</t>
  </si>
  <si>
    <t xml:space="preserve">Meaning</t>
  </si>
  <si>
    <t xml:space="preserve">Flagship ToT</t>
  </si>
  <si>
    <t xml:space="preserve">KPW / LPS ToT</t>
  </si>
  <si>
    <t xml:space="preserve">Bank event (state-owned)</t>
  </si>
  <si>
    <t xml:space="preserve">Bank event (private)</t>
  </si>
  <si>
    <t xml:space="preserve">Pricing rules (all tiers)</t>
  </si>
  <si>
    <t xml:space="preserve">1. Price units: per group per day (training), per participant (assessment), per employee per month (EAP), per year (cascade licence). Never one lump sum.</t>
  </si>
  <si>
    <t xml:space="preserve">2. Floor: never below 3x the delivery cost paid outside the group. The Coreitera fee is excluded because it stays inside your own companies.</t>
  </si>
  <si>
    <t xml:space="preserve">3. Pilot discount: at most 20%, once per client, recorded as a sales cost, and tied to a follow-on contract.</t>
  </si>
  <si>
    <t xml:space="preserve">4. Volume discount: 5% for 5+ groups a year, 10% for 10+ groups. Never more than 10%.</t>
  </si>
  <si>
    <t xml:space="preserve">5. Travel and venue: paid by the client, or billed at cost plus 10%.</t>
  </si>
  <si>
    <t xml:space="preserve">6. Payment: 30% down payment for bank contracts above Rp100m. Regulators keep current terms.</t>
  </si>
  <si>
    <t xml:space="preserve">7. Regulators: never raise the price of an old item. Add new items (assessment, licence, follow-up), which get a fresh budget ceiling.</t>
  </si>
  <si>
    <t xml:space="preserve">8. Elite boutique position: always clearly below big trainers, never the cheapest. Compete on more services and a measured result.</t>
  </si>
  <si>
    <t xml:space="preserve">Pricing scheme: a small intro, the list price, and Commit-2 (two terms bought upfront, lower overall price)</t>
  </si>
  <si>
    <t xml:space="preserve">First principle: a discount is worth giving only if it buys something worth more than it costs: a second sale we would otherwise lose, cash earlier, and one less sales cycle. Rp million.</t>
  </si>
  <si>
    <t xml:space="preserve">Scheme inputs (from Inputs)</t>
  </si>
  <si>
    <t xml:space="preserve">Commit-2 discount on the overall price</t>
  </si>
  <si>
    <t xml:space="preserve">Chance a buyer comes back for a second term without Commit-2 (renewal)</t>
  </si>
  <si>
    <t xml:space="preserve">Commit-2 bonus: 2 free penyuluhan, TJ cost / value to client</t>
  </si>
  <si>
    <t xml:space="preserve">Intro offer (small scope, full unit price)</t>
  </si>
  <si>
    <t xml:space="preserve">Intro price</t>
  </si>
  <si>
    <t xml:space="preserve">List price (one term or event)</t>
  </si>
  <si>
    <t xml:space="preserve">Commit-2 price (two terms)</t>
  </si>
  <si>
    <t xml:space="preserve">Client saves (cash + bonus value)</t>
  </si>
  <si>
    <t xml:space="preserve">Profit: one term at list</t>
  </si>
  <si>
    <t xml:space="preserve">Profit: Commit-2 (two terms, after bonus cost)</t>
  </si>
  <si>
    <t xml:space="preserve">Break-even: Commit-2 wins if renewal is below</t>
  </si>
  <si>
    <t xml:space="preserve">Largest cash discount that still wins</t>
  </si>
  <si>
    <t xml:space="preserve">Verdict</t>
  </si>
  <si>
    <t xml:space="preserve">BI KPw EAP package (3 months)</t>
  </si>
  <si>
    <t xml:space="preserve">Sapa: 15 sessions, no screening</t>
  </si>
  <si>
    <t xml:space="preserve">Regional ToT (BI KPw, LPS, OJK)</t>
  </si>
  <si>
    <t xml:space="preserve">2-hour penyuluhan or webinar for staff</t>
  </si>
  <si>
    <t xml:space="preserve">State bank training day</t>
  </si>
  <si>
    <t xml:space="preserve">Half-day workshop for one branch</t>
  </si>
  <si>
    <t xml:space="preserve">Enterprise EAP (6 months)</t>
  </si>
  <si>
    <t xml:space="preserve">3-month pilot, same monthly price</t>
  </si>
  <si>
    <t xml:space="preserve">School test (one school, one grade)</t>
  </si>
  <si>
    <t xml:space="preserve">One class of 30 students</t>
  </si>
  <si>
    <t xml:space="preserve">Flagship ToT (BI head office)</t>
  </si>
  <si>
    <t xml:space="preserve">None: sell on the past contract</t>
  </si>
  <si>
    <t xml:space="preserve">Rules for every offer:</t>
  </si>
  <si>
    <t xml:space="preserve">1. Intro = smaller scope at the full unit price, never a lower unit price. BI and other regulators will not accept a price rise on an item they bought before (Rate_Card rule 7), so a cheap unit price becomes the permanent price.</t>
  </si>
  <si>
    <t xml:space="preserve">2. The intro fee is credited to Commit-2 if the client signs within 60 days. The intro is a step to the bigger sale.</t>
  </si>
  <si>
    <t xml:space="preserve">3. Commit-2 = two terms (or two events) in one SPK, both dates fixed, 50% paid at signing. Give 'cheaper overall' as 5% off + 2 free penyuluhan (the client sees about 11% of value; TJ gives about 6%). Never above column K.</t>
  </si>
  <si>
    <t xml:space="preserve">4. Floor: after the discount each term must still earn at least 30% (EAP) or 3x the external cost (training).</t>
  </si>
  <si>
    <t xml:space="preserve">5. BI head office: no Commit discount; ask a 30% down payment. Regional offices: Commit-2 on packages is fine (one office, one budget year).</t>
  </si>
  <si>
    <t xml:space="preserve">6. B2C: the entry price is the Tier 1-2 session (Rp500k online). The 4-session package (10% off) is the B2C Commit: offer it after the first session (Inputs b2c_pack).</t>
  </si>
  <si>
    <t xml:space="preserve">How to read column J: if fewer buyers than this would come back on their own, Commit-2 earns more than selling one term at a time. Column K is the deepest discount that still wins at today's renewal guess.</t>
  </si>
  <si>
    <t xml:space="preserve">Pillar 2 - Capacity and step-function fixed costs</t>
  </si>
  <si>
    <t xml:space="preserve">Delivery capacity</t>
  </si>
  <si>
    <t xml:space="preserve">Handler placements (people x events)</t>
  </si>
  <si>
    <t xml:space="preserve">placements</t>
  </si>
  <si>
    <t xml:space="preserve">Handler-days (placements x days per event)</t>
  </si>
  <si>
    <t xml:space="preserve">Facilitators needed this month (placements / max events each)</t>
  </si>
  <si>
    <t xml:space="preserve">Certified facilitator pool (grows when needed, never shrinks)</t>
  </si>
  <si>
    <t xml:space="preserve">New facilitators to certify this month</t>
  </si>
  <si>
    <t xml:space="preserve">Your plan (11 by Nov 2026) minus need: spare facilitators</t>
  </si>
  <si>
    <t xml:space="preserve">Step triggers</t>
  </si>
  <si>
    <t xml:space="preserve">B2B events, average of last 3 months</t>
  </si>
  <si>
    <t xml:space="preserve">Project Manager hired? (1 = yes; starts the month after the trigger)</t>
  </si>
  <si>
    <t xml:space="preserve">Account Manager active? (1 = yes)</t>
  </si>
  <si>
    <t xml:space="preserve">Founder salaries active? (1 = yes)</t>
  </si>
  <si>
    <t xml:space="preserve">Invoices to send this month</t>
  </si>
  <si>
    <t xml:space="preserve">Second admin hired? (1 = yes; stays once hired)</t>
  </si>
  <si>
    <t xml:space="preserve">Fixed costs per month (Rp million)</t>
  </si>
  <si>
    <t xml:space="preserve">L0 Base team (your 2027 list: 6 people)</t>
  </si>
  <si>
    <t xml:space="preserve">L0 Software and IG ads</t>
  </si>
  <si>
    <t xml:space="preserve">L0 Office</t>
  </si>
  <si>
    <t xml:space="preserve">L0 Accountant / tax (estimate)</t>
  </si>
  <si>
    <t xml:space="preserve">Founder salaries (Pay_Plan when the growth plan is on)</t>
  </si>
  <si>
    <t xml:space="preserve">L1 Account Manager</t>
  </si>
  <si>
    <t xml:space="preserve">L1 Sales travel (from Oct-26 when the growth plan is on: we pitch now)</t>
  </si>
  <si>
    <t xml:space="preserve">L2 Project Manager (per project when the growth plan is on)</t>
  </si>
  <si>
    <t xml:space="preserve">L2 Second admin</t>
  </si>
  <si>
    <t xml:space="preserve">L3 Facilitator certification (one-off, ahead of need)</t>
  </si>
  <si>
    <t xml:space="preserve">Total fixed cost</t>
  </si>
  <si>
    <t xml:space="preserve">Growth plan fixed costs (v15)</t>
  </si>
  <si>
    <t xml:space="preserve">Growth plan on? (1 = yes)</t>
  </si>
  <si>
    <t xml:space="preserve">BPJS + THR paid? (Pay_Plan)</t>
  </si>
  <si>
    <t xml:space="preserve">Team pay change vs the 2027 budget (Pay_Plan, incl. BPJS and THR)</t>
  </si>
  <si>
    <t xml:space="preserve">Extra IG ads (Pay_Plan) + referral rewards (B2C sheet)</t>
  </si>
  <si>
    <t xml:space="preserve">Growth plan fixed cost</t>
  </si>
  <si>
    <t xml:space="preserve">Operations load (COO review)</t>
  </si>
  <si>
    <t xml:space="preserve">B2B projects this month (one event, training or school = one project)</t>
  </si>
  <si>
    <t xml:space="preserve">Project managers needed</t>
  </si>
  <si>
    <t xml:space="preserve">Load on one project manager (100% = full)</t>
  </si>
  <si>
    <t xml:space="preserve">Trainer load (placements / what the trainer pool can do)</t>
  </si>
  <si>
    <t xml:space="preserve">Trainers to certify this month (ahead of need)</t>
  </si>
  <si>
    <t xml:space="preserve">Profit and loss by month (Rp million) - money counted when the event is delivered</t>
  </si>
  <si>
    <t xml:space="preserve">Bank EAP</t>
  </si>
  <si>
    <t xml:space="preserve">B2C counseling</t>
  </si>
  <si>
    <t xml:space="preserve">Total revenue (incl. v16 lines, row 51)</t>
  </si>
  <si>
    <t xml:space="preserve">Flagship</t>
  </si>
  <si>
    <t xml:space="preserve">KPW / LPS</t>
  </si>
  <si>
    <t xml:space="preserve">Bank KCP</t>
  </si>
  <si>
    <t xml:space="preserve">B2C events</t>
  </si>
  <si>
    <t xml:space="preserve">Total delivery cost (incl. v16 lines, row 57)</t>
  </si>
  <si>
    <t xml:space="preserve">Gross profit</t>
  </si>
  <si>
    <t xml:space="preserve">Gross margin</t>
  </si>
  <si>
    <t xml:space="preserve">Fixed costs (from Capacity_OPEX)</t>
  </si>
  <si>
    <t xml:space="preserve">Base: team, software, office, accountant (+ pay plan and extra ads)</t>
  </si>
  <si>
    <t xml:space="preserve">Founder salaries</t>
  </si>
  <si>
    <t xml:space="preserve">B2B sales (co-founder, Account Manager, travel)</t>
  </si>
  <si>
    <t xml:space="preserve">Delivery capacity (PM, 2nd admin, certification)</t>
  </si>
  <si>
    <t xml:space="preserve">Profit before tax</t>
  </si>
  <si>
    <t xml:space="preserve">Income tax (final tax on revenue)</t>
  </si>
  <si>
    <t xml:space="preserve">Net margin</t>
  </si>
  <si>
    <t xml:space="preserve">Net profit if founders were not paid (for comparison)</t>
  </si>
  <si>
    <t xml:space="preserve">Concentration and memo lines</t>
  </si>
  <si>
    <t xml:space="preserve">Revenue from BI (Flagship + BI share of KPW; v16 adds BI EAP, KPw packages and their trainings)</t>
  </si>
  <si>
    <t xml:space="preserve">BI share of revenue</t>
  </si>
  <si>
    <t xml:space="preserve">B2B revenue (incl. EAP channel, LPS / OJK and schools)</t>
  </si>
  <si>
    <t xml:space="preserve">Memo: Coreitera assessment revenue (paid by TJ)</t>
  </si>
  <si>
    <t xml:space="preserve">Memo: Theta counseling revenue (paid by TJ)</t>
  </si>
  <si>
    <t xml:space="preserve">v16 new lines: EAP channel, LPS / OJK, schools</t>
  </si>
  <si>
    <t xml:space="preserve">Revenue: BI KPw EAP packages (spread over 3 months)</t>
  </si>
  <si>
    <t xml:space="preserve">Revenue: trainings sold to EAP clients</t>
  </si>
  <si>
    <t xml:space="preserve">Revenue: LPS / OJK programs</t>
  </si>
  <si>
    <t xml:space="preserve">Revenue: school tests</t>
  </si>
  <si>
    <t xml:space="preserve">Total v16 revenue (in row 12)</t>
  </si>
  <si>
    <t xml:space="preserve">Delivery cost: BI KPw EAP packages</t>
  </si>
  <si>
    <t xml:space="preserve">Delivery cost: trainings sold to EAP clients</t>
  </si>
  <si>
    <t xml:space="preserve">Delivery cost: LPS / OJK programs</t>
  </si>
  <si>
    <t xml:space="preserve">Delivery cost: school tests (tool + assessor share)</t>
  </si>
  <si>
    <t xml:space="preserve">Total v16 delivery cost (in row 21)</t>
  </si>
  <si>
    <t xml:space="preserve">Pillar 3 - Cash flow by month (Rp million) - money counted when it moves</t>
  </si>
  <si>
    <t xml:space="preserve">B2C (paid on the day)</t>
  </si>
  <si>
    <t xml:space="preserve">BI central - Flagship (incl. optional down payment)</t>
  </si>
  <si>
    <t xml:space="preserve">BI KPW / LPS (payday cutoff rule)</t>
  </si>
  <si>
    <t xml:space="preserve">Banks - KCP events</t>
  </si>
  <si>
    <t xml:space="preserve">Banks - EAP (paid the next month)</t>
  </si>
  <si>
    <t xml:space="preserve">Total cash in</t>
  </si>
  <si>
    <t xml:space="preserve">Delivery costs (paid in the event month)</t>
  </si>
  <si>
    <t xml:space="preserve">Fixed costs (salaries paid on the 25th)</t>
  </si>
  <si>
    <t xml:space="preserve">Income tax (paid the next month)</t>
  </si>
  <si>
    <t xml:space="preserve">Total cash out</t>
  </si>
  <si>
    <t xml:space="preserve">Net cash flow</t>
  </si>
  <si>
    <t xml:space="preserve">Cash at start of month</t>
  </si>
  <si>
    <t xml:space="preserve">Safety checks</t>
  </si>
  <si>
    <t xml:space="preserve">Cash floor: one month of fixed cost + this month's delivery cost</t>
  </si>
  <si>
    <t xml:space="preserve">Above the floor? (1 = yes, 0 = warning)</t>
  </si>
  <si>
    <t xml:space="preserve">Money clients still owe you (end of month)</t>
  </si>
  <si>
    <t xml:space="preserve">Months of runway if all B2B stopped from here (2027 avg B2C profit)</t>
  </si>
  <si>
    <t xml:space="preserve">Note: this is a monthly model. Because BI pays on the 1st and salaries go out on the 25th, keep cash above the floor line at all times. Prices are assumed to exclude VAT (VAT passes through).</t>
  </si>
  <si>
    <t xml:space="preserve">v16 cash in</t>
  </si>
  <si>
    <t xml:space="preserve">BI KPw packages: 50% at signing, 50% two months later</t>
  </si>
  <si>
    <t xml:space="preserve">Trainings to EAP clients + LPS / OJK (payday rule)</t>
  </si>
  <si>
    <t xml:space="preserve">Schools</t>
  </si>
  <si>
    <t xml:space="preserve">Total v16 cash in (in row 11)</t>
  </si>
  <si>
    <t xml:space="preserve">To fill: numbers we estimated - please replace with your real numbers</t>
  </si>
  <si>
    <t xml:space="preserve">How to use: write your real number in the yellow 'Your real number' column, then copy it into the blue cell named in 'Where to change it' on the Inputs sheet. The model updates everywhere.</t>
  </si>
  <si>
    <t xml:space="preserve">Pillar</t>
  </si>
  <si>
    <t xml:space="preserve">Value used now</t>
  </si>
  <si>
    <t xml:space="preserve">Why it matters</t>
  </si>
  <si>
    <t xml:space="preserve">Where to change it</t>
  </si>
  <si>
    <t xml:space="preserve">Your real number</t>
  </si>
  <si>
    <t xml:space="preserve">e.g.</t>
  </si>
  <si>
    <t xml:space="preserve">2. Fixed cost</t>
  </si>
  <si>
    <t xml:space="preserve">Office rent (example row - do not edit)</t>
  </si>
  <si>
    <t xml:space="preserve">Shows the format to use.</t>
  </si>
  <si>
    <t xml:space="preserve">Inputs!C?</t>
  </si>
  <si>
    <t xml:space="preserve">Done</t>
  </si>
  <si>
    <t xml:space="preserve">1. Unit economics</t>
  </si>
  <si>
    <t xml:space="preserve">If you pay travel yourself, each KPW event loses about Rp 6m of its Rp 12m profit.</t>
  </si>
  <si>
    <t xml:space="preserve">Inputs!C22</t>
  </si>
  <si>
    <t xml:space="preserve">Open</t>
  </si>
  <si>
    <t xml:space="preserve">Only used if the switch above is 0.</t>
  </si>
  <si>
    <t xml:space="preserve">Inputs!C23</t>
  </si>
  <si>
    <t xml:space="preserve">Only used if you pay travel yourself.</t>
  </si>
  <si>
    <t xml:space="preserve">Inputs!C24</t>
  </si>
  <si>
    <t xml:space="preserve">2. Capacity</t>
  </si>
  <si>
    <t xml:space="preserve">Drives handler-days and how many facilitators you must certify.</t>
  </si>
  <si>
    <t xml:space="preserve">Inputs!C30</t>
  </si>
  <si>
    <t xml:space="preserve">Drives handler-days.</t>
  </si>
  <si>
    <t xml:space="preserve">Inputs!C31</t>
  </si>
  <si>
    <t xml:space="preserve">Inputs!C32</t>
  </si>
  <si>
    <t xml:space="preserve">Inputs!C33</t>
  </si>
  <si>
    <t xml:space="preserve">One-off cost each time the pool must grow.</t>
  </si>
  <si>
    <t xml:space="preserve">Inputs!C37</t>
  </si>
  <si>
    <t xml:space="preserve">Bank and regulator vendors need clean books and tax filings.</t>
  </si>
  <si>
    <t xml:space="preserve">Inputs!C47</t>
  </si>
  <si>
    <t xml:space="preserve">Earlier start = less cash buffer in Q1-Q2.</t>
  </si>
  <si>
    <t xml:space="preserve">Inputs!C51</t>
  </si>
  <si>
    <t xml:space="preserve">Starts sales travel spending.</t>
  </si>
  <si>
    <t xml:space="preserve">Inputs!C54</t>
  </si>
  <si>
    <t xml:space="preserve">Main part of B2B customer acquisition cost.</t>
  </si>
  <si>
    <t xml:space="preserve">Inputs!C55</t>
  </si>
  <si>
    <t xml:space="preserve">Decides when Rp 5m is added to fixed cost.</t>
  </si>
  <si>
    <t xml:space="preserve">Inputs!C57</t>
  </si>
  <si>
    <t xml:space="preserve">Decides when a second admin (same salary as admin) is added.</t>
  </si>
  <si>
    <t xml:space="preserve">Inputs!C58</t>
  </si>
  <si>
    <t xml:space="preserve">Only affects the admin trigger.</t>
  </si>
  <si>
    <t xml:space="preserve">Inputs!C59</t>
  </si>
  <si>
    <t xml:space="preserve">If it is not already inside, every event costs more.</t>
  </si>
  <si>
    <t xml:space="preserve">Inputs!C61</t>
  </si>
  <si>
    <t xml:space="preserve">This is Coreitera's revenue line for the investor story.</t>
  </si>
  <si>
    <t xml:space="preserve">Inputs!C62</t>
  </si>
  <si>
    <t xml:space="preserve">Number of Coreitera assessments sold per event.</t>
  </si>
  <si>
    <t xml:space="preserve">Inputs!C63</t>
  </si>
  <si>
    <t xml:space="preserve">Inputs!C64</t>
  </si>
  <si>
    <t xml:space="preserve">Inputs!C65</t>
  </si>
  <si>
    <t xml:space="preserve">Inputs!C66</t>
  </si>
  <si>
    <t xml:space="preserve">This is Theta's revenue line for the investor story.</t>
  </si>
  <si>
    <t xml:space="preserve">Inputs!C67</t>
  </si>
  <si>
    <t xml:space="preserve">Theta volume from EAP.</t>
  </si>
  <si>
    <t xml:space="preserve">Inputs!C68</t>
  </si>
  <si>
    <t xml:space="preserve">Sales cost / new clients = cost to win one client.</t>
  </si>
  <si>
    <t xml:space="preserve">Inputs!C70</t>
  </si>
  <si>
    <t xml:space="preserve">3. Cash</t>
  </si>
  <si>
    <t xml:space="preserve">Cash timing.</t>
  </si>
  <si>
    <t xml:space="preserve">Inputs!C73</t>
  </si>
  <si>
    <t xml:space="preserve">Inputs!C74</t>
  </si>
  <si>
    <t xml:space="preserve">Inputs!C75</t>
  </si>
  <si>
    <t xml:space="preserve">Sending invoices on time moves cash forward by one month.</t>
  </si>
  <si>
    <t xml:space="preserve">Inputs!C76</t>
  </si>
  <si>
    <t xml:space="preserve">Cash timing for new bank clients.</t>
  </si>
  <si>
    <t xml:space="preserve">Inputs!C77</t>
  </si>
  <si>
    <t xml:space="preserve">Inputs!C78</t>
  </si>
  <si>
    <t xml:space="preserve">Inputs!C79</t>
  </si>
  <si>
    <t xml:space="preserve">If you pay normal corporate tax instead, tax is on profit, not revenue.</t>
  </si>
  <si>
    <t xml:space="preserve">Inputs!C80</t>
  </si>
  <si>
    <t xml:space="preserve">Goal</t>
  </si>
  <si>
    <t xml:space="preserve">Used for the pass / fail check on the Summary.</t>
  </si>
  <si>
    <t xml:space="preserve">Inputs!C82</t>
  </si>
  <si>
    <t xml:space="preserve">Measures how much revenue depends on BI.</t>
  </si>
  <si>
    <t xml:space="preserve">Inputs!C83</t>
  </si>
  <si>
    <t xml:space="preserve">Pricing</t>
  </si>
  <si>
    <t xml:space="preserve">New prices should start with the new budget year.</t>
  </si>
  <si>
    <t xml:space="preserve">Inputs!C86</t>
  </si>
  <si>
    <t xml:space="preserve">Biggest single regulator product.</t>
  </si>
  <si>
    <t xml:space="preserve">Inputs!C87</t>
  </si>
  <si>
    <t xml:space="preserve">17 events a year, so each Rp1m matters.</t>
  </si>
  <si>
    <t xml:space="preserve">Inputs!C88</t>
  </si>
  <si>
    <t xml:space="preserve">Price for BRI, Mandiri, BNI, BTN.</t>
  </si>
  <si>
    <t xml:space="preserve">Inputs!C89</t>
  </si>
  <si>
    <t xml:space="preserve">Price for BCA and other private banks.</t>
  </si>
  <si>
    <t xml:space="preserve">Inputs!C90</t>
  </si>
  <si>
    <t xml:space="preserve">Mix between the two bank prices.</t>
  </si>
  <si>
    <t xml:space="preserve">Inputs!C91</t>
  </si>
  <si>
    <t xml:space="preserve">New line item = new budget ceiling, and Coreitera revenue.</t>
  </si>
  <si>
    <t xml:space="preserve">Inputs!C92</t>
  </si>
  <si>
    <t xml:space="preserve">Adds about Rp6m per bank event.</t>
  </si>
  <si>
    <t xml:space="preserve">Inputs!C95</t>
  </si>
  <si>
    <t xml:space="preserve">Sets the top package price for banks.</t>
  </si>
  <si>
    <t xml:space="preserve">Inputs!C97</t>
  </si>
  <si>
    <t xml:space="preserve">The main risk of any price rise.</t>
  </si>
  <si>
    <t xml:space="preserve">Inputs!C98</t>
  </si>
  <si>
    <t xml:space="preserve">Is the Rp 210m free cash? Any unpaid bills, or money clients still owe you?</t>
  </si>
  <si>
    <t xml:space="preserve">Assumed free</t>
  </si>
  <si>
    <t xml:space="preserve">Changes the starting cash.</t>
  </si>
  <si>
    <t xml:space="preserve">Inputs: Cash in bank</t>
  </si>
  <si>
    <t xml:space="preserve">Volume</t>
  </si>
  <si>
    <t xml:space="preserve">Which Oct-Dec 2026 events are signed, and which are still hopes?</t>
  </si>
  <si>
    <t xml:space="preserve">v10 plan</t>
  </si>
  <si>
    <t xml:space="preserve">Q4 2026 is 3 of your 15 months.</t>
  </si>
  <si>
    <t xml:space="preserve">Volume sheet, blue rows</t>
  </si>
  <si>
    <t xml:space="preserve">Is the bank EAP contract live today?</t>
  </si>
  <si>
    <t xml:space="preserve">1 contract all months</t>
  </si>
  <si>
    <t xml:space="preserve">Rp 10m profit per month.</t>
  </si>
  <si>
    <t xml:space="preserve">Volume sheet, EAP row</t>
  </si>
  <si>
    <t xml:space="preserve">What would a bank pay per employee per month for EAP?</t>
  </si>
  <si>
    <t xml:space="preserve">Rp 15m per contract per month</t>
  </si>
  <si>
    <t xml:space="preserve">Needed to price EAP per employee, as the rate card suggests.</t>
  </si>
  <si>
    <t xml:space="preserve">Inputs: Prices</t>
  </si>
  <si>
    <t xml:space="preserve">One real quote from a big trainer to a bank (day rate)</t>
  </si>
  <si>
    <t xml:space="preserve">2.5x your old rate</t>
  </si>
  <si>
    <t xml:space="preserve">Checks the private-bank price.</t>
  </si>
  <si>
    <t xml:space="preserve">Inputs: Rate card</t>
  </si>
  <si>
    <t xml:space="preserve">Live talks with LPS, OJK or a bank: stage and likely close month?</t>
  </si>
  <si>
    <t xml:space="preserve">In v10 KPW/LPS row</t>
  </si>
  <si>
    <t xml:space="preserve">Tests if the 2027 volume is realistic.</t>
  </si>
  <si>
    <t xml:space="preserve">Timing</t>
  </si>
  <si>
    <t xml:space="preserve">Decides how long we live on cash only.</t>
  </si>
  <si>
    <t xml:space="preserve">Inputs!C102</t>
  </si>
  <si>
    <t xml:space="preserve">Pay plan</t>
  </si>
  <si>
    <t xml:space="preserve">Cost of every pay step.</t>
  </si>
  <si>
    <t xml:space="preserve">Inputs!C106</t>
  </si>
  <si>
    <t xml:space="preserve">Lead Partnership pay (Oct-27)</t>
  </si>
  <si>
    <t xml:space="preserve">Hiring step in Oct-27.</t>
  </si>
  <si>
    <t xml:space="preserve">Inputs!C124</t>
  </si>
  <si>
    <t xml:space="preserve">Growth plan</t>
  </si>
  <si>
    <t xml:space="preserve">EAP contract 2 and 3 start months</t>
  </si>
  <si>
    <t xml:space="preserve">Main source of new monthly income.</t>
  </si>
  <si>
    <t xml:space="preserve">Inputs!C107</t>
  </si>
  <si>
    <t xml:space="preserve">Sales co-founder cash pay and start</t>
  </si>
  <si>
    <t xml:space="preserve">Hiring step in Jul-27.</t>
  </si>
  <si>
    <t xml:space="preserve">Inputs!C109</t>
  </si>
  <si>
    <t xml:space="preserve">Bank training days per month and start</t>
  </si>
  <si>
    <t xml:space="preserve">The swing factor for 2027.</t>
  </si>
  <si>
    <t xml:space="preserve">Inputs!C112</t>
  </si>
  <si>
    <t xml:space="preserve">Operations</t>
  </si>
  <si>
    <t xml:space="preserve">Project manager fee per project</t>
  </si>
  <si>
    <t xml:space="preserve">Cost of every B2B project.</t>
  </si>
  <si>
    <t xml:space="preserve">Inputs!C114</t>
  </si>
  <si>
    <t xml:space="preserve">Lead times by client type (days)</t>
  </si>
  <si>
    <t xml:space="preserve">Sets the latest date to start selling.</t>
  </si>
  <si>
    <t xml:space="preserve">Roadmap!B8</t>
  </si>
  <si>
    <t xml:space="preserve">Down payment on Flagship programs</t>
  </si>
  <si>
    <t xml:space="preserve">Lifts the April cash low.</t>
  </si>
  <si>
    <t xml:space="preserve">Inputs!C117</t>
  </si>
  <si>
    <t xml:space="preserve">B2C</t>
  </si>
  <si>
    <t xml:space="preserve">Follower growth, booking rate and sessions per client by quarter</t>
  </si>
  <si>
    <t xml:space="preserve">Sets B2C revenue.</t>
  </si>
  <si>
    <t xml:space="preserve">B2C!C6</t>
  </si>
  <si>
    <t xml:space="preserve">Instagram followers and paid sessions, last 3-6 months</t>
  </si>
  <si>
    <t xml:space="preserve">Replaces the target path with a real trend.</t>
  </si>
  <si>
    <t xml:space="preserve">B2C!C10</t>
  </si>
  <si>
    <t xml:space="preserve">v16 B2C</t>
  </si>
  <si>
    <t xml:space="preserve">Tier mix and online share of real bookings</t>
  </si>
  <si>
    <t xml:space="preserve">Sets the average B2C price.</t>
  </si>
  <si>
    <t xml:space="preserve">B2C_Pricing!E5</t>
  </si>
  <si>
    <t xml:space="preserve">Platform and payment cost per session</t>
  </si>
  <si>
    <t xml:space="preserve">Taken from every session.</t>
  </si>
  <si>
    <t xml:space="preserve">B2C_Pricing!B12</t>
  </si>
  <si>
    <t xml:space="preserve">Real public-event headcount and cost (after 31 Oct)</t>
  </si>
  <si>
    <t xml:space="preserve">Lyfe at 30s is the only data point.</t>
  </si>
  <si>
    <t xml:space="preserve">Inputs!C137</t>
  </si>
  <si>
    <t xml:space="preserve">v16 EAP</t>
  </si>
  <si>
    <t xml:space="preserve">Package mix BI KPw offices choose</t>
  </si>
  <si>
    <t xml:space="preserve">Sets the average package price.</t>
  </si>
  <si>
    <t xml:space="preserve">Channels!E5</t>
  </si>
  <si>
    <t xml:space="preserve">New BI KPw packages per month</t>
  </si>
  <si>
    <t xml:space="preserve">Main v16 growth line.</t>
  </si>
  <si>
    <t xml:space="preserve">Channels!E15</t>
  </si>
  <si>
    <t xml:space="preserve">Commit-2 take-up and renewal without it</t>
  </si>
  <si>
    <t xml:space="preserve">Decides if the scheme pays.</t>
  </si>
  <si>
    <t xml:space="preserve">Inputs!C145</t>
  </si>
  <si>
    <t xml:space="preserve">Paid add-on sessions per package and training upsell</t>
  </si>
  <si>
    <t xml:space="preserve">The 'channel' effect.</t>
  </si>
  <si>
    <t xml:space="preserve">Inputs!C151</t>
  </si>
  <si>
    <t xml:space="preserve">Is the existing EAP contract with BI?</t>
  </si>
  <si>
    <t xml:space="preserve">BI share.</t>
  </si>
  <si>
    <t xml:space="preserve">Inputs!C152</t>
  </si>
  <si>
    <t xml:space="preserve">v16 LPS/OJK</t>
  </si>
  <si>
    <t xml:space="preserve">LPS / OJK start month and programs a month</t>
  </si>
  <si>
    <t xml:space="preserve">Secondary target.</t>
  </si>
  <si>
    <t xml:space="preserve">Inputs!C153</t>
  </si>
  <si>
    <t xml:space="preserve">v16 Schools</t>
  </si>
  <si>
    <t xml:space="preserve">School price per student, tool cost, students per school</t>
  </si>
  <si>
    <t xml:space="preserve">New channel.</t>
  </si>
  <si>
    <t xml:space="preserve">Inputs!C155</t>
  </si>
  <si>
    <t xml:space="preserve">Schools per month</t>
  </si>
  <si>
    <t xml:space="preserve">Calendar-driven.</t>
  </si>
  <si>
    <t xml:space="preserve">Channels!E16</t>
  </si>
  <si>
    <t xml:space="preserve">v16 Tax</t>
  </si>
  <si>
    <t xml:space="preserve">Surat Keterangan PP 55 so BI withholds 0.5% final tax, not 2% PPh 23</t>
  </si>
  <si>
    <t xml:space="preserve">1.5% of every BI invoice in cash.</t>
  </si>
</sst>
</file>

<file path=xl/styles.xml><?xml version="1.0" encoding="utf-8"?>
<styleSheet xmlns="http://schemas.openxmlformats.org/spreadsheetml/2006/main">
  <numFmts count="14">
    <numFmt numFmtId="164" formatCode="General"/>
    <numFmt numFmtId="165" formatCode="#,##0.0;\(#,##0.0\);\-"/>
    <numFmt numFmtId="166" formatCode="0.0%;\(0.0%\);\-"/>
    <numFmt numFmtId="167" formatCode="#,##0;\(#,##0\);\-"/>
    <numFmt numFmtId="168" formatCode="0.0%"/>
    <numFmt numFmtId="169" formatCode="0"/>
    <numFmt numFmtId="170" formatCode="0%"/>
    <numFmt numFmtId="171" formatCode="#,##0"/>
    <numFmt numFmtId="172" formatCode="d\ mmm\ yyyy"/>
    <numFmt numFmtId="173" formatCode="0.0"/>
    <numFmt numFmtId="174" formatCode="0.00"/>
    <numFmt numFmtId="175" formatCode="@"/>
    <numFmt numFmtId="176" formatCode="0.000"/>
    <numFmt numFmtId="177" formatCode="0.0\x"/>
  </numFmts>
  <fonts count="32">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sz val="11"/>
      <color theme="1"/>
      <name val="Arial"/>
      <family val="2"/>
      <charset val="1"/>
    </font>
    <font>
      <i val="true"/>
      <sz val="11"/>
      <color rgb="FF808080"/>
      <name val="Arial"/>
      <family val="2"/>
      <charset val="1"/>
    </font>
    <font>
      <b val="true"/>
      <sz val="11"/>
      <color rgb="FFC00000"/>
      <name val="Arial"/>
      <family val="2"/>
      <charset val="1"/>
    </font>
    <font>
      <b val="true"/>
      <sz val="11"/>
      <color rgb="FFFFFFFF"/>
      <name val="Arial"/>
      <family val="2"/>
      <charset val="1"/>
    </font>
    <font>
      <b val="true"/>
      <sz val="11"/>
      <name val="Arial"/>
      <family val="2"/>
      <charset val="1"/>
    </font>
    <font>
      <sz val="11"/>
      <name val="Arial"/>
      <family val="2"/>
      <charset val="1"/>
    </font>
    <font>
      <i val="true"/>
      <sz val="10"/>
      <name val="Arial"/>
      <family val="2"/>
      <charset val="1"/>
    </font>
    <font>
      <b val="true"/>
      <sz val="10"/>
      <name val="Arial"/>
      <family val="2"/>
      <charset val="1"/>
    </font>
    <font>
      <b val="true"/>
      <sz val="10"/>
      <color rgb="FF008000"/>
      <name val="Arial"/>
      <family val="2"/>
      <charset val="1"/>
    </font>
    <font>
      <sz val="10"/>
      <color rgb="FF008000"/>
      <name val="Arial"/>
      <family val="2"/>
      <charset val="1"/>
    </font>
    <font>
      <sz val="10"/>
      <name val="Arial"/>
      <family val="2"/>
      <charset val="1"/>
    </font>
    <font>
      <b val="true"/>
      <sz val="18"/>
      <color rgb="FF000000"/>
      <name val="Calibri"/>
      <family val="2"/>
    </font>
    <font>
      <sz val="10"/>
      <color rgb="FF000000"/>
      <name val="Calibri"/>
      <family val="2"/>
    </font>
    <font>
      <b val="true"/>
      <sz val="10"/>
      <color rgb="FF000000"/>
      <name val="Calibri"/>
      <family val="2"/>
    </font>
    <font>
      <b val="true"/>
      <sz val="13"/>
      <name val="Arial"/>
      <family val="2"/>
      <charset val="1"/>
    </font>
    <font>
      <sz val="10"/>
      <color rgb="FF0000FF"/>
      <name val="Arial"/>
      <family val="2"/>
      <charset val="1"/>
    </font>
    <font>
      <i val="true"/>
      <sz val="9"/>
      <name val="Arial"/>
      <family val="2"/>
      <charset val="1"/>
    </font>
    <font>
      <b val="true"/>
      <sz val="13"/>
      <name val="Arial"/>
      <family val="0"/>
      <charset val="1"/>
    </font>
    <font>
      <i val="true"/>
      <sz val="9"/>
      <name val="Arial"/>
      <family val="0"/>
      <charset val="1"/>
    </font>
    <font>
      <b val="true"/>
      <sz val="10"/>
      <name val="Arial"/>
      <family val="0"/>
      <charset val="1"/>
    </font>
    <font>
      <sz val="10"/>
      <name val="Arial"/>
      <family val="0"/>
      <charset val="1"/>
    </font>
    <font>
      <sz val="10"/>
      <color rgb="FF0000FF"/>
      <name val="Arial"/>
      <family val="0"/>
      <charset val="1"/>
    </font>
    <font>
      <sz val="11"/>
      <color rgb="FF000000"/>
      <name val="Arial"/>
      <family val="2"/>
      <charset val="1"/>
    </font>
    <font>
      <sz val="11"/>
      <color rgb="FF0000FF"/>
      <name val="Arial"/>
      <family val="2"/>
      <charset val="1"/>
    </font>
    <font>
      <sz val="10"/>
      <color rgb="FF000000"/>
      <name val="Arial"/>
      <family val="0"/>
      <charset val="1"/>
    </font>
    <font>
      <b val="true"/>
      <sz val="11"/>
      <color theme="1"/>
      <name val="Arial"/>
      <family val="2"/>
      <charset val="1"/>
    </font>
    <font>
      <sz val="11"/>
      <color rgb="FF008000"/>
      <name val="Arial"/>
      <family val="2"/>
      <charset val="1"/>
    </font>
  </fonts>
  <fills count="8">
    <fill>
      <patternFill patternType="none"/>
    </fill>
    <fill>
      <patternFill patternType="gray125"/>
    </fill>
    <fill>
      <patternFill patternType="solid">
        <fgColor rgb="FF1F3864"/>
        <bgColor rgb="FF333333"/>
      </patternFill>
    </fill>
    <fill>
      <patternFill patternType="solid">
        <fgColor rgb="FFD9E1F2"/>
        <bgColor rgb="FFDDE3EE"/>
      </patternFill>
    </fill>
    <fill>
      <patternFill patternType="solid">
        <fgColor rgb="FFDDE3EE"/>
        <bgColor rgb="FFD9E1F2"/>
      </patternFill>
    </fill>
    <fill>
      <patternFill patternType="solid">
        <fgColor rgb="FFFFF2CC"/>
        <bgColor rgb="FFE2EFDA"/>
      </patternFill>
    </fill>
    <fill>
      <patternFill patternType="solid">
        <fgColor rgb="FFFFFF00"/>
        <bgColor rgb="FFFFFF00"/>
      </patternFill>
    </fill>
    <fill>
      <patternFill patternType="solid">
        <fgColor rgb="FFE2EFDA"/>
        <bgColor rgb="FFDDE3EE"/>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71" fontId="13" fillId="0" borderId="0" xfId="0" applyFont="true" applyBorder="false" applyAlignment="false" applyProtection="false">
      <alignment horizontal="general"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2" fontId="20"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top" textRotation="0" wrapText="tru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2" fontId="15"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71" fontId="15"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70" fontId="15"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3" fontId="25" fillId="0"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false" applyProtection="false">
      <alignment horizontal="general" vertical="bottom" textRotation="0" wrapText="false" indent="0" shrinkToFit="false"/>
      <protection locked="true" hidden="false"/>
    </xf>
    <xf numFmtId="170" fontId="25" fillId="0"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true" applyProtection="false">
      <alignment horizontal="general" vertical="top" textRotation="0" wrapText="true" indent="0" shrinkToFit="false"/>
      <protection locked="true" hidden="false"/>
    </xf>
    <xf numFmtId="173" fontId="24"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70" fontId="24" fillId="0" borderId="0" xfId="0" applyFont="true" applyBorder="false" applyAlignment="false" applyProtection="false">
      <alignment horizontal="general" vertical="bottom" textRotation="0" wrapText="false" indent="0" shrinkToFit="false"/>
      <protection locked="true" hidden="false"/>
    </xf>
    <xf numFmtId="170" fontId="20" fillId="0" borderId="0" xfId="0" applyFont="true" applyBorder="false" applyAlignment="false" applyProtection="false">
      <alignment horizontal="general" vertical="bottom" textRotation="0" wrapText="false" indent="0" shrinkToFit="false"/>
      <protection locked="true" hidden="false"/>
    </xf>
    <xf numFmtId="174" fontId="20" fillId="0"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false" applyProtection="false">
      <alignment horizontal="general" vertical="bottom" textRotation="0" wrapText="false" indent="0" shrinkToFit="false"/>
      <protection locked="true" hidden="false"/>
    </xf>
    <xf numFmtId="175" fontId="20" fillId="0" borderId="0" xfId="0" applyFont="true" applyBorder="false" applyAlignment="false" applyProtection="false">
      <alignment horizontal="general" vertical="bottom" textRotation="0" wrapText="false" indent="0" shrinkToFit="false"/>
      <protection locked="true" hidden="false"/>
    </xf>
    <xf numFmtId="173" fontId="20" fillId="0"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4" fontId="5" fillId="0"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6" fontId="26" fillId="0" borderId="0" xfId="0" applyFont="true" applyBorder="false" applyAlignment="false" applyProtection="false">
      <alignment horizontal="general" vertical="bottom" textRotation="0" wrapText="false" indent="0" shrinkToFit="false"/>
      <protection locked="true" hidden="false"/>
    </xf>
    <xf numFmtId="170" fontId="26" fillId="0" borderId="0" xfId="0" applyFont="true" applyBorder="false" applyAlignment="false" applyProtection="false">
      <alignment horizontal="general" vertical="bottom" textRotation="0" wrapText="false" indent="0" shrinkToFit="false"/>
      <protection locked="true" hidden="false"/>
    </xf>
    <xf numFmtId="170" fontId="26" fillId="5" borderId="0" xfId="0" applyFont="true" applyBorder="false" applyAlignment="false" applyProtection="false">
      <alignment horizontal="general" vertical="bottom" textRotation="0" wrapText="false" indent="0" shrinkToFit="false"/>
      <protection locked="true" hidden="false"/>
    </xf>
    <xf numFmtId="176" fontId="25" fillId="0" borderId="0" xfId="0" applyFont="true" applyBorder="false" applyAlignment="false" applyProtection="false">
      <alignment horizontal="general" vertical="bottom" textRotation="0" wrapText="false" indent="0" shrinkToFit="false"/>
      <protection locked="true" hidden="false"/>
    </xf>
    <xf numFmtId="176" fontId="26" fillId="5" borderId="0" xfId="0" applyFont="true" applyBorder="false" applyAlignment="false" applyProtection="false">
      <alignment horizontal="general" vertical="bottom" textRotation="0" wrapText="false" indent="0" shrinkToFit="false"/>
      <protection locked="true" hidden="false"/>
    </xf>
    <xf numFmtId="174" fontId="26" fillId="0" borderId="0" xfId="0" applyFont="true" applyBorder="false" applyAlignment="false" applyProtection="false">
      <alignment horizontal="general" vertical="bottom" textRotation="0" wrapText="false" indent="0" shrinkToFit="false"/>
      <protection locked="true" hidden="false"/>
    </xf>
    <xf numFmtId="169" fontId="26" fillId="0" borderId="0" xfId="0" applyFont="true" applyBorder="false" applyAlignment="false" applyProtection="false">
      <alignment horizontal="general" vertical="bottom" textRotation="0" wrapText="false" indent="0" shrinkToFit="false"/>
      <protection locked="true" hidden="false"/>
    </xf>
    <xf numFmtId="174" fontId="25" fillId="0" borderId="0" xfId="0" applyFont="true" applyBorder="false" applyAlignment="false" applyProtection="false">
      <alignment horizontal="general" vertical="bottom" textRotation="0" wrapText="false" indent="0" shrinkToFit="false"/>
      <protection locked="true" hidden="false"/>
    </xf>
    <xf numFmtId="174" fontId="24" fillId="0" borderId="0" xfId="0" applyFont="true" applyBorder="false" applyAlignment="false" applyProtection="false">
      <alignment horizontal="general" vertical="bottom" textRotation="0" wrapText="false" indent="0" shrinkToFit="false"/>
      <protection locked="true" hidden="false"/>
    </xf>
    <xf numFmtId="169" fontId="25" fillId="0" borderId="0" xfId="0" applyFont="true" applyBorder="false" applyAlignment="false" applyProtection="false">
      <alignment horizontal="general" vertical="bottom" textRotation="0" wrapText="false" indent="0" shrinkToFit="false"/>
      <protection locked="true" hidden="false"/>
    </xf>
    <xf numFmtId="169" fontId="26"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7" fontId="2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28" fillId="0" borderId="0" xfId="0" applyFont="tru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7" fontId="28" fillId="6"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5" fontId="28" fillId="6" borderId="0" xfId="0" applyFont="true" applyBorder="false" applyAlignment="false" applyProtection="false">
      <alignment horizontal="general" vertical="bottom" textRotation="0" wrapText="false" indent="0" shrinkToFit="false"/>
      <protection locked="true" hidden="false"/>
    </xf>
    <xf numFmtId="166" fontId="28" fillId="6" borderId="0" xfId="0" applyFont="true" applyBorder="false" applyAlignment="false" applyProtection="false">
      <alignment horizontal="general" vertical="bottom" textRotation="0" wrapText="false" indent="0" shrinkToFit="false"/>
      <protection locked="true" hidden="false"/>
    </xf>
    <xf numFmtId="175" fontId="28" fillId="6"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77" fontId="28" fillId="0" borderId="0" xfId="0" applyFont="true" applyBorder="false" applyAlignment="false" applyProtection="false">
      <alignment horizontal="general" vertical="bottom" textRotation="0" wrapText="false" indent="0" shrinkToFit="false"/>
      <protection locked="true" hidden="false"/>
    </xf>
    <xf numFmtId="169" fontId="28" fillId="6" borderId="0" xfId="0" applyFont="true" applyBorder="false" applyAlignment="false" applyProtection="false">
      <alignment horizontal="general" vertical="bottom" textRotation="0" wrapText="false" indent="0" shrinkToFit="false"/>
      <protection locked="true" hidden="false"/>
    </xf>
    <xf numFmtId="170" fontId="28" fillId="6" borderId="0" xfId="0" applyFont="true" applyBorder="false" applyAlignment="false" applyProtection="false">
      <alignment horizontal="general" vertical="bottom" textRotation="0" wrapText="false" indent="0" shrinkToFit="false"/>
      <protection locked="true" hidden="false"/>
    </xf>
    <xf numFmtId="174" fontId="28" fillId="6" borderId="0" xfId="0" applyFont="true" applyBorder="false" applyAlignment="false" applyProtection="false">
      <alignment horizontal="general" vertical="bottom" textRotation="0" wrapText="false" indent="0" shrinkToFit="false"/>
      <protection locked="true" hidden="false"/>
    </xf>
    <xf numFmtId="176" fontId="28" fillId="6" borderId="0" xfId="0" applyFont="true" applyBorder="false" applyAlignment="false" applyProtection="false">
      <alignment horizontal="general" vertical="bottom" textRotation="0" wrapText="false" indent="0" shrinkToFit="false"/>
      <protection locked="true" hidden="false"/>
    </xf>
    <xf numFmtId="176" fontId="29" fillId="6" borderId="0" xfId="0" applyFont="true" applyBorder="false" applyAlignment="false" applyProtection="false">
      <alignment horizontal="general" vertical="bottom" textRotation="0" wrapText="false" indent="0" shrinkToFit="false"/>
      <protection locked="true" hidden="false"/>
    </xf>
    <xf numFmtId="170" fontId="29" fillId="6"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4" fontId="15" fillId="0" borderId="0" xfId="0" applyFont="true" applyBorder="false" applyAlignment="false" applyProtection="false">
      <alignment horizontal="general" vertical="bottom" textRotation="0" wrapText="false" indent="0" shrinkToFit="false"/>
      <protection locked="true" hidden="false"/>
    </xf>
    <xf numFmtId="174" fontId="28" fillId="0" borderId="0" xfId="0" applyFont="true" applyBorder="false" applyAlignment="false" applyProtection="false">
      <alignment horizontal="general" vertical="bottom" textRotation="0" wrapText="false" indent="0" shrinkToFit="false"/>
      <protection locked="true" hidden="false"/>
    </xf>
    <xf numFmtId="169" fontId="28" fillId="0" borderId="0" xfId="0" applyFont="true" applyBorder="false" applyAlignment="false" applyProtection="false">
      <alignment horizontal="general" vertical="bottom" textRotation="0" wrapText="false" indent="0" shrinkToFit="false"/>
      <protection locked="true" hidden="false"/>
    </xf>
    <xf numFmtId="173" fontId="30" fillId="0" borderId="0" xfId="0" applyFont="true" applyBorder="false" applyAlignment="false" applyProtection="false">
      <alignment horizontal="general" vertical="bottom" textRotation="0" wrapText="false" indent="0" shrinkToFit="false"/>
      <protection locked="true" hidden="false"/>
    </xf>
    <xf numFmtId="173" fontId="15"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73" fontId="26" fillId="0" borderId="0" xfId="0" applyFont="true" applyBorder="false" applyAlignment="false" applyProtection="false">
      <alignment horizontal="general" vertical="bottom" textRotation="0" wrapText="false" indent="0" shrinkToFit="false"/>
      <protection locked="true" hidden="false"/>
    </xf>
    <xf numFmtId="167" fontId="31" fillId="0" borderId="0" xfId="0" applyFont="tru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6" fontId="31"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76"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5DCD0"/>
        </patternFill>
      </fill>
    </dxf>
    <dxf>
      <fill>
        <patternFill>
          <bgColor rgb="FFF1DEBB"/>
        </patternFill>
      </fill>
    </dxf>
    <dxf>
      <fill>
        <patternFill>
          <bgColor rgb="FFDDE3E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8BEC9"/>
      <rgbColor rgb="FF808080"/>
      <rgbColor rgb="FF9999FF"/>
      <rgbColor rgb="FF993366"/>
      <rgbColor rgb="FFFFF2CC"/>
      <rgbColor rgb="FFDDE3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5DCD0"/>
      <rgbColor rgb="FF99CCFF"/>
      <rgbColor rgb="FFFF99CC"/>
      <rgbColor rgb="FFCC99FF"/>
      <rgbColor rgb="FFF1DEBB"/>
      <rgbColor rgb="FF3366FF"/>
      <rgbColor rgb="FF33CCCC"/>
      <rgbColor rgb="FF99CC00"/>
      <rgbColor rgb="FFFFCC00"/>
      <rgbColor rgb="FFFF9900"/>
      <rgbColor rgb="FFFF6600"/>
      <rgbColor rgb="FF576C94"/>
      <rgbColor rgb="FFB3B3B3"/>
      <rgbColor rgb="FF1F3864"/>
      <rgbColor rgb="FF339966"/>
      <rgbColor rgb="FF003300"/>
      <rgbColor rgb="FF333300"/>
      <rgbColor rgb="FF9B3809"/>
      <rgbColor rgb="FF993366"/>
      <rgbColor rgb="FF47557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and total cost (bars) vs cash in the bank (line), Rp million</a:t>
            </a:r>
          </a:p>
        </c:rich>
      </c:tx>
      <c:overlay val="0"/>
      <c:spPr>
        <a:noFill/>
        <a:ln w="0">
          <a:noFill/>
        </a:ln>
      </c:spPr>
    </c:title>
    <c:autoTitleDeleted val="0"/>
    <c:plotArea>
      <c:barChart>
        <c:barDir val="col"/>
        <c:grouping val="clustered"/>
        <c:varyColors val="0"/>
        <c:ser>
          <c:idx val="0"/>
          <c:order val="0"/>
          <c:tx>
            <c:strRef>
              <c:f>Outlook!$A$5</c:f>
              <c:strCache>
                <c:ptCount val="1"/>
                <c:pt idx="0">
                  <c:v>Sales (revenue)</c:v>
                </c:pt>
              </c:strCache>
            </c:strRef>
          </c:tx>
          <c:spPr>
            <a:solidFill>
              <a:srgbClr val="576c94"/>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Outlook!$B$5:$P$5</c:f>
              <c:numCache>
                <c:formatCode>#,##0</c:formatCode>
                <c:ptCount val="15"/>
                <c:pt idx="0">
                  <c:v>20.428616980779</c:v>
                </c:pt>
                <c:pt idx="1">
                  <c:v>22.0321047905891</c:v>
                </c:pt>
                <c:pt idx="2">
                  <c:v>22.096289196425</c:v>
                </c:pt>
                <c:pt idx="3">
                  <c:v>22.8088894640304</c:v>
                </c:pt>
                <c:pt idx="4">
                  <c:v>71.8302364783025</c:v>
                </c:pt>
                <c:pt idx="5">
                  <c:v>175.590124418437</c:v>
                </c:pt>
                <c:pt idx="6">
                  <c:v>110.167443123336</c:v>
                </c:pt>
                <c:pt idx="7">
                  <c:v>199.751533869276</c:v>
                </c:pt>
                <c:pt idx="8">
                  <c:v>90.5575940918056</c:v>
                </c:pt>
                <c:pt idx="9">
                  <c:v>302.054594874024</c:v>
                </c:pt>
                <c:pt idx="10">
                  <c:v>149.151213896921</c:v>
                </c:pt>
                <c:pt idx="11">
                  <c:v>273.605687671379</c:v>
                </c:pt>
                <c:pt idx="12">
                  <c:v>305.846170847376</c:v>
                </c:pt>
                <c:pt idx="13">
                  <c:v>427.917035697334</c:v>
                </c:pt>
                <c:pt idx="14">
                  <c:v>303.274044602042</c:v>
                </c:pt>
              </c:numCache>
            </c:numRef>
          </c:val>
        </c:ser>
        <c:ser>
          <c:idx val="1"/>
          <c:order val="1"/>
          <c:tx>
            <c:strRef>
              <c:f>Outlook!$A$9</c:f>
              <c:strCache>
                <c:ptCount val="1"/>
                <c:pt idx="0">
                  <c:v>Total cost</c:v>
                </c:pt>
              </c:strCache>
            </c:strRef>
          </c:tx>
          <c:spPr>
            <a:solidFill>
              <a:srgbClr val="b8bec9"/>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Outlook!$B$9:$P$9</c:f>
              <c:numCache>
                <c:formatCode>#,##0</c:formatCode>
                <c:ptCount val="15"/>
                <c:pt idx="0">
                  <c:v>40.449764664504</c:v>
                </c:pt>
                <c:pt idx="1">
                  <c:v>43.0832052684528</c:v>
                </c:pt>
                <c:pt idx="2">
                  <c:v>43.0518764503575</c:v>
                </c:pt>
                <c:pt idx="3">
                  <c:v>53.9785413303063</c:v>
                </c:pt>
                <c:pt idx="4">
                  <c:v>81.2163546169497</c:v>
                </c:pt>
                <c:pt idx="5">
                  <c:v>124.866529089962</c:v>
                </c:pt>
                <c:pt idx="6">
                  <c:v>104.444330398036</c:v>
                </c:pt>
                <c:pt idx="7">
                  <c:v>142.569280904522</c:v>
                </c:pt>
                <c:pt idx="8">
                  <c:v>109.136879386369</c:v>
                </c:pt>
                <c:pt idx="9">
                  <c:v>198.33053866651</c:v>
                </c:pt>
                <c:pt idx="10">
                  <c:v>153.51975437086</c:v>
                </c:pt>
                <c:pt idx="11">
                  <c:v>200.687740629825</c:v>
                </c:pt>
                <c:pt idx="12">
                  <c:v>223.248320965111</c:v>
                </c:pt>
                <c:pt idx="13">
                  <c:v>263.503470658786</c:v>
                </c:pt>
                <c:pt idx="14">
                  <c:v>220.427631061753</c:v>
                </c:pt>
              </c:numCache>
            </c:numRef>
          </c:val>
        </c:ser>
        <c:gapWidth val="150"/>
        <c:overlap val="0"/>
        <c:axId val="51776217"/>
        <c:axId val="26303676"/>
      </c:barChart>
      <c:lineChart>
        <c:grouping val="standard"/>
        <c:varyColors val="0"/>
        <c:ser>
          <c:idx val="2"/>
          <c:order val="2"/>
          <c:tx>
            <c:strRef>
              <c:f>Outlook!$A$13</c:f>
              <c:strCache>
                <c:ptCount val="1"/>
                <c:pt idx="0">
                  <c:v>Cash at end of month</c:v>
                </c:pt>
              </c:strCache>
            </c:strRef>
          </c:tx>
          <c:spPr>
            <a:solidFill>
              <a:srgbClr val="475571"/>
            </a:solidFill>
            <a:ln w="38160">
              <a:solidFill>
                <a:srgbClr val="475571"/>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Outlook!$B$13:$P$13</c:f>
              <c:numCache>
                <c:formatCode>#,##0</c:formatCode>
                <c:ptCount val="15"/>
                <c:pt idx="0">
                  <c:v>175.080995401179</c:v>
                </c:pt>
                <c:pt idx="1">
                  <c:v>156.573662362364</c:v>
                </c:pt>
                <c:pt idx="2">
                  <c:v>130.546896030461</c:v>
                </c:pt>
                <c:pt idx="3">
                  <c:v>101.916557165523</c:v>
                </c:pt>
                <c:pt idx="4">
                  <c:v>69.7602957619471</c:v>
                </c:pt>
                <c:pt idx="5">
                  <c:v>81.8689405301233</c:v>
                </c:pt>
                <c:pt idx="6">
                  <c:v>81.6139398489474</c:v>
                </c:pt>
                <c:pt idx="7">
                  <c:v>128.893113267431</c:v>
                </c:pt>
                <c:pt idx="8">
                  <c:v>153.258108273981</c:v>
                </c:pt>
                <c:pt idx="9">
                  <c:v>161.373149485407</c:v>
                </c:pt>
                <c:pt idx="10">
                  <c:v>210.454342106582</c:v>
                </c:pt>
                <c:pt idx="11">
                  <c:v>264.320561517008</c:v>
                </c:pt>
                <c:pt idx="12">
                  <c:v>294.063363815153</c:v>
                </c:pt>
                <c:pt idx="13">
                  <c:v>386.19178317795</c:v>
                </c:pt>
                <c:pt idx="14">
                  <c:v>541.814981762762</c:v>
                </c:pt>
              </c:numCache>
            </c:numRef>
          </c:val>
          <c:smooth val="0"/>
        </c:ser>
        <c:ser>
          <c:idx val="3"/>
          <c:order val="3"/>
          <c:tx>
            <c:strRef>
              <c:f>Outlook!$A$14</c:f>
              <c:strCache>
                <c:ptCount val="1"/>
                <c:pt idx="0">
                  <c:v>Cash floor (1 month of costs)</c:v>
                </c:pt>
              </c:strCache>
            </c:strRef>
          </c:tx>
          <c:spPr>
            <a:solidFill>
              <a:srgbClr val="9b3809"/>
            </a:solidFill>
            <a:ln w="28440">
              <a:solidFill>
                <a:srgbClr val="9b3809"/>
              </a:solidFill>
              <a:prstDash val="dash"/>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Outlook!$B$4:$P$4</c:f>
              <c:strCache>
                <c:ptCount val="15"/>
                <c:pt idx="0">
                  <c:v>Oct-26</c:v>
                </c:pt>
                <c:pt idx="1">
                  <c:v>Nov-26</c:v>
                </c:pt>
                <c:pt idx="2">
                  <c:v>Dec-26</c:v>
                </c:pt>
                <c:pt idx="3">
                  <c:v>Jan-27</c:v>
                </c:pt>
                <c:pt idx="4">
                  <c:v>Feb-27</c:v>
                </c:pt>
                <c:pt idx="5">
                  <c:v>Mar-27</c:v>
                </c:pt>
                <c:pt idx="6">
                  <c:v>Apr-27</c:v>
                </c:pt>
                <c:pt idx="7">
                  <c:v>May-27</c:v>
                </c:pt>
                <c:pt idx="8">
                  <c:v>Jun-27</c:v>
                </c:pt>
                <c:pt idx="9">
                  <c:v>Jul-27</c:v>
                </c:pt>
                <c:pt idx="10">
                  <c:v>Aug-27</c:v>
                </c:pt>
                <c:pt idx="11">
                  <c:v>Sep-27</c:v>
                </c:pt>
                <c:pt idx="12">
                  <c:v>Oct-27</c:v>
                </c:pt>
                <c:pt idx="13">
                  <c:v>Nov-27</c:v>
                </c:pt>
                <c:pt idx="14">
                  <c:v>Dec-27</c:v>
                </c:pt>
              </c:strCache>
            </c:strRef>
          </c:cat>
          <c:val>
            <c:numRef>
              <c:f>Outlook!$B$14:$P$14</c:f>
              <c:numCache>
                <c:formatCode>#,##0</c:formatCode>
                <c:ptCount val="15"/>
                <c:pt idx="0">
                  <c:v>40.3476215796001</c:v>
                </c:pt>
                <c:pt idx="1">
                  <c:v>42.9730447444999</c:v>
                </c:pt>
                <c:pt idx="2">
                  <c:v>42.9413950043754</c:v>
                </c:pt>
                <c:pt idx="3">
                  <c:v>53.8644968829861</c:v>
                </c:pt>
                <c:pt idx="4">
                  <c:v>80.8572034345581</c:v>
                </c:pt>
                <c:pt idx="5">
                  <c:v>123.98857846787</c:v>
                </c:pt>
                <c:pt idx="6">
                  <c:v>103.893493182419</c:v>
                </c:pt>
                <c:pt idx="7">
                  <c:v>141.570523235176</c:v>
                </c:pt>
                <c:pt idx="8">
                  <c:v>108.68409141591</c:v>
                </c:pt>
                <c:pt idx="9">
                  <c:v>196.820265692139</c:v>
                </c:pt>
                <c:pt idx="10">
                  <c:v>152.773998301375</c:v>
                </c:pt>
                <c:pt idx="11">
                  <c:v>199.319712191469</c:v>
                </c:pt>
                <c:pt idx="12">
                  <c:v>221.719090110874</c:v>
                </c:pt>
                <c:pt idx="13">
                  <c:v>261.363885480299</c:v>
                </c:pt>
                <c:pt idx="14">
                  <c:v>218.911260838743</c:v>
                </c:pt>
              </c:numCache>
            </c:numRef>
          </c:val>
          <c:smooth val="0"/>
        </c:ser>
        <c:hiLowLines>
          <c:spPr>
            <a:ln w="0">
              <a:noFill/>
            </a:ln>
          </c:spPr>
        </c:hiLowLines>
        <c:marker val="0"/>
        <c:axId val="51776217"/>
        <c:axId val="26303676"/>
      </c:lineChart>
      <c:catAx>
        <c:axId val="5177621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6303676"/>
        <c:crosses val="autoZero"/>
        <c:auto val="1"/>
        <c:lblAlgn val="ctr"/>
        <c:lblOffset val="100"/>
        <c:noMultiLvlLbl val="0"/>
      </c:catAx>
      <c:valAx>
        <c:axId val="26303676"/>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Rp million</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1776217"/>
        <c:crosses val="autoZero"/>
        <c:crossBetween val="between"/>
      </c:valAx>
      <c:spPr>
        <a:noFill/>
        <a:ln w="0">
          <a:noFill/>
        </a:ln>
      </c:spPr>
    </c:plotArea>
    <c:legend>
      <c:legendPos val="t"/>
      <c:overlay val="1"/>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16</xdr:col>
      <xdr:colOff>226800</xdr:colOff>
      <xdr:row>37</xdr:row>
      <xdr:rowOff>149760</xdr:rowOff>
    </xdr:to>
    <xdr:graphicFrame>
      <xdr:nvGraphicFramePr>
        <xdr:cNvPr id="0" name="Chart 1"/>
        <xdr:cNvGraphicFramePr/>
      </xdr:nvGraphicFramePr>
      <xdr:xfrm>
        <a:off x="0" y="3276720"/>
        <a:ext cx="107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8"/>
    <col collapsed="false" customWidth="true" hidden="false" outlineLevel="0" max="4" min="4" style="0" width="80"/>
    <col collapsed="false" customWidth="true" hidden="false" outlineLevel="0" max="6" min="5" style="0" width="16"/>
  </cols>
  <sheetData>
    <row r="1" customFormat="false" ht="17.25" hidden="false" customHeight="true" outlineLevel="0" collapsed="false">
      <c r="A1" s="1" t="s">
        <v>0</v>
      </c>
      <c r="B1" s="2"/>
      <c r="C1" s="2"/>
      <c r="D1" s="2"/>
      <c r="E1" s="2"/>
      <c r="F1" s="2"/>
    </row>
    <row r="2" customFormat="false" ht="15" hidden="false" customHeight="true" outlineLevel="0" collapsed="false">
      <c r="A2" s="3" t="s">
        <v>1</v>
      </c>
      <c r="B2" s="2"/>
      <c r="C2" s="2"/>
      <c r="D2" s="2"/>
      <c r="E2" s="2"/>
      <c r="F2" s="2"/>
    </row>
    <row r="3" customFormat="false" ht="15" hidden="false" customHeight="true" outlineLevel="0" collapsed="false">
      <c r="A3" s="2" t="s">
        <v>2</v>
      </c>
      <c r="B3" s="4" t="str">
        <f aca="false">CHOOSE(Inputs!$C$6,"1. Base plan","2. No new B2B deal Jan-Jun 2027","3. BI cuts volume","4. Worst case (2 + 3)")</f>
        <v>1. Base plan</v>
      </c>
      <c r="C3" s="2"/>
      <c r="D3" s="2"/>
      <c r="E3" s="2"/>
      <c r="F3" s="2"/>
    </row>
    <row r="4" customFormat="false" ht="15" hidden="false" customHeight="true" outlineLevel="0" collapsed="false">
      <c r="A4" s="2" t="s">
        <v>3</v>
      </c>
      <c r="B4" s="4" t="str">
        <f aca="false">CHOOSE(Inputs!$C$85,"1. Current prices","2. New rate card")</f>
        <v>2. New rate card</v>
      </c>
      <c r="C4" s="2"/>
      <c r="D4" s="2"/>
      <c r="E4" s="2"/>
      <c r="F4" s="2"/>
    </row>
    <row r="5" customFormat="false" ht="15" hidden="false" customHeight="true" outlineLevel="0" collapsed="false">
      <c r="A5" s="5" t="s">
        <v>4</v>
      </c>
      <c r="B5" s="5" t="s">
        <v>5</v>
      </c>
      <c r="C5" s="5" t="s">
        <v>6</v>
      </c>
      <c r="D5" s="5" t="s">
        <v>7</v>
      </c>
      <c r="E5" s="2"/>
      <c r="F5" s="2"/>
    </row>
    <row r="6" customFormat="false" ht="15" hidden="false" customHeight="true" outlineLevel="0" collapsed="false">
      <c r="A6" s="6" t="s">
        <v>8</v>
      </c>
      <c r="B6" s="7"/>
      <c r="C6" s="7"/>
      <c r="D6" s="7"/>
      <c r="E6" s="2"/>
      <c r="F6" s="2"/>
    </row>
    <row r="7" customFormat="false" ht="15" hidden="false" customHeight="true" outlineLevel="0" collapsed="false">
      <c r="A7" s="2" t="s">
        <v>9</v>
      </c>
      <c r="B7" s="8" t="n">
        <f aca="false">PnL!$D$12</f>
        <v>2432.55456903426</v>
      </c>
      <c r="C7" s="2" t="s">
        <v>10</v>
      </c>
      <c r="D7" s="2" t="s">
        <v>11</v>
      </c>
      <c r="E7" s="2"/>
      <c r="F7" s="2"/>
    </row>
    <row r="8" customFormat="false" ht="15" hidden="false" customHeight="true" outlineLevel="0" collapsed="false">
      <c r="A8" s="2" t="s">
        <v>12</v>
      </c>
      <c r="B8" s="8" t="n">
        <f aca="false">PnL!$D$23</f>
        <v>1451.71374536657</v>
      </c>
      <c r="C8" s="2" t="s">
        <v>10</v>
      </c>
      <c r="D8" s="2" t="s">
        <v>13</v>
      </c>
      <c r="E8" s="2"/>
      <c r="F8" s="2"/>
    </row>
    <row r="9" customFormat="false" ht="15" hidden="false" customHeight="true" outlineLevel="0" collapsed="false">
      <c r="A9" s="2" t="s">
        <v>14</v>
      </c>
      <c r="B9" s="8" t="n">
        <f aca="false">PnL!$D$31</f>
        <v>882.925775566125</v>
      </c>
      <c r="C9" s="2" t="s">
        <v>10</v>
      </c>
      <c r="D9" s="2" t="s">
        <v>15</v>
      </c>
      <c r="E9" s="2"/>
      <c r="F9" s="2"/>
    </row>
    <row r="10" customFormat="false" ht="15" hidden="false" customHeight="true" outlineLevel="0" collapsed="false">
      <c r="A10" s="2" t="s">
        <v>16</v>
      </c>
      <c r="B10" s="8" t="n">
        <f aca="false">PnL!$D$28</f>
        <v>270</v>
      </c>
      <c r="C10" s="2" t="s">
        <v>10</v>
      </c>
      <c r="D10" s="2" t="s">
        <v>17</v>
      </c>
      <c r="E10" s="2"/>
      <c r="F10" s="2"/>
    </row>
    <row r="11" customFormat="false" ht="15" hidden="false" customHeight="true" outlineLevel="0" collapsed="false">
      <c r="A11" s="2" t="s">
        <v>18</v>
      </c>
      <c r="B11" s="8" t="n">
        <f aca="false">PnL!$D$35</f>
        <v>556.625196955273</v>
      </c>
      <c r="C11" s="2" t="s">
        <v>10</v>
      </c>
      <c r="D11" s="2" t="s">
        <v>19</v>
      </c>
      <c r="E11" s="2"/>
      <c r="F11" s="2"/>
    </row>
    <row r="12" customFormat="false" ht="15" hidden="false" customHeight="true" outlineLevel="0" collapsed="false">
      <c r="A12" s="2" t="s">
        <v>20</v>
      </c>
      <c r="B12" s="9" t="n">
        <f aca="false">PnL!$D$36</f>
        <v>0.228823313581926</v>
      </c>
      <c r="C12" s="2" t="s">
        <v>21</v>
      </c>
      <c r="D12" s="2" t="s">
        <v>22</v>
      </c>
      <c r="E12" s="2"/>
      <c r="F12" s="2"/>
    </row>
    <row r="13" customFormat="false" ht="15" hidden="false" customHeight="true" outlineLevel="0" collapsed="false">
      <c r="A13" s="2" t="s">
        <v>23</v>
      </c>
      <c r="B13" s="2" t="str">
        <f aca="false">IF(PnL!$D$36&gt;=Inputs!$C$82,"Yes","No")</f>
        <v>Yes</v>
      </c>
      <c r="C13" s="2"/>
      <c r="D13" s="2" t="s">
        <v>24</v>
      </c>
      <c r="E13" s="2"/>
      <c r="F13" s="2"/>
    </row>
    <row r="14" customFormat="false" ht="15" hidden="false" customHeight="true" outlineLevel="0" collapsed="false">
      <c r="A14" s="2" t="s">
        <v>25</v>
      </c>
      <c r="B14" s="8" t="n">
        <f aca="false">IF(Unit_Economics!$G$5&lt;=0,0,(PnL!$D$31/12-(PnL!$D$23-PnL!$D$6-PnL!$D$7+PnL!$D$15+PnL!$D$16)/12)/Unit_Economics!$G$5)</f>
        <v>0.463296941550481</v>
      </c>
      <c r="C14" s="2" t="s">
        <v>26</v>
      </c>
      <c r="D14" s="2" t="s">
        <v>27</v>
      </c>
      <c r="E14" s="2"/>
      <c r="F14" s="2"/>
    </row>
    <row r="15" customFormat="false" ht="15" hidden="false" customHeight="true" outlineLevel="0" collapsed="false">
      <c r="A15" s="6" t="s">
        <v>28</v>
      </c>
      <c r="B15" s="7"/>
      <c r="C15" s="7"/>
      <c r="D15" s="7"/>
      <c r="E15" s="2"/>
      <c r="F15" s="2"/>
    </row>
    <row r="16" customFormat="false" ht="15" hidden="false" customHeight="true" outlineLevel="0" collapsed="false">
      <c r="A16" s="2" t="s">
        <v>29</v>
      </c>
      <c r="B16" s="8" t="n">
        <f aca="false">MIN(CashFlow!$E$21:$S$21)</f>
        <v>69.7602957619471</v>
      </c>
      <c r="C16" s="2" t="s">
        <v>10</v>
      </c>
      <c r="D16" s="2" t="s">
        <v>30</v>
      </c>
      <c r="E16" s="2"/>
      <c r="F16" s="2"/>
    </row>
    <row r="17" customFormat="false" ht="15" hidden="false" customHeight="true" outlineLevel="0" collapsed="false">
      <c r="A17" s="2" t="s">
        <v>31</v>
      </c>
      <c r="B17" s="2" t="str">
        <f aca="false">INDEX(Volume!$E$4:$S$4,MATCH(MIN(CashFlow!$E$21:$S$21),CashFlow!$E$21:$S$21,0))</f>
        <v>Feb-27</v>
      </c>
      <c r="C17" s="2"/>
      <c r="D17" s="2" t="s">
        <v>32</v>
      </c>
      <c r="E17" s="2"/>
      <c r="F17" s="2"/>
    </row>
    <row r="18" customFormat="false" ht="15" hidden="false" customHeight="true" outlineLevel="0" collapsed="false">
      <c r="A18" s="2" t="s">
        <v>33</v>
      </c>
      <c r="B18" s="10" t="n">
        <f aca="false">COUNTIF(CashFlow!$E$25:$S$25,0)</f>
        <v>5</v>
      </c>
      <c r="C18" s="2" t="s">
        <v>34</v>
      </c>
      <c r="D18" s="2" t="s">
        <v>35</v>
      </c>
      <c r="E18" s="2"/>
      <c r="F18" s="2"/>
    </row>
    <row r="19" customFormat="false" ht="15" hidden="false" customHeight="true" outlineLevel="0" collapsed="false">
      <c r="A19" s="2" t="s">
        <v>36</v>
      </c>
      <c r="B19" s="8" t="n">
        <f aca="false">CashFlow!$D$21</f>
        <v>541.814981762762</v>
      </c>
      <c r="C19" s="2" t="s">
        <v>10</v>
      </c>
      <c r="D19" s="2"/>
      <c r="E19" s="2"/>
      <c r="F19" s="2"/>
    </row>
    <row r="20" customFormat="false" ht="15" hidden="false" customHeight="true" outlineLevel="0" collapsed="false">
      <c r="A20" s="2" t="s">
        <v>37</v>
      </c>
      <c r="B20" s="8" t="n">
        <f aca="false">CashFlow!$D$26</f>
        <v>237.69875</v>
      </c>
      <c r="C20" s="2" t="s">
        <v>10</v>
      </c>
      <c r="D20" s="2" t="s">
        <v>38</v>
      </c>
      <c r="E20" s="2"/>
      <c r="F20" s="2"/>
    </row>
    <row r="21" customFormat="false" ht="15" hidden="false" customHeight="true" outlineLevel="0" collapsed="false">
      <c r="A21" s="2" t="s">
        <v>39</v>
      </c>
      <c r="B21" s="8" t="n">
        <f aca="false">CashFlow!$G$21/(Capacity_OPEX!$H$32-((PnL!$D$10+PnL!$D$11-PnL!$D$19-PnL!$D$20)/12))</f>
        <v>3.33467727026096</v>
      </c>
      <c r="C21" s="2" t="s">
        <v>34</v>
      </c>
      <c r="D21" s="2" t="s">
        <v>40</v>
      </c>
      <c r="E21" s="2"/>
      <c r="F21" s="2"/>
    </row>
    <row r="22" customFormat="false" ht="15" hidden="false" customHeight="true" outlineLevel="0" collapsed="false">
      <c r="A22" s="6" t="s">
        <v>41</v>
      </c>
      <c r="B22" s="7"/>
      <c r="C22" s="7"/>
      <c r="D22" s="7"/>
      <c r="E22" s="2"/>
      <c r="F22" s="2"/>
    </row>
    <row r="23" customFormat="false" ht="15" hidden="false" customHeight="true" outlineLevel="0" collapsed="false">
      <c r="A23" s="2" t="s">
        <v>42</v>
      </c>
      <c r="B23" s="10" t="n">
        <f aca="false">Capacity_OPEX!$D$8</f>
        <v>9</v>
      </c>
      <c r="C23" s="2" t="s">
        <v>43</v>
      </c>
      <c r="D23" s="2" t="s">
        <v>44</v>
      </c>
      <c r="E23" s="2"/>
      <c r="F23" s="2"/>
    </row>
    <row r="24" customFormat="false" ht="15" hidden="false" customHeight="true" outlineLevel="0" collapsed="false">
      <c r="A24" s="2" t="s">
        <v>45</v>
      </c>
      <c r="B24" s="10" t="n">
        <f aca="false">Capacity_OPEX!$D$9-Inputs!$C$35</f>
        <v>7</v>
      </c>
      <c r="C24" s="2" t="s">
        <v>43</v>
      </c>
      <c r="D24" s="2"/>
      <c r="E24" s="2"/>
      <c r="F24" s="2"/>
    </row>
    <row r="25" customFormat="false" ht="15" hidden="false" customHeight="true" outlineLevel="0" collapsed="false">
      <c r="A25" s="2" t="s">
        <v>46</v>
      </c>
      <c r="B25" s="2" t="str">
        <f aca="false">IFERROR(INDEX(Volume!$E$4:$S$4,MATCH(1,Capacity_OPEX!$E$15:$S$15,0)),"Not needed")</f>
        <v>Dec-27</v>
      </c>
      <c r="C25" s="2"/>
      <c r="D25" s="2" t="s">
        <v>47</v>
      </c>
      <c r="E25" s="2"/>
      <c r="F25" s="2"/>
    </row>
    <row r="26" customFormat="false" ht="15" hidden="false" customHeight="true" outlineLevel="0" collapsed="false">
      <c r="A26" s="6" t="s">
        <v>48</v>
      </c>
      <c r="B26" s="7"/>
      <c r="C26" s="7"/>
      <c r="D26" s="7"/>
      <c r="E26" s="2"/>
      <c r="F26" s="2"/>
    </row>
    <row r="27" customFormat="false" ht="15" hidden="false" customHeight="true" outlineLevel="0" collapsed="false">
      <c r="A27" s="2" t="s">
        <v>49</v>
      </c>
      <c r="B27" s="9" t="n">
        <f aca="false">PnL!$D$41</f>
        <v>0.5569054923762</v>
      </c>
      <c r="C27" s="2" t="s">
        <v>21</v>
      </c>
      <c r="D27" s="2" t="s">
        <v>50</v>
      </c>
      <c r="E27" s="2"/>
      <c r="F27" s="2"/>
    </row>
    <row r="28" customFormat="false" ht="15" hidden="false" customHeight="true" outlineLevel="0" collapsed="false">
      <c r="A28" s="2" t="s">
        <v>51</v>
      </c>
      <c r="B28" s="9" t="n">
        <f aca="false">IF(PnL!$D$12=0,0,PnL!$D$42/PnL!$D$12)</f>
        <v>0.934518809542061</v>
      </c>
      <c r="C28" s="2" t="s">
        <v>21</v>
      </c>
      <c r="D28" s="2"/>
      <c r="E28" s="2"/>
      <c r="F28" s="2"/>
    </row>
    <row r="29" customFormat="false" ht="15" hidden="false" customHeight="true" outlineLevel="0" collapsed="false">
      <c r="A29" s="2" t="s">
        <v>52</v>
      </c>
      <c r="B29" s="9" t="n">
        <f aca="false">IF(PnL!$D$12=0,0,SUM(PnL!Q12:S12)/PnL!$D$12)</f>
        <v>0.426316130518898</v>
      </c>
      <c r="C29" s="2" t="s">
        <v>21</v>
      </c>
      <c r="D29" s="2" t="s">
        <v>53</v>
      </c>
      <c r="E29" s="2"/>
      <c r="F29" s="2"/>
    </row>
    <row r="30" customFormat="false" ht="15" hidden="false" customHeight="true" outlineLevel="0" collapsed="false">
      <c r="A30" s="2" t="s">
        <v>54</v>
      </c>
      <c r="B30" s="8" t="n">
        <f aca="false">Unit_Economics!$B$13</f>
        <v>6</v>
      </c>
      <c r="C30" s="2" t="s">
        <v>10</v>
      </c>
      <c r="D30" s="2" t="s">
        <v>55</v>
      </c>
      <c r="E30" s="2"/>
      <c r="F30" s="2"/>
    </row>
    <row r="31" customFormat="false" ht="15" hidden="false" customHeight="true" outlineLevel="0" collapsed="false">
      <c r="A31" s="2" t="s">
        <v>56</v>
      </c>
      <c r="B31" s="8" t="n">
        <f aca="false">PnL!$D$43</f>
        <v>89.25</v>
      </c>
      <c r="C31" s="2" t="s">
        <v>10</v>
      </c>
      <c r="D31" s="2" t="s">
        <v>57</v>
      </c>
      <c r="E31" s="2"/>
      <c r="F31" s="2"/>
    </row>
    <row r="32" customFormat="false" ht="15" hidden="false" customHeight="true" outlineLevel="0" collapsed="false">
      <c r="A32" s="2" t="s">
        <v>58</v>
      </c>
      <c r="B32" s="8" t="n">
        <f aca="false">PnL!$D$44</f>
        <v>44.7723257114371</v>
      </c>
      <c r="C32" s="2" t="s">
        <v>10</v>
      </c>
      <c r="D32" s="2"/>
      <c r="E32" s="2"/>
      <c r="F32" s="2"/>
    </row>
    <row r="33" customFormat="false" ht="15" hidden="false" customHeight="true" outlineLevel="0" collapsed="false">
      <c r="A33" s="2"/>
      <c r="B33" s="2"/>
      <c r="C33" s="2"/>
      <c r="D33" s="2"/>
      <c r="E33" s="2"/>
      <c r="F33" s="2"/>
    </row>
    <row r="34" customFormat="false" ht="15" hidden="false" customHeight="true" outlineLevel="0" collapsed="false">
      <c r="A34" s="11" t="s">
        <v>59</v>
      </c>
      <c r="B34" s="2"/>
      <c r="C34" s="2"/>
      <c r="D34" s="2"/>
      <c r="E34" s="2"/>
      <c r="F34" s="2"/>
    </row>
    <row r="35" customFormat="false" ht="15" hidden="false" customHeight="true" outlineLevel="0" collapsed="false">
      <c r="A35" s="5" t="s">
        <v>60</v>
      </c>
      <c r="B35" s="5" t="s">
        <v>61</v>
      </c>
      <c r="C35" s="5" t="s">
        <v>62</v>
      </c>
      <c r="D35" s="5" t="s">
        <v>63</v>
      </c>
      <c r="E35" s="5" t="s">
        <v>64</v>
      </c>
      <c r="F35" s="5" t="s">
        <v>65</v>
      </c>
    </row>
    <row r="36" customFormat="false" ht="15" hidden="false" customHeight="true" outlineLevel="0" collapsed="false">
      <c r="A36" s="2" t="s">
        <v>9</v>
      </c>
      <c r="B36" s="12" t="n">
        <v>2039.97351422874</v>
      </c>
      <c r="C36" s="12" t="n">
        <v>2432.55456903426</v>
      </c>
      <c r="D36" s="12" t="n">
        <v>2451.41956903426</v>
      </c>
      <c r="E36" s="12" t="n">
        <v>1738.75095453426</v>
      </c>
      <c r="F36" s="12" t="n">
        <v>3300.07790153427</v>
      </c>
    </row>
    <row r="37" customFormat="false" ht="15" hidden="false" customHeight="true" outlineLevel="0" collapsed="false">
      <c r="A37" s="2" t="s">
        <v>18</v>
      </c>
      <c r="B37" s="12" t="n">
        <v>532.208572421794</v>
      </c>
      <c r="C37" s="12" t="n">
        <v>556.625196955274</v>
      </c>
      <c r="D37" s="12" t="n">
        <v>612.395871955273</v>
      </c>
      <c r="E37" s="12" t="n">
        <v>235.937730786375</v>
      </c>
      <c r="F37" s="12" t="n">
        <v>982.837071857773</v>
      </c>
    </row>
    <row r="38" customFormat="false" ht="15" hidden="false" customHeight="true" outlineLevel="0" collapsed="false">
      <c r="A38" s="2" t="s">
        <v>20</v>
      </c>
      <c r="B38" s="13" t="n">
        <v>0.260889942300554</v>
      </c>
      <c r="C38" s="13" t="n">
        <v>0.228823313581926</v>
      </c>
      <c r="D38" s="13" t="n">
        <v>0.249812753267906</v>
      </c>
      <c r="E38" s="13" t="n">
        <v>0.135693803745213</v>
      </c>
      <c r="F38" s="13" t="n">
        <v>0.297822385162737</v>
      </c>
    </row>
    <row r="39" customFormat="false" ht="15" hidden="false" customHeight="true" outlineLevel="0" collapsed="false">
      <c r="A39" s="2" t="s">
        <v>29</v>
      </c>
      <c r="B39" s="12" t="n">
        <v>82.4894475274973</v>
      </c>
      <c r="C39" s="12" t="n">
        <v>69.7602957619471</v>
      </c>
      <c r="D39" s="12" t="n">
        <v>106.759565498856</v>
      </c>
      <c r="E39" s="12" t="n">
        <v>55.3705037289475</v>
      </c>
      <c r="F39" s="12" t="n">
        <v>69.2097351369471</v>
      </c>
    </row>
    <row r="40" customFormat="false" ht="15" hidden="false" customHeight="true" outlineLevel="0" collapsed="false">
      <c r="A40" s="2" t="s">
        <v>31</v>
      </c>
      <c r="B40" s="14" t="s">
        <v>66</v>
      </c>
      <c r="C40" s="14" t="s">
        <v>66</v>
      </c>
      <c r="D40" s="14" t="s">
        <v>67</v>
      </c>
      <c r="E40" s="14" t="s">
        <v>68</v>
      </c>
      <c r="F40" s="14" t="s">
        <v>66</v>
      </c>
    </row>
    <row r="41" customFormat="false" ht="15" hidden="false" customHeight="true" outlineLevel="0" collapsed="false">
      <c r="A41" s="2" t="s">
        <v>33</v>
      </c>
      <c r="B41" s="15" t="n">
        <v>1</v>
      </c>
      <c r="C41" s="15" t="n">
        <v>5</v>
      </c>
      <c r="D41" s="15" t="n">
        <v>1</v>
      </c>
      <c r="E41" s="15" t="n">
        <v>7</v>
      </c>
      <c r="F41" s="15" t="n">
        <v>5</v>
      </c>
    </row>
    <row r="42" customFormat="false" ht="15" hidden="false" customHeight="true" outlineLevel="0" collapsed="false">
      <c r="A42" s="2" t="s">
        <v>36</v>
      </c>
      <c r="B42" s="12" t="n">
        <v>523.855871476078</v>
      </c>
      <c r="C42" s="12" t="n">
        <v>541.814981762762</v>
      </c>
      <c r="D42" s="12" t="n">
        <v>598.265502596096</v>
      </c>
      <c r="E42" s="12" t="n">
        <v>290.330116616363</v>
      </c>
      <c r="F42" s="12" t="n">
        <v>907.049162022762</v>
      </c>
    </row>
    <row r="43" customFormat="false" ht="15" hidden="false" customHeight="true" outlineLevel="0" collapsed="false">
      <c r="A43" s="2"/>
      <c r="B43" s="13"/>
      <c r="C43" s="13"/>
      <c r="D43" s="13"/>
      <c r="E43" s="13"/>
      <c r="F43" s="13"/>
    </row>
    <row r="44" customFormat="false" ht="15" hidden="false" customHeight="false" outlineLevel="0" collapsed="false">
      <c r="A44" s="6" t="s">
        <v>69</v>
      </c>
    </row>
    <row r="45" customFormat="false" ht="15" hidden="false" customHeight="false" outlineLevel="0" collapsed="false">
      <c r="A45" s="2" t="s">
        <v>70</v>
      </c>
      <c r="B45" s="16" t="n">
        <f aca="false">Segments!D14</f>
        <v>0.235476937616001</v>
      </c>
      <c r="C45" s="2" t="s">
        <v>21</v>
      </c>
      <c r="D45" s="2" t="s">
        <v>71</v>
      </c>
    </row>
    <row r="46" customFormat="false" ht="15" hidden="false" customHeight="false" outlineLevel="0" collapsed="false">
      <c r="A46" s="2" t="s">
        <v>72</v>
      </c>
      <c r="B46" s="16" t="n">
        <f aca="false">Segments!D15</f>
        <v>0.448838851920786</v>
      </c>
      <c r="C46" s="2" t="s">
        <v>21</v>
      </c>
      <c r="D46" s="2" t="s">
        <v>73</v>
      </c>
    </row>
    <row r="47" customFormat="false" ht="15" hidden="false" customHeight="false" outlineLevel="0" collapsed="false">
      <c r="A47" s="2" t="s">
        <v>74</v>
      </c>
      <c r="B47" s="16" t="n">
        <f aca="false">Segments!D16</f>
        <v>0.0537767997747053</v>
      </c>
      <c r="C47" s="2" t="s">
        <v>21</v>
      </c>
      <c r="D47" s="2" t="s">
        <v>75</v>
      </c>
    </row>
    <row r="48" customFormat="false" ht="15" hidden="false" customHeight="false" outlineLevel="0" collapsed="false">
      <c r="A48" s="2" t="s">
        <v>76</v>
      </c>
      <c r="B48" s="16" t="n">
        <f aca="false">Segments!D17</f>
        <v>0.153953380847969</v>
      </c>
      <c r="C48" s="2" t="s">
        <v>21</v>
      </c>
      <c r="D48" s="2" t="s">
        <v>77</v>
      </c>
    </row>
    <row r="49" customFormat="false" ht="15" hidden="false" customHeight="false" outlineLevel="0" collapsed="false">
      <c r="A49" s="2" t="s">
        <v>78</v>
      </c>
      <c r="B49" s="16" t="n">
        <f aca="false">Segments!D18</f>
        <v>0.0591970276157746</v>
      </c>
      <c r="C49" s="2" t="s">
        <v>21</v>
      </c>
      <c r="D49" s="2" t="s">
        <v>79</v>
      </c>
    </row>
    <row r="50" customFormat="false" ht="15" hidden="false" customHeight="false" outlineLevel="0" collapsed="false">
      <c r="A50" s="2" t="s">
        <v>80</v>
      </c>
      <c r="B50" s="16" t="n">
        <f aca="false">Segments!D19</f>
        <v>0.0487570022247638</v>
      </c>
      <c r="C50" s="2" t="s">
        <v>21</v>
      </c>
      <c r="D50" s="2" t="s">
        <v>81</v>
      </c>
    </row>
    <row r="51" customFormat="false" ht="15" hidden="false" customHeight="false" outlineLevel="0" collapsed="false">
      <c r="A51" s="2" t="s">
        <v>82</v>
      </c>
      <c r="B51" s="16" t="n">
        <f aca="false">Segments!D21</f>
        <v>0.5569054923762</v>
      </c>
      <c r="C51" s="2" t="s">
        <v>21</v>
      </c>
      <c r="D51"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30"/>
    <col collapsed="false" customWidth="true" hidden="false" outlineLevel="0" max="16" min="2" style="0" width="8"/>
  </cols>
  <sheetData>
    <row r="1" customFormat="false" ht="18" hidden="false" customHeight="true" outlineLevel="0" collapsed="false">
      <c r="A1" s="1" t="s">
        <v>84</v>
      </c>
    </row>
    <row r="2" customFormat="false" ht="15" hidden="false" customHeight="false" outlineLevel="0" collapsed="false">
      <c r="A2" s="17" t="s">
        <v>85</v>
      </c>
    </row>
    <row r="4" customFormat="false" ht="15" hidden="false" customHeight="false" outlineLevel="0" collapsed="false">
      <c r="A4" s="18" t="s">
        <v>86</v>
      </c>
      <c r="B4" s="19" t="str">
        <f aca="false">Volume!E4</f>
        <v>Oct-26</v>
      </c>
      <c r="C4" s="19" t="str">
        <f aca="false">Volume!F4</f>
        <v>Nov-26</v>
      </c>
      <c r="D4" s="19" t="str">
        <f aca="false">Volume!G4</f>
        <v>Dec-26</v>
      </c>
      <c r="E4" s="19" t="str">
        <f aca="false">Volume!H4</f>
        <v>Jan-27</v>
      </c>
      <c r="F4" s="19" t="str">
        <f aca="false">Volume!I4</f>
        <v>Feb-27</v>
      </c>
      <c r="G4" s="19" t="str">
        <f aca="false">Volume!J4</f>
        <v>Mar-27</v>
      </c>
      <c r="H4" s="19" t="str">
        <f aca="false">Volume!K4</f>
        <v>Apr-27</v>
      </c>
      <c r="I4" s="19" t="str">
        <f aca="false">Volume!L4</f>
        <v>May-27</v>
      </c>
      <c r="J4" s="19" t="str">
        <f aca="false">Volume!M4</f>
        <v>Jun-27</v>
      </c>
      <c r="K4" s="19" t="str">
        <f aca="false">Volume!N4</f>
        <v>Jul-27</v>
      </c>
      <c r="L4" s="19" t="str">
        <f aca="false">Volume!O4</f>
        <v>Aug-27</v>
      </c>
      <c r="M4" s="19" t="str">
        <f aca="false">Volume!P4</f>
        <v>Sep-27</v>
      </c>
      <c r="N4" s="19" t="str">
        <f aca="false">Volume!Q4</f>
        <v>Oct-27</v>
      </c>
      <c r="O4" s="19" t="str">
        <f aca="false">Volume!R4</f>
        <v>Nov-27</v>
      </c>
      <c r="P4" s="19" t="str">
        <f aca="false">Volume!S4</f>
        <v>Dec-27</v>
      </c>
    </row>
    <row r="5" customFormat="false" ht="15" hidden="false" customHeight="false" outlineLevel="0" collapsed="false">
      <c r="A5" s="18" t="s">
        <v>87</v>
      </c>
      <c r="B5" s="20" t="n">
        <f aca="false">PnL!E12</f>
        <v>20.428616980779</v>
      </c>
      <c r="C5" s="20" t="n">
        <f aca="false">PnL!F12</f>
        <v>22.0321047905891</v>
      </c>
      <c r="D5" s="20" t="n">
        <f aca="false">PnL!G12</f>
        <v>22.096289196425</v>
      </c>
      <c r="E5" s="20" t="n">
        <f aca="false">PnL!H12</f>
        <v>22.8088894640304</v>
      </c>
      <c r="F5" s="20" t="n">
        <f aca="false">PnL!I12</f>
        <v>71.8302364783025</v>
      </c>
      <c r="G5" s="20" t="n">
        <f aca="false">PnL!J12</f>
        <v>175.590124418437</v>
      </c>
      <c r="H5" s="20" t="n">
        <f aca="false">PnL!K12</f>
        <v>110.167443123336</v>
      </c>
      <c r="I5" s="20" t="n">
        <f aca="false">PnL!L12</f>
        <v>199.751533869276</v>
      </c>
      <c r="J5" s="20" t="n">
        <f aca="false">PnL!M12</f>
        <v>90.5575940918056</v>
      </c>
      <c r="K5" s="20" t="n">
        <f aca="false">PnL!N12</f>
        <v>302.054594874024</v>
      </c>
      <c r="L5" s="20" t="n">
        <f aca="false">PnL!O12</f>
        <v>149.151213896921</v>
      </c>
      <c r="M5" s="20" t="n">
        <f aca="false">PnL!P12</f>
        <v>273.605687671379</v>
      </c>
      <c r="N5" s="20" t="n">
        <f aca="false">PnL!Q12</f>
        <v>305.846170847376</v>
      </c>
      <c r="O5" s="20" t="n">
        <f aca="false">PnL!R12</f>
        <v>427.917035697334</v>
      </c>
      <c r="P5" s="20" t="n">
        <f aca="false">PnL!S12</f>
        <v>303.274044602042</v>
      </c>
    </row>
    <row r="6" customFormat="false" ht="15" hidden="false" customHeight="false" outlineLevel="0" collapsed="false">
      <c r="A6" s="21" t="s">
        <v>88</v>
      </c>
      <c r="B6" s="20" t="n">
        <f aca="false">PnL!E21</f>
        <v>8.66217928981214</v>
      </c>
      <c r="C6" s="20" t="n">
        <f aca="false">PnL!F21</f>
        <v>10.4984582536191</v>
      </c>
      <c r="D6" s="20" t="n">
        <f aca="false">PnL!G21</f>
        <v>10.4650335167087</v>
      </c>
      <c r="E6" s="20" t="n">
        <f aca="false">PnL!H21</f>
        <v>10.9821302243776</v>
      </c>
      <c r="F6" s="20" t="n">
        <f aca="false">PnL!I21</f>
        <v>38.0716213758399</v>
      </c>
      <c r="G6" s="20" t="n">
        <f aca="false">PnL!J21</f>
        <v>61.5772726079531</v>
      </c>
      <c r="H6" s="20" t="n">
        <f aca="false">PnL!K21</f>
        <v>45.5926593504218</v>
      </c>
      <c r="I6" s="20" t="n">
        <f aca="false">PnL!L21</f>
        <v>74.2100915142057</v>
      </c>
      <c r="J6" s="20" t="n">
        <f aca="false">PnL!M21</f>
        <v>41.9652503936875</v>
      </c>
      <c r="K6" s="20" t="n">
        <f aca="false">PnL!N21</f>
        <v>115.298461732989</v>
      </c>
      <c r="L6" s="20" t="n">
        <f aca="false">PnL!O21</f>
        <v>72.7313969233015</v>
      </c>
      <c r="M6" s="20" t="n">
        <f aca="false">PnL!P21</f>
        <v>110.754529661272</v>
      </c>
      <c r="N6" s="20" t="n">
        <f aca="false">PnL!Q21</f>
        <v>125.973292026971</v>
      </c>
      <c r="O6" s="20" t="n">
        <f aca="false">PnL!R21</f>
        <v>162.085744718197</v>
      </c>
      <c r="P6" s="20" t="n">
        <f aca="false">PnL!S21</f>
        <v>121.598373138476</v>
      </c>
    </row>
    <row r="7" customFormat="false" ht="15" hidden="false" customHeight="false" outlineLevel="0" collapsed="false">
      <c r="A7" s="21" t="s">
        <v>89</v>
      </c>
      <c r="B7" s="20" t="n">
        <f aca="false">PnL!E31</f>
        <v>31.685442289788</v>
      </c>
      <c r="C7" s="20" t="n">
        <f aca="false">PnL!F31</f>
        <v>32.4745864908808</v>
      </c>
      <c r="D7" s="20" t="n">
        <f aca="false">PnL!G31</f>
        <v>32.4763614876667</v>
      </c>
      <c r="E7" s="20" t="n">
        <f aca="false">PnL!H31</f>
        <v>42.8823666586085</v>
      </c>
      <c r="F7" s="20" t="n">
        <f aca="false">PnL!I31</f>
        <v>42.7855820587183</v>
      </c>
      <c r="G7" s="20" t="n">
        <f aca="false">PnL!J31</f>
        <v>62.4113058599167</v>
      </c>
      <c r="H7" s="20" t="n">
        <f aca="false">PnL!K31</f>
        <v>58.3008338319975</v>
      </c>
      <c r="I7" s="20" t="n">
        <f aca="false">PnL!L31</f>
        <v>67.36043172097</v>
      </c>
      <c r="J7" s="20" t="n">
        <f aca="false">PnL!M31</f>
        <v>66.7188410222222</v>
      </c>
      <c r="K7" s="20" t="n">
        <f aca="false">PnL!N31</f>
        <v>81.5218039591502</v>
      </c>
      <c r="L7" s="20" t="n">
        <f aca="false">PnL!O31</f>
        <v>80.0426013780738</v>
      </c>
      <c r="M7" s="20" t="n">
        <f aca="false">PnL!P31</f>
        <v>88.5651825301961</v>
      </c>
      <c r="N7" s="20" t="n">
        <f aca="false">PnL!Q31</f>
        <v>95.7457980839032</v>
      </c>
      <c r="O7" s="20" t="n">
        <f aca="false">PnL!R31</f>
        <v>99.2781407621023</v>
      </c>
      <c r="P7" s="20" t="n">
        <f aca="false">PnL!S31</f>
        <v>97.3128877002667</v>
      </c>
    </row>
    <row r="8" customFormat="false" ht="15" hidden="false" customHeight="false" outlineLevel="0" collapsed="false">
      <c r="A8" s="21" t="s">
        <v>90</v>
      </c>
      <c r="B8" s="20" t="n">
        <f aca="false">PnL!E34</f>
        <v>0.102143084903895</v>
      </c>
      <c r="C8" s="20" t="n">
        <f aca="false">PnL!F34</f>
        <v>0.110160523952945</v>
      </c>
      <c r="D8" s="20" t="n">
        <f aca="false">PnL!G34</f>
        <v>0.110481445982125</v>
      </c>
      <c r="E8" s="20" t="n">
        <f aca="false">PnL!H34</f>
        <v>0.114044447320152</v>
      </c>
      <c r="F8" s="20" t="n">
        <f aca="false">PnL!I34</f>
        <v>0.359151182391512</v>
      </c>
      <c r="G8" s="20" t="n">
        <f aca="false">PnL!J34</f>
        <v>0.877950622092187</v>
      </c>
      <c r="H8" s="20" t="n">
        <f aca="false">PnL!K34</f>
        <v>0.550837215616678</v>
      </c>
      <c r="I8" s="20" t="n">
        <f aca="false">PnL!L34</f>
        <v>0.998757669346382</v>
      </c>
      <c r="J8" s="20" t="n">
        <f aca="false">PnL!M34</f>
        <v>0.452787970459028</v>
      </c>
      <c r="K8" s="20" t="n">
        <f aca="false">PnL!N34</f>
        <v>1.51027297437012</v>
      </c>
      <c r="L8" s="20" t="n">
        <f aca="false">PnL!O34</f>
        <v>0.745756069484603</v>
      </c>
      <c r="M8" s="20" t="n">
        <f aca="false">PnL!P34</f>
        <v>1.36802843835689</v>
      </c>
      <c r="N8" s="20" t="n">
        <f aca="false">PnL!Q34</f>
        <v>1.52923085423688</v>
      </c>
      <c r="O8" s="20" t="n">
        <f aca="false">PnL!R34</f>
        <v>2.13958517848667</v>
      </c>
      <c r="P8" s="20" t="n">
        <f aca="false">PnL!S34</f>
        <v>1.51637022301021</v>
      </c>
    </row>
    <row r="9" customFormat="false" ht="15" hidden="false" customHeight="false" outlineLevel="0" collapsed="false">
      <c r="A9" s="18" t="s">
        <v>91</v>
      </c>
      <c r="B9" s="20" t="n">
        <f aca="false">B6+B7+B8</f>
        <v>40.449764664504</v>
      </c>
      <c r="C9" s="20" t="n">
        <f aca="false">C6+C7+C8</f>
        <v>43.0832052684528</v>
      </c>
      <c r="D9" s="20" t="n">
        <f aca="false">D6+D7+D8</f>
        <v>43.0518764503575</v>
      </c>
      <c r="E9" s="20" t="n">
        <f aca="false">E6+E7+E8</f>
        <v>53.9785413303063</v>
      </c>
      <c r="F9" s="20" t="n">
        <f aca="false">F6+F7+F8</f>
        <v>81.2163546169497</v>
      </c>
      <c r="G9" s="20" t="n">
        <f aca="false">G6+G7+G8</f>
        <v>124.866529089962</v>
      </c>
      <c r="H9" s="20" t="n">
        <f aca="false">H6+H7+H8</f>
        <v>104.444330398036</v>
      </c>
      <c r="I9" s="20" t="n">
        <f aca="false">I6+I7+I8</f>
        <v>142.569280904522</v>
      </c>
      <c r="J9" s="20" t="n">
        <f aca="false">J6+J7+J8</f>
        <v>109.136879386369</v>
      </c>
      <c r="K9" s="20" t="n">
        <f aca="false">K6+K7+K8</f>
        <v>198.33053866651</v>
      </c>
      <c r="L9" s="20" t="n">
        <f aca="false">L6+L7+L8</f>
        <v>153.51975437086</v>
      </c>
      <c r="M9" s="20" t="n">
        <f aca="false">M6+M7+M8</f>
        <v>200.687740629825</v>
      </c>
      <c r="N9" s="20" t="n">
        <f aca="false">N6+N7+N8</f>
        <v>223.248320965111</v>
      </c>
      <c r="O9" s="20" t="n">
        <f aca="false">O6+O7+O8</f>
        <v>263.503470658786</v>
      </c>
      <c r="P9" s="20" t="n">
        <f aca="false">P6+P7+P8</f>
        <v>220.427631061753</v>
      </c>
    </row>
    <row r="10" customFormat="false" ht="15" hidden="false" customHeight="false" outlineLevel="0" collapsed="false">
      <c r="A10" s="21" t="s">
        <v>92</v>
      </c>
      <c r="B10" s="20" t="n">
        <f aca="false">PnL!E35</f>
        <v>-20.021147683725</v>
      </c>
      <c r="C10" s="20" t="n">
        <f aca="false">PnL!F35</f>
        <v>-21.0511004778638</v>
      </c>
      <c r="D10" s="20" t="n">
        <f aca="false">PnL!G35</f>
        <v>-20.9555872539325</v>
      </c>
      <c r="E10" s="20" t="n">
        <f aca="false">PnL!H35</f>
        <v>-31.1696518662759</v>
      </c>
      <c r="F10" s="20" t="n">
        <f aca="false">PnL!I35</f>
        <v>-9.38611813864718</v>
      </c>
      <c r="G10" s="20" t="n">
        <f aca="false">PnL!J35</f>
        <v>50.7235953284755</v>
      </c>
      <c r="H10" s="20" t="n">
        <f aca="false">PnL!K35</f>
        <v>5.72311272529968</v>
      </c>
      <c r="I10" s="20" t="n">
        <f aca="false">PnL!L35</f>
        <v>57.1822529647543</v>
      </c>
      <c r="J10" s="20" t="n">
        <f aca="false">PnL!M35</f>
        <v>-18.5792852945632</v>
      </c>
      <c r="K10" s="20" t="n">
        <f aca="false">PnL!N35</f>
        <v>103.724056207515</v>
      </c>
      <c r="L10" s="20" t="n">
        <f aca="false">PnL!O35</f>
        <v>-4.3685404739392</v>
      </c>
      <c r="M10" s="20" t="n">
        <f aca="false">PnL!P35</f>
        <v>72.9179470415534</v>
      </c>
      <c r="N10" s="20" t="n">
        <f aca="false">PnL!Q35</f>
        <v>82.597849882265</v>
      </c>
      <c r="O10" s="20" t="n">
        <f aca="false">PnL!R35</f>
        <v>164.413565038548</v>
      </c>
      <c r="P10" s="20" t="n">
        <f aca="false">PnL!S35</f>
        <v>82.8464135402883</v>
      </c>
    </row>
    <row r="11" customFormat="false" ht="15" hidden="false" customHeight="false" outlineLevel="0" collapsed="false">
      <c r="A11" s="21" t="s">
        <v>93</v>
      </c>
      <c r="B11" s="20" t="n">
        <f aca="false">CashFlow!E11</f>
        <v>5.428616980779</v>
      </c>
      <c r="C11" s="20" t="n">
        <f aca="false">CashFlow!F11</f>
        <v>24.5678547905891</v>
      </c>
      <c r="D11" s="20" t="n">
        <f aca="false">CashFlow!G11</f>
        <v>17.024789196425</v>
      </c>
      <c r="E11" s="20" t="n">
        <f aca="false">CashFlow!H11</f>
        <v>25.3446394640304</v>
      </c>
      <c r="F11" s="20" t="n">
        <f aca="false">CashFlow!I11</f>
        <v>48.8149864783025</v>
      </c>
      <c r="G11" s="20" t="n">
        <f aca="false">CashFlow!J11</f>
        <v>136.456374418438</v>
      </c>
      <c r="H11" s="20" t="n">
        <f aca="false">CashFlow!K11</f>
        <v>104.516443123336</v>
      </c>
      <c r="I11" s="20" t="n">
        <f aca="false">CashFlow!L11</f>
        <v>189.400533869276</v>
      </c>
      <c r="J11" s="20" t="n">
        <f aca="false">CashFlow!M11</f>
        <v>134.047844091806</v>
      </c>
      <c r="K11" s="20" t="n">
        <f aca="false">CashFlow!N11</f>
        <v>205.388094874024</v>
      </c>
      <c r="L11" s="20" t="n">
        <f aca="false">CashFlow!O11</f>
        <v>203.365463896921</v>
      </c>
      <c r="M11" s="20" t="n">
        <f aca="false">CashFlow!P11</f>
        <v>253.931687671379</v>
      </c>
      <c r="N11" s="20" t="n">
        <f aca="false">CashFlow!Q11</f>
        <v>252.829920847376</v>
      </c>
      <c r="O11" s="20" t="n">
        <f aca="false">CashFlow!R11</f>
        <v>355.021535697334</v>
      </c>
      <c r="P11" s="20" t="n">
        <f aca="false">CashFlow!S11</f>
        <v>376.674044602042</v>
      </c>
    </row>
    <row r="12" customFormat="false" ht="15" hidden="false" customHeight="false" outlineLevel="0" collapsed="false">
      <c r="A12" s="21" t="s">
        <v>94</v>
      </c>
      <c r="B12" s="20" t="n">
        <f aca="false">CashFlow!E17</f>
        <v>40.3476215796001</v>
      </c>
      <c r="C12" s="20" t="n">
        <f aca="false">CashFlow!F17</f>
        <v>43.0751878294038</v>
      </c>
      <c r="D12" s="20" t="n">
        <f aca="false">CashFlow!G17</f>
        <v>43.0515555283284</v>
      </c>
      <c r="E12" s="20" t="n">
        <f aca="false">CashFlow!H17</f>
        <v>53.9749783289682</v>
      </c>
      <c r="F12" s="20" t="n">
        <f aca="false">CashFlow!I17</f>
        <v>80.9712478818783</v>
      </c>
      <c r="G12" s="20" t="n">
        <f aca="false">CashFlow!J17</f>
        <v>124.347729650261</v>
      </c>
      <c r="H12" s="20" t="n">
        <f aca="false">CashFlow!K17</f>
        <v>104.771443804511</v>
      </c>
      <c r="I12" s="20" t="n">
        <f aca="false">CashFlow!L17</f>
        <v>142.121360450792</v>
      </c>
      <c r="J12" s="20" t="n">
        <f aca="false">CashFlow!M17</f>
        <v>109.682849085256</v>
      </c>
      <c r="K12" s="20" t="n">
        <f aca="false">CashFlow!N17</f>
        <v>197.273053662598</v>
      </c>
      <c r="L12" s="20" t="n">
        <f aca="false">CashFlow!O17</f>
        <v>154.284271275745</v>
      </c>
      <c r="M12" s="20" t="n">
        <f aca="false">CashFlow!P17</f>
        <v>200.065468260953</v>
      </c>
      <c r="N12" s="20" t="n">
        <f aca="false">CashFlow!Q17</f>
        <v>223.087118549231</v>
      </c>
      <c r="O12" s="20" t="n">
        <f aca="false">CashFlow!R17</f>
        <v>262.893116334536</v>
      </c>
      <c r="P12" s="20" t="n">
        <f aca="false">CashFlow!S17</f>
        <v>221.05084601723</v>
      </c>
    </row>
    <row r="13" customFormat="false" ht="15" hidden="false" customHeight="false" outlineLevel="0" collapsed="false">
      <c r="A13" s="18" t="s">
        <v>95</v>
      </c>
      <c r="B13" s="20" t="n">
        <f aca="false">CashFlow!E21</f>
        <v>175.080995401179</v>
      </c>
      <c r="C13" s="20" t="n">
        <f aca="false">CashFlow!F21</f>
        <v>156.573662362364</v>
      </c>
      <c r="D13" s="20" t="n">
        <f aca="false">CashFlow!G21</f>
        <v>130.546896030461</v>
      </c>
      <c r="E13" s="20" t="n">
        <f aca="false">CashFlow!H21</f>
        <v>101.916557165523</v>
      </c>
      <c r="F13" s="20" t="n">
        <f aca="false">CashFlow!I21</f>
        <v>69.7602957619471</v>
      </c>
      <c r="G13" s="20" t="n">
        <f aca="false">CashFlow!J21</f>
        <v>81.8689405301233</v>
      </c>
      <c r="H13" s="20" t="n">
        <f aca="false">CashFlow!K21</f>
        <v>81.6139398489474</v>
      </c>
      <c r="I13" s="20" t="n">
        <f aca="false">CashFlow!L21</f>
        <v>128.893113267431</v>
      </c>
      <c r="J13" s="20" t="n">
        <f aca="false">CashFlow!M21</f>
        <v>153.258108273981</v>
      </c>
      <c r="K13" s="20" t="n">
        <f aca="false">CashFlow!N21</f>
        <v>161.373149485407</v>
      </c>
      <c r="L13" s="20" t="n">
        <f aca="false">CashFlow!O21</f>
        <v>210.454342106582</v>
      </c>
      <c r="M13" s="20" t="n">
        <f aca="false">CashFlow!P21</f>
        <v>264.320561517008</v>
      </c>
      <c r="N13" s="20" t="n">
        <f aca="false">CashFlow!Q21</f>
        <v>294.063363815153</v>
      </c>
      <c r="O13" s="20" t="n">
        <f aca="false">CashFlow!R21</f>
        <v>386.19178317795</v>
      </c>
      <c r="P13" s="20" t="n">
        <f aca="false">CashFlow!S21</f>
        <v>541.814981762762</v>
      </c>
    </row>
    <row r="14" customFormat="false" ht="15" hidden="false" customHeight="false" outlineLevel="0" collapsed="false">
      <c r="A14" s="21" t="s">
        <v>96</v>
      </c>
      <c r="B14" s="20" t="n">
        <f aca="false">CashFlow!E24</f>
        <v>40.3476215796001</v>
      </c>
      <c r="C14" s="20" t="n">
        <f aca="false">CashFlow!F24</f>
        <v>42.9730447444999</v>
      </c>
      <c r="D14" s="20" t="n">
        <f aca="false">CashFlow!G24</f>
        <v>42.9413950043754</v>
      </c>
      <c r="E14" s="20" t="n">
        <f aca="false">CashFlow!H24</f>
        <v>53.8644968829861</v>
      </c>
      <c r="F14" s="20" t="n">
        <f aca="false">CashFlow!I24</f>
        <v>80.8572034345581</v>
      </c>
      <c r="G14" s="20" t="n">
        <f aca="false">CashFlow!J24</f>
        <v>123.98857846787</v>
      </c>
      <c r="H14" s="20" t="n">
        <f aca="false">CashFlow!K24</f>
        <v>103.893493182419</v>
      </c>
      <c r="I14" s="20" t="n">
        <f aca="false">CashFlow!L24</f>
        <v>141.570523235176</v>
      </c>
      <c r="J14" s="20" t="n">
        <f aca="false">CashFlow!M24</f>
        <v>108.68409141591</v>
      </c>
      <c r="K14" s="20" t="n">
        <f aca="false">CashFlow!N24</f>
        <v>196.820265692139</v>
      </c>
      <c r="L14" s="20" t="n">
        <f aca="false">CashFlow!O24</f>
        <v>152.773998301375</v>
      </c>
      <c r="M14" s="20" t="n">
        <f aca="false">CashFlow!P24</f>
        <v>199.319712191469</v>
      </c>
      <c r="N14" s="20" t="n">
        <f aca="false">CashFlow!Q24</f>
        <v>221.719090110874</v>
      </c>
      <c r="O14" s="20" t="n">
        <f aca="false">CashFlow!R24</f>
        <v>261.363885480299</v>
      </c>
      <c r="P14" s="20" t="n">
        <f aca="false">CashFlow!S24</f>
        <v>218.911260838743</v>
      </c>
    </row>
    <row r="15" customFormat="false" ht="15" hidden="false" customHeight="false" outlineLevel="0" collapsed="false">
      <c r="A15" s="21" t="s">
        <v>97</v>
      </c>
      <c r="B15" s="22" t="n">
        <f aca="false">CashFlow!E25</f>
        <v>1</v>
      </c>
      <c r="C15" s="22" t="n">
        <f aca="false">CashFlow!F25</f>
        <v>1</v>
      </c>
      <c r="D15" s="22" t="n">
        <f aca="false">CashFlow!G25</f>
        <v>1</v>
      </c>
      <c r="E15" s="22" t="n">
        <f aca="false">CashFlow!H25</f>
        <v>1</v>
      </c>
      <c r="F15" s="22" t="n">
        <f aca="false">CashFlow!I25</f>
        <v>0</v>
      </c>
      <c r="G15" s="22" t="n">
        <f aca="false">CashFlow!J25</f>
        <v>0</v>
      </c>
      <c r="H15" s="22" t="n">
        <f aca="false">CashFlow!K25</f>
        <v>0</v>
      </c>
      <c r="I15" s="22" t="n">
        <f aca="false">CashFlow!L25</f>
        <v>0</v>
      </c>
      <c r="J15" s="22" t="n">
        <f aca="false">CashFlow!M25</f>
        <v>1</v>
      </c>
      <c r="K15" s="22" t="n">
        <f aca="false">CashFlow!N25</f>
        <v>0</v>
      </c>
      <c r="L15" s="22" t="n">
        <f aca="false">CashFlow!O25</f>
        <v>1</v>
      </c>
      <c r="M15" s="22" t="n">
        <f aca="false">CashFlow!P25</f>
        <v>1</v>
      </c>
      <c r="N15" s="22" t="n">
        <f aca="false">CashFlow!Q25</f>
        <v>1</v>
      </c>
      <c r="O15" s="22" t="n">
        <f aca="false">CashFlow!R25</f>
        <v>1</v>
      </c>
      <c r="P15" s="22" t="n">
        <f aca="false">CashFlow!S25</f>
        <v>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8320312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0"/>
    <col collapsed="false" customWidth="true" hidden="false" outlineLevel="0" max="4" min="4" style="0" width="12"/>
    <col collapsed="false" customWidth="true" hidden="false" outlineLevel="0" max="5" min="5" style="0" width="14"/>
    <col collapsed="false" customWidth="true" hidden="false" outlineLevel="0" max="9" min="6" style="0" width="12"/>
    <col collapsed="false" customWidth="true" hidden="false" outlineLevel="0" max="10" min="10" style="0" width="18"/>
    <col collapsed="false" customWidth="true" hidden="false" outlineLevel="0" max="11" min="11" style="0" width="12"/>
  </cols>
  <sheetData>
    <row r="1" customFormat="false" ht="16.5" hidden="false" customHeight="true" outlineLevel="0" collapsed="false">
      <c r="A1" s="23" t="s">
        <v>98</v>
      </c>
    </row>
    <row r="2" customFormat="false" ht="15" hidden="false" customHeight="false" outlineLevel="0" collapsed="false">
      <c r="A2" s="17" t="s">
        <v>99</v>
      </c>
    </row>
    <row r="4" customFormat="false" ht="15" hidden="false" customHeight="false" outlineLevel="0" collapsed="false">
      <c r="A4" s="18" t="s">
        <v>100</v>
      </c>
      <c r="C4" s="24" t="n">
        <v>46300</v>
      </c>
    </row>
    <row r="6" customFormat="false" ht="15" hidden="false" customHeight="false" outlineLevel="0" collapsed="false">
      <c r="A6" s="18" t="s">
        <v>101</v>
      </c>
    </row>
    <row r="7" customFormat="false" ht="42" hidden="false" customHeight="true" outlineLevel="0" collapsed="false">
      <c r="A7" s="25" t="s">
        <v>102</v>
      </c>
      <c r="B7" s="25" t="s">
        <v>103</v>
      </c>
      <c r="C7" s="25" t="s">
        <v>104</v>
      </c>
      <c r="D7" s="25" t="s">
        <v>105</v>
      </c>
    </row>
    <row r="8" customFormat="false" ht="15" hidden="false" customHeight="false" outlineLevel="0" collapsed="false">
      <c r="A8" s="21" t="s">
        <v>106</v>
      </c>
      <c r="B8" s="26" t="n">
        <v>14</v>
      </c>
      <c r="C8" s="26" t="n">
        <v>45</v>
      </c>
      <c r="D8" s="26" t="n">
        <v>30</v>
      </c>
    </row>
    <row r="9" customFormat="false" ht="15" hidden="false" customHeight="false" outlineLevel="0" collapsed="false">
      <c r="A9" s="21" t="s">
        <v>107</v>
      </c>
      <c r="B9" s="26" t="n">
        <v>42</v>
      </c>
      <c r="C9" s="26" t="n">
        <v>75</v>
      </c>
      <c r="D9" s="26" t="n">
        <v>30</v>
      </c>
    </row>
    <row r="10" customFormat="false" ht="15" hidden="false" customHeight="false" outlineLevel="0" collapsed="false">
      <c r="A10" s="21" t="s">
        <v>108</v>
      </c>
      <c r="B10" s="26" t="n">
        <v>42</v>
      </c>
      <c r="C10" s="26" t="n">
        <v>75</v>
      </c>
      <c r="D10" s="26" t="n">
        <v>30</v>
      </c>
    </row>
    <row r="11" customFormat="false" ht="15" hidden="false" customHeight="false" outlineLevel="0" collapsed="false">
      <c r="A11" s="21" t="s">
        <v>109</v>
      </c>
      <c r="B11" s="26" t="n">
        <v>0</v>
      </c>
      <c r="C11" s="26" t="n">
        <v>30</v>
      </c>
      <c r="D11" s="26" t="n">
        <v>30</v>
      </c>
    </row>
    <row r="13" customFormat="false" ht="15" hidden="false" customHeight="false" outlineLevel="0" collapsed="false">
      <c r="A13" s="18" t="s">
        <v>110</v>
      </c>
    </row>
    <row r="14" customFormat="false" ht="42" hidden="false" customHeight="true" outlineLevel="0" collapsed="false">
      <c r="A14" s="25" t="s">
        <v>111</v>
      </c>
      <c r="B14" s="25" t="s">
        <v>102</v>
      </c>
      <c r="C14" s="25" t="s">
        <v>112</v>
      </c>
      <c r="D14" s="25" t="s">
        <v>113</v>
      </c>
      <c r="E14" s="25" t="s">
        <v>114</v>
      </c>
      <c r="F14" s="25" t="s">
        <v>115</v>
      </c>
      <c r="G14" s="25" t="s">
        <v>116</v>
      </c>
      <c r="H14" s="25" t="s">
        <v>117</v>
      </c>
      <c r="I14" s="25" t="s">
        <v>118</v>
      </c>
      <c r="J14" s="25" t="s">
        <v>119</v>
      </c>
      <c r="K14" s="25" t="s">
        <v>120</v>
      </c>
    </row>
    <row r="15" customFormat="false" ht="15" hidden="false" customHeight="false" outlineLevel="0" collapsed="false">
      <c r="A15" s="21" t="s">
        <v>121</v>
      </c>
      <c r="B15" s="27" t="s">
        <v>107</v>
      </c>
      <c r="C15" s="27" t="n">
        <v>0</v>
      </c>
      <c r="D15" s="24" t="n">
        <v>46447</v>
      </c>
      <c r="E15" s="24" t="n">
        <v>46387</v>
      </c>
      <c r="F15" s="28" t="n">
        <f aca="false">D15-VLOOKUP(B15,$A$8:$D$11,2,0)</f>
        <v>46405</v>
      </c>
      <c r="G15" s="28" t="n">
        <f aca="false">F15-VLOOKUP(B15,$A$8:$D$11,3,0)</f>
        <v>46330</v>
      </c>
      <c r="H15" s="28" t="n">
        <f aca="false">G15-C15*VLOOKUP(B15,$A$8:$D$11,4,0)</f>
        <v>46330</v>
      </c>
      <c r="I15" s="28" t="n">
        <f aca="false">IF(E15="",H15,MIN(H15,E15-VLOOKUP(B15,$A$8:$D$11,3,0)))</f>
        <v>46312</v>
      </c>
      <c r="J15" s="27" t="s">
        <v>122</v>
      </c>
      <c r="K15" s="21" t="str">
        <f aca="false">IF(G15&lt;$C$4,"Late",IF(I15&lt;$C$4,"At risk",IF(I15-$C$4&lt;=31,"Start now","On track")))</f>
        <v>Start now</v>
      </c>
    </row>
    <row r="16" customFormat="false" ht="15" hidden="false" customHeight="false" outlineLevel="0" collapsed="false">
      <c r="A16" s="21" t="s">
        <v>123</v>
      </c>
      <c r="B16" s="27" t="s">
        <v>107</v>
      </c>
      <c r="C16" s="27" t="n">
        <v>0</v>
      </c>
      <c r="D16" s="24" t="n">
        <v>46569</v>
      </c>
      <c r="E16" s="24" t="n">
        <v>46387</v>
      </c>
      <c r="F16" s="28" t="n">
        <f aca="false">D16-VLOOKUP(B16,$A$8:$D$11,2,0)</f>
        <v>46527</v>
      </c>
      <c r="G16" s="28" t="n">
        <f aca="false">F16-VLOOKUP(B16,$A$8:$D$11,3,0)</f>
        <v>46452</v>
      </c>
      <c r="H16" s="28" t="n">
        <f aca="false">G16-C16*VLOOKUP(B16,$A$8:$D$11,4,0)</f>
        <v>46452</v>
      </c>
      <c r="I16" s="28" t="n">
        <f aca="false">IF(E16="",H16,MIN(H16,E16-VLOOKUP(B16,$A$8:$D$11,3,0)))</f>
        <v>46312</v>
      </c>
      <c r="J16" s="27" t="s">
        <v>122</v>
      </c>
      <c r="K16" s="21" t="str">
        <f aca="false">IF(G16&lt;$C$4,"Late",IF(I16&lt;$C$4,"At risk",IF(I16-$C$4&lt;=31,"Start now","On track")))</f>
        <v>Start now</v>
      </c>
    </row>
    <row r="17" customFormat="false" ht="15" hidden="false" customHeight="false" outlineLevel="0" collapsed="false">
      <c r="A17" s="21" t="s">
        <v>124</v>
      </c>
      <c r="B17" s="27" t="s">
        <v>107</v>
      </c>
      <c r="C17" s="27" t="n">
        <v>0</v>
      </c>
      <c r="D17" s="24" t="n">
        <v>46661</v>
      </c>
      <c r="E17" s="24" t="n">
        <v>46387</v>
      </c>
      <c r="F17" s="28" t="n">
        <f aca="false">D17-VLOOKUP(B17,$A$8:$D$11,2,0)</f>
        <v>46619</v>
      </c>
      <c r="G17" s="28" t="n">
        <f aca="false">F17-VLOOKUP(B17,$A$8:$D$11,3,0)</f>
        <v>46544</v>
      </c>
      <c r="H17" s="28" t="n">
        <f aca="false">G17-C17*VLOOKUP(B17,$A$8:$D$11,4,0)</f>
        <v>46544</v>
      </c>
      <c r="I17" s="28" t="n">
        <f aca="false">IF(E17="",H17,MIN(H17,E17-VLOOKUP(B17,$A$8:$D$11,3,0)))</f>
        <v>46312</v>
      </c>
      <c r="J17" s="27" t="s">
        <v>122</v>
      </c>
      <c r="K17" s="21" t="str">
        <f aca="false">IF(G17&lt;$C$4,"Late",IF(I17&lt;$C$4,"At risk",IF(I17-$C$4&lt;=31,"Start now","On track")))</f>
        <v>Start now</v>
      </c>
    </row>
    <row r="18" customFormat="false" ht="15" hidden="false" customHeight="false" outlineLevel="0" collapsed="false">
      <c r="A18" s="21" t="s">
        <v>125</v>
      </c>
      <c r="B18" s="27" t="s">
        <v>106</v>
      </c>
      <c r="C18" s="27" t="n">
        <v>0</v>
      </c>
      <c r="D18" s="24" t="n">
        <v>46419</v>
      </c>
      <c r="E18" s="24"/>
      <c r="F18" s="28" t="n">
        <f aca="false">D18-VLOOKUP(B18,$A$8:$D$11,2,0)</f>
        <v>46405</v>
      </c>
      <c r="G18" s="28" t="n">
        <f aca="false">F18-VLOOKUP(B18,$A$8:$D$11,3,0)</f>
        <v>46360</v>
      </c>
      <c r="H18" s="28" t="n">
        <f aca="false">G18-C18*VLOOKUP(B18,$A$8:$D$11,4,0)</f>
        <v>46360</v>
      </c>
      <c r="I18" s="28" t="n">
        <f aca="false">IF(E18="",H18,MIN(H18,E18-VLOOKUP(B18,$A$8:$D$11,3,0)))</f>
        <v>46360</v>
      </c>
      <c r="J18" s="27" t="s">
        <v>126</v>
      </c>
      <c r="K18" s="21" t="str">
        <f aca="false">IF(G18&lt;$C$4,"Late",IF(I18&lt;$C$4,"At risk",IF(I18-$C$4&lt;=31,"Start now","On track")))</f>
        <v>On track</v>
      </c>
    </row>
    <row r="19" customFormat="false" ht="15" hidden="false" customHeight="false" outlineLevel="0" collapsed="false">
      <c r="A19" s="21" t="s">
        <v>127</v>
      </c>
      <c r="B19" s="27" t="s">
        <v>108</v>
      </c>
      <c r="C19" s="27" t="n">
        <v>1</v>
      </c>
      <c r="D19" s="24" t="n">
        <v>46419</v>
      </c>
      <c r="E19" s="24" t="n">
        <v>46387</v>
      </c>
      <c r="F19" s="28" t="n">
        <f aca="false">D19-VLOOKUP(B19,$A$8:$D$11,2,0)</f>
        <v>46377</v>
      </c>
      <c r="G19" s="28" t="n">
        <f aca="false">F19-VLOOKUP(B19,$A$8:$D$11,3,0)</f>
        <v>46302</v>
      </c>
      <c r="H19" s="28" t="n">
        <f aca="false">G19-C19*VLOOKUP(B19,$A$8:$D$11,4,0)</f>
        <v>46272</v>
      </c>
      <c r="I19" s="28" t="n">
        <f aca="false">IF(E19="",H19,MIN(H19,E19-VLOOKUP(B19,$A$8:$D$11,3,0)))</f>
        <v>46272</v>
      </c>
      <c r="J19" s="27" t="s">
        <v>126</v>
      </c>
      <c r="K19" s="21" t="str">
        <f aca="false">IF(G19&lt;$C$4,"Late",IF(I19&lt;$C$4,"At risk",IF(I19-$C$4&lt;=31,"Start now","On track")))</f>
        <v>At risk</v>
      </c>
    </row>
    <row r="20" customFormat="false" ht="15" hidden="false" customHeight="false" outlineLevel="0" collapsed="false">
      <c r="A20" s="21" t="s">
        <v>128</v>
      </c>
      <c r="B20" s="27" t="s">
        <v>108</v>
      </c>
      <c r="C20" s="27" t="n">
        <v>1</v>
      </c>
      <c r="D20" s="24" t="n">
        <v>46569</v>
      </c>
      <c r="E20" s="24" t="n">
        <v>46387</v>
      </c>
      <c r="F20" s="28" t="n">
        <f aca="false">D20-VLOOKUP(B20,$A$8:$D$11,2,0)</f>
        <v>46527</v>
      </c>
      <c r="G20" s="28" t="n">
        <f aca="false">F20-VLOOKUP(B20,$A$8:$D$11,3,0)</f>
        <v>46452</v>
      </c>
      <c r="H20" s="28" t="n">
        <f aca="false">G20-C20*VLOOKUP(B20,$A$8:$D$11,4,0)</f>
        <v>46422</v>
      </c>
      <c r="I20" s="28" t="n">
        <f aca="false">IF(E20="",H20,MIN(H20,E20-VLOOKUP(B20,$A$8:$D$11,3,0)))</f>
        <v>46312</v>
      </c>
      <c r="J20" s="27" t="s">
        <v>122</v>
      </c>
      <c r="K20" s="21" t="str">
        <f aca="false">IF(G20&lt;$C$4,"Late",IF(I20&lt;$C$4,"At risk",IF(I20-$C$4&lt;=31,"Start now","On track")))</f>
        <v>Start now</v>
      </c>
    </row>
    <row r="21" customFormat="false" ht="15" hidden="false" customHeight="false" outlineLevel="0" collapsed="false">
      <c r="A21" s="21" t="s">
        <v>129</v>
      </c>
      <c r="B21" s="27" t="s">
        <v>108</v>
      </c>
      <c r="C21" s="27" t="n">
        <v>1</v>
      </c>
      <c r="D21" s="24" t="n">
        <v>46661</v>
      </c>
      <c r="E21" s="24" t="n">
        <v>46387</v>
      </c>
      <c r="F21" s="28" t="n">
        <f aca="false">D21-VLOOKUP(B21,$A$8:$D$11,2,0)</f>
        <v>46619</v>
      </c>
      <c r="G21" s="28" t="n">
        <f aca="false">F21-VLOOKUP(B21,$A$8:$D$11,3,0)</f>
        <v>46544</v>
      </c>
      <c r="H21" s="28" t="n">
        <f aca="false">G21-C21*VLOOKUP(B21,$A$8:$D$11,4,0)</f>
        <v>46514</v>
      </c>
      <c r="I21" s="28" t="n">
        <f aca="false">IF(E21="",H21,MIN(H21,E21-VLOOKUP(B21,$A$8:$D$11,3,0)))</f>
        <v>46312</v>
      </c>
      <c r="J21" s="27" t="s">
        <v>130</v>
      </c>
      <c r="K21" s="21" t="str">
        <f aca="false">IF(G21&lt;$C$4,"Late",IF(I21&lt;$C$4,"At risk",IF(I21-$C$4&lt;=31,"Start now","On track")))</f>
        <v>Start now</v>
      </c>
    </row>
    <row r="22" customFormat="false" ht="15" hidden="false" customHeight="false" outlineLevel="0" collapsed="false">
      <c r="A22" s="21" t="s">
        <v>131</v>
      </c>
      <c r="B22" s="27" t="s">
        <v>109</v>
      </c>
      <c r="C22" s="27" t="n">
        <v>1</v>
      </c>
      <c r="D22" s="24" t="n">
        <v>46661</v>
      </c>
      <c r="E22" s="24"/>
      <c r="F22" s="28" t="n">
        <f aca="false">D22-VLOOKUP(B22,$A$8:$D$11,2,0)</f>
        <v>46661</v>
      </c>
      <c r="G22" s="28" t="n">
        <f aca="false">F22-VLOOKUP(B22,$A$8:$D$11,3,0)</f>
        <v>46631</v>
      </c>
      <c r="H22" s="28" t="n">
        <f aca="false">G22-C22*VLOOKUP(B22,$A$8:$D$11,4,0)</f>
        <v>46601</v>
      </c>
      <c r="I22" s="28" t="n">
        <f aca="false">IF(E22="",H22,MIN(H22,E22-VLOOKUP(B22,$A$8:$D$11,3,0)))</f>
        <v>46601</v>
      </c>
      <c r="J22" s="27" t="s">
        <v>132</v>
      </c>
      <c r="K22" s="21" t="str">
        <f aca="false">IF(G22&lt;$C$4,"Late",IF(I22&lt;$C$4,"At risk",IF(I22-$C$4&lt;=31,"Start now","On track")))</f>
        <v>On track</v>
      </c>
    </row>
    <row r="23" customFormat="false" ht="15" hidden="false" customHeight="false" outlineLevel="0" collapsed="false">
      <c r="A23" s="21" t="s">
        <v>133</v>
      </c>
      <c r="B23" s="27" t="s">
        <v>107</v>
      </c>
      <c r="C23" s="27" t="n">
        <v>1</v>
      </c>
      <c r="D23" s="24" t="n">
        <v>46813</v>
      </c>
      <c r="E23" s="24" t="n">
        <v>46660</v>
      </c>
      <c r="F23" s="28" t="n">
        <f aca="false">D23-VLOOKUP(B23,$A$8:$D$11,2,0)</f>
        <v>46771</v>
      </c>
      <c r="G23" s="28" t="n">
        <f aca="false">F23-VLOOKUP(B23,$A$8:$D$11,3,0)</f>
        <v>46696</v>
      </c>
      <c r="H23" s="28" t="n">
        <f aca="false">G23-C23*VLOOKUP(B23,$A$8:$D$11,4,0)</f>
        <v>46666</v>
      </c>
      <c r="I23" s="28" t="n">
        <f aca="false">IF(E23="",H23,MIN(H23,E23-VLOOKUP(B23,$A$8:$D$11,3,0)))</f>
        <v>46585</v>
      </c>
      <c r="J23" s="27" t="s">
        <v>130</v>
      </c>
      <c r="K23" s="21" t="str">
        <f aca="false">IF(G23&lt;$C$4,"Late",IF(I23&lt;$C$4,"At risk",IF(I23-$C$4&lt;=31,"Start now","On track")))</f>
        <v>On track</v>
      </c>
    </row>
    <row r="24" customFormat="false" ht="15" hidden="false" customHeight="false" outlineLevel="0" collapsed="false">
      <c r="A24" s="21" t="s">
        <v>134</v>
      </c>
      <c r="B24" s="27" t="s">
        <v>107</v>
      </c>
      <c r="C24" s="27" t="n">
        <v>0</v>
      </c>
      <c r="D24" s="24" t="n">
        <v>46813</v>
      </c>
      <c r="E24" s="24" t="n">
        <v>46752</v>
      </c>
      <c r="F24" s="28" t="n">
        <f aca="false">D24-VLOOKUP(B24,$A$8:$D$11,2,0)</f>
        <v>46771</v>
      </c>
      <c r="G24" s="28" t="n">
        <f aca="false">F24-VLOOKUP(B24,$A$8:$D$11,3,0)</f>
        <v>46696</v>
      </c>
      <c r="H24" s="28" t="n">
        <f aca="false">G24-C24*VLOOKUP(B24,$A$8:$D$11,4,0)</f>
        <v>46696</v>
      </c>
      <c r="I24" s="28" t="n">
        <f aca="false">IF(E24="",H24,MIN(H24,E24-VLOOKUP(B24,$A$8:$D$11,3,0)))</f>
        <v>46677</v>
      </c>
      <c r="J24" s="27" t="s">
        <v>122</v>
      </c>
      <c r="K24" s="21" t="str">
        <f aca="false">IF(G24&lt;$C$4,"Late",IF(I24&lt;$C$4,"At risk",IF(I24-$C$4&lt;=31,"Start now","On track")))</f>
        <v>On track</v>
      </c>
    </row>
    <row r="25" customFormat="false" ht="15" hidden="false" customHeight="false" outlineLevel="0" collapsed="false">
      <c r="A25" s="29" t="s">
        <v>135</v>
      </c>
    </row>
    <row r="27" customFormat="false" ht="15" hidden="false" customHeight="false" outlineLevel="0" collapsed="false">
      <c r="A27" s="18" t="s">
        <v>136</v>
      </c>
    </row>
    <row r="28" customFormat="false" ht="27.75" hidden="false" customHeight="true" outlineLevel="0" collapsed="false">
      <c r="A28" s="25" t="s">
        <v>137</v>
      </c>
      <c r="B28" s="25" t="s">
        <v>138</v>
      </c>
      <c r="C28" s="25"/>
      <c r="D28" s="25" t="s">
        <v>139</v>
      </c>
      <c r="E28" s="25" t="s">
        <v>140</v>
      </c>
      <c r="F28" s="25"/>
      <c r="G28" s="25"/>
      <c r="H28" s="25"/>
      <c r="I28" s="25" t="s">
        <v>118</v>
      </c>
      <c r="J28" s="25" t="s">
        <v>119</v>
      </c>
      <c r="K28" s="25" t="s">
        <v>120</v>
      </c>
    </row>
    <row r="29" customFormat="false" ht="15" hidden="false" customHeight="false" outlineLevel="0" collapsed="false">
      <c r="A29" s="21" t="s">
        <v>141</v>
      </c>
      <c r="B29" s="21" t="s">
        <v>142</v>
      </c>
      <c r="D29" s="24" t="n">
        <v>46447</v>
      </c>
      <c r="E29" s="27" t="n">
        <v>3</v>
      </c>
      <c r="I29" s="28" t="n">
        <f aca="false">EDATE(D29,-E29)</f>
        <v>46357</v>
      </c>
      <c r="J29" s="27" t="s">
        <v>126</v>
      </c>
      <c r="K29" s="21" t="str">
        <f aca="false">IF(I29&lt;$C$4,"Late",IF(I29-$C$4&lt;=31,"Start now","On track"))</f>
        <v>On track</v>
      </c>
    </row>
    <row r="30" customFormat="false" ht="15" hidden="false" customHeight="false" outlineLevel="0" collapsed="false">
      <c r="A30" s="21" t="s">
        <v>143</v>
      </c>
      <c r="B30" s="21" t="s">
        <v>144</v>
      </c>
      <c r="D30" s="24" t="n">
        <v>46419</v>
      </c>
      <c r="E30" s="27" t="n">
        <v>1</v>
      </c>
      <c r="I30" s="28" t="n">
        <f aca="false">EDATE(D30,-E30)</f>
        <v>46388</v>
      </c>
      <c r="J30" s="27" t="s">
        <v>126</v>
      </c>
      <c r="K30" s="21" t="str">
        <f aca="false">IF(I30&lt;$C$4,"Late",IF(I30-$C$4&lt;=31,"Start now","On track"))</f>
        <v>On track</v>
      </c>
    </row>
    <row r="31" customFormat="false" ht="15" hidden="false" customHeight="false" outlineLevel="0" collapsed="false">
      <c r="A31" s="21" t="s">
        <v>145</v>
      </c>
      <c r="B31" s="21" t="s">
        <v>146</v>
      </c>
      <c r="D31" s="24" t="n">
        <v>46388</v>
      </c>
      <c r="E31" s="27" t="n">
        <v>2</v>
      </c>
      <c r="I31" s="28" t="n">
        <f aca="false">EDATE(D31,-E31)</f>
        <v>46327</v>
      </c>
      <c r="J31" s="27" t="s">
        <v>126</v>
      </c>
      <c r="K31" s="21" t="str">
        <f aca="false">IF(I31&lt;$C$4,"Late",IF(I31-$C$4&lt;=31,"Start now","On track"))</f>
        <v>Start now</v>
      </c>
    </row>
    <row r="32" customFormat="false" ht="15" hidden="false" customHeight="false" outlineLevel="0" collapsed="false">
      <c r="A32" s="21" t="s">
        <v>147</v>
      </c>
      <c r="B32" s="21" t="s">
        <v>148</v>
      </c>
      <c r="D32" s="24" t="n">
        <v>46569</v>
      </c>
      <c r="E32" s="27" t="n">
        <v>2</v>
      </c>
      <c r="I32" s="28" t="n">
        <f aca="false">EDATE(D32,-E32)</f>
        <v>46508</v>
      </c>
      <c r="J32" s="27" t="s">
        <v>122</v>
      </c>
      <c r="K32" s="21" t="str">
        <f aca="false">IF(I32&lt;$C$4,"Late",IF(I32-$C$4&lt;=31,"Start now","On track"))</f>
        <v>On track</v>
      </c>
    </row>
    <row r="33" customFormat="false" ht="15" hidden="false" customHeight="false" outlineLevel="0" collapsed="false">
      <c r="A33" s="21" t="s">
        <v>149</v>
      </c>
      <c r="B33" s="21" t="s">
        <v>150</v>
      </c>
      <c r="D33" s="24" t="n">
        <v>46569</v>
      </c>
      <c r="E33" s="27" t="n">
        <v>6</v>
      </c>
      <c r="I33" s="28" t="n">
        <f aca="false">EDATE(D33,-E33)</f>
        <v>46388</v>
      </c>
      <c r="J33" s="27" t="s">
        <v>151</v>
      </c>
      <c r="K33" s="21" t="str">
        <f aca="false">IF(I33&lt;$C$4,"Late",IF(I33-$C$4&lt;=31,"Start now","On track"))</f>
        <v>On track</v>
      </c>
    </row>
    <row r="34" customFormat="false" ht="15" hidden="false" customHeight="false" outlineLevel="0" collapsed="false">
      <c r="A34" s="21" t="s">
        <v>152</v>
      </c>
      <c r="B34" s="21" t="s">
        <v>153</v>
      </c>
      <c r="D34" s="24" t="n">
        <v>46661</v>
      </c>
      <c r="E34" s="27" t="n">
        <v>3</v>
      </c>
      <c r="I34" s="28" t="n">
        <f aca="false">EDATE(D34,-E34)</f>
        <v>46569</v>
      </c>
      <c r="J34" s="27" t="s">
        <v>126</v>
      </c>
      <c r="K34" s="21" t="str">
        <f aca="false">IF(I34&lt;$C$4,"Late",IF(I34-$C$4&lt;=31,"Start now","On track"))</f>
        <v>On track</v>
      </c>
    </row>
    <row r="35" customFormat="false" ht="15" hidden="false" customHeight="false" outlineLevel="0" collapsed="false">
      <c r="A35" s="21" t="s">
        <v>154</v>
      </c>
      <c r="B35" s="21" t="s">
        <v>155</v>
      </c>
      <c r="D35" s="24" t="n">
        <v>46661</v>
      </c>
      <c r="E35" s="27" t="n">
        <v>3</v>
      </c>
      <c r="I35" s="28" t="n">
        <f aca="false">EDATE(D35,-E35)</f>
        <v>46569</v>
      </c>
      <c r="J35" s="27" t="s">
        <v>122</v>
      </c>
      <c r="K35" s="21" t="str">
        <f aca="false">IF(I35&lt;$C$4,"Late",IF(I35-$C$4&lt;=31,"Start now","On track"))</f>
        <v>On track</v>
      </c>
    </row>
    <row r="36" customFormat="false" ht="15" hidden="false" customHeight="false" outlineLevel="0" collapsed="false">
      <c r="A36" s="21" t="s">
        <v>156</v>
      </c>
      <c r="B36" s="21" t="s">
        <v>157</v>
      </c>
      <c r="D36" s="24" t="n">
        <v>46631</v>
      </c>
      <c r="E36" s="27" t="n">
        <v>1</v>
      </c>
      <c r="I36" s="28" t="n">
        <f aca="false">EDATE(D36,-E36)</f>
        <v>46600</v>
      </c>
      <c r="J36" s="27" t="s">
        <v>126</v>
      </c>
      <c r="K36" s="21" t="str">
        <f aca="false">IF(I36&lt;$C$4,"Late",IF(I36-$C$4&lt;=31,"Start now","On track"))</f>
        <v>On track</v>
      </c>
    </row>
    <row r="38" customFormat="false" ht="15" hidden="false" customHeight="false" outlineLevel="0" collapsed="false">
      <c r="A38" s="18" t="s">
        <v>158</v>
      </c>
    </row>
    <row r="39" customFormat="false" ht="15" hidden="false" customHeight="false" outlineLevel="0" collapsed="false">
      <c r="A39" s="21" t="s">
        <v>159</v>
      </c>
      <c r="D39" s="30" t="n">
        <f aca="false">MIN(Outlook!B13:P13)</f>
        <v>69.7602957619471</v>
      </c>
    </row>
    <row r="40" customFormat="false" ht="15" hidden="false" customHeight="false" outlineLevel="0" collapsed="false">
      <c r="A40" s="21" t="s">
        <v>160</v>
      </c>
      <c r="D40" s="21" t="str">
        <f aca="false">INDEX(Outlook!B4:P4,MATCH(MIN(Outlook!B13:P13),Outlook!B13:P13,0))</f>
        <v>Feb-27</v>
      </c>
    </row>
    <row r="41" customFormat="false" ht="15" hidden="false" customHeight="false" outlineLevel="0" collapsed="false">
      <c r="A41" s="21" t="s">
        <v>161</v>
      </c>
      <c r="D41" s="31" t="n">
        <f aca="false">COUNTIF(Outlook!B15:P15,0)</f>
        <v>5</v>
      </c>
    </row>
    <row r="42" customFormat="false" ht="15" hidden="false" customHeight="false" outlineLevel="0" collapsed="false">
      <c r="A42" s="21" t="s">
        <v>162</v>
      </c>
      <c r="D42" s="32" t="n">
        <f aca="false">Inputs!$C$117</f>
        <v>0</v>
      </c>
    </row>
    <row r="43" customFormat="false" ht="15" hidden="false" customHeight="false" outlineLevel="0" collapsed="false">
      <c r="A43" s="29" t="s">
        <v>163</v>
      </c>
    </row>
    <row r="45" customFormat="false" ht="15" hidden="false" customHeight="false" outlineLevel="0" collapsed="false">
      <c r="A45" s="18" t="s">
        <v>164</v>
      </c>
    </row>
    <row r="46" customFormat="false" ht="27.75" hidden="false" customHeight="true" outlineLevel="0" collapsed="false">
      <c r="A46" s="25" t="s">
        <v>165</v>
      </c>
      <c r="B46" s="25" t="s">
        <v>102</v>
      </c>
      <c r="C46" s="25" t="s">
        <v>166</v>
      </c>
      <c r="D46" s="25" t="s">
        <v>167</v>
      </c>
      <c r="E46" s="25" t="s">
        <v>168</v>
      </c>
      <c r="F46" s="25" t="s">
        <v>169</v>
      </c>
      <c r="G46" s="25" t="s">
        <v>93</v>
      </c>
      <c r="H46" s="25" t="s">
        <v>170</v>
      </c>
      <c r="I46" s="25" t="s">
        <v>171</v>
      </c>
      <c r="J46" s="25" t="s">
        <v>172</v>
      </c>
      <c r="K46" s="25" t="s">
        <v>173</v>
      </c>
    </row>
    <row r="47" customFormat="false" ht="15" hidden="false" customHeight="false" outlineLevel="0" collapsed="false">
      <c r="C47" s="24"/>
      <c r="D47" s="24"/>
      <c r="E47" s="24"/>
      <c r="F47" s="24"/>
      <c r="G47" s="24"/>
      <c r="H47" s="21" t="str">
        <f aca="false">IF(OR(C47="",E47=""),"",E47-C47)</f>
        <v/>
      </c>
      <c r="I47" s="21" t="str">
        <f aca="false">IF(OR(F47="",G47=""),"",G47-F47)</f>
        <v/>
      </c>
    </row>
    <row r="48" customFormat="false" ht="15" hidden="false" customHeight="false" outlineLevel="0" collapsed="false">
      <c r="C48" s="24"/>
      <c r="D48" s="24"/>
      <c r="E48" s="24"/>
      <c r="F48" s="24"/>
      <c r="G48" s="24"/>
      <c r="H48" s="21" t="str">
        <f aca="false">IF(OR(C48="",E48=""),"",E48-C48)</f>
        <v/>
      </c>
      <c r="I48" s="21" t="str">
        <f aca="false">IF(OR(F48="",G48=""),"",G48-F48)</f>
        <v/>
      </c>
    </row>
    <row r="49" customFormat="false" ht="15" hidden="false" customHeight="false" outlineLevel="0" collapsed="false">
      <c r="C49" s="24"/>
      <c r="D49" s="24"/>
      <c r="E49" s="24"/>
      <c r="F49" s="24"/>
      <c r="G49" s="24"/>
      <c r="H49" s="21" t="str">
        <f aca="false">IF(OR(C49="",E49=""),"",E49-C49)</f>
        <v/>
      </c>
      <c r="I49" s="21" t="str">
        <f aca="false">IF(OR(F49="",G49=""),"",G49-F49)</f>
        <v/>
      </c>
    </row>
    <row r="50" customFormat="false" ht="15" hidden="false" customHeight="false" outlineLevel="0" collapsed="false">
      <c r="C50" s="24"/>
      <c r="D50" s="24"/>
      <c r="E50" s="24"/>
      <c r="F50" s="24"/>
      <c r="G50" s="24"/>
      <c r="H50" s="21" t="str">
        <f aca="false">IF(OR(C50="",E50=""),"",E50-C50)</f>
        <v/>
      </c>
      <c r="I50" s="21" t="str">
        <f aca="false">IF(OR(F50="",G50=""),"",G50-F50)</f>
        <v/>
      </c>
    </row>
    <row r="51" customFormat="false" ht="15" hidden="false" customHeight="false" outlineLevel="0" collapsed="false">
      <c r="C51" s="24"/>
      <c r="D51" s="24"/>
      <c r="E51" s="24"/>
      <c r="F51" s="24"/>
      <c r="G51" s="24"/>
      <c r="H51" s="21" t="str">
        <f aca="false">IF(OR(C51="",E51=""),"",E51-C51)</f>
        <v/>
      </c>
      <c r="I51" s="21" t="str">
        <f aca="false">IF(OR(F51="",G51=""),"",G51-F51)</f>
        <v/>
      </c>
    </row>
    <row r="52" customFormat="false" ht="15" hidden="false" customHeight="false" outlineLevel="0" collapsed="false">
      <c r="C52" s="24"/>
      <c r="D52" s="24"/>
      <c r="E52" s="24"/>
      <c r="F52" s="24"/>
      <c r="G52" s="24"/>
      <c r="H52" s="21" t="str">
        <f aca="false">IF(OR(C52="",E52=""),"",E52-C52)</f>
        <v/>
      </c>
      <c r="I52" s="21" t="str">
        <f aca="false">IF(OR(F52="",G52=""),"",G52-F52)</f>
        <v/>
      </c>
    </row>
    <row r="53" customFormat="false" ht="15" hidden="false" customHeight="false" outlineLevel="0" collapsed="false">
      <c r="C53" s="24"/>
      <c r="D53" s="24"/>
      <c r="E53" s="24"/>
      <c r="F53" s="24"/>
      <c r="G53" s="24"/>
      <c r="H53" s="21" t="str">
        <f aca="false">IF(OR(C53="",E53=""),"",E53-C53)</f>
        <v/>
      </c>
      <c r="I53" s="21" t="str">
        <f aca="false">IF(OR(F53="",G53=""),"",G53-F53)</f>
        <v/>
      </c>
    </row>
    <row r="54" customFormat="false" ht="15" hidden="false" customHeight="false" outlineLevel="0" collapsed="false">
      <c r="C54" s="24"/>
      <c r="D54" s="24"/>
      <c r="E54" s="24"/>
      <c r="F54" s="24"/>
      <c r="G54" s="24"/>
      <c r="H54" s="21" t="str">
        <f aca="false">IF(OR(C54="",E54=""),"",E54-C54)</f>
        <v/>
      </c>
      <c r="I54" s="21" t="str">
        <f aca="false">IF(OR(F54="",G54=""),"",G54-F54)</f>
        <v/>
      </c>
    </row>
  </sheetData>
  <conditionalFormatting sqref="K15:K24">
    <cfRule type="expression" priority="2" aboveAverage="0" equalAverage="0" bottom="0" percent="0" rank="0" text="" dxfId="0">
      <formula>K15="Late"</formula>
    </cfRule>
    <cfRule type="expression" priority="3" aboveAverage="0" equalAverage="0" bottom="0" percent="0" rank="0" text="" dxfId="0">
      <formula>K15="At risk"</formula>
    </cfRule>
    <cfRule type="expression" priority="4" aboveAverage="0" equalAverage="0" bottom="0" percent="0" rank="0" text="" dxfId="1">
      <formula>K15="Start now"</formula>
    </cfRule>
    <cfRule type="expression" priority="5" aboveAverage="0" equalAverage="0" bottom="0" percent="0" rank="0" text="" dxfId="2">
      <formula>K15="On track"</formula>
    </cfRule>
  </conditionalFormatting>
  <conditionalFormatting sqref="K29:K36">
    <cfRule type="expression" priority="6" aboveAverage="0" equalAverage="0" bottom="0" percent="0" rank="0" text="" dxfId="0">
      <formula>K29="Late"</formula>
    </cfRule>
    <cfRule type="expression" priority="7" aboveAverage="0" equalAverage="0" bottom="0" percent="0" rank="0" text="" dxfId="0">
      <formula>K29="At risk"</formula>
    </cfRule>
    <cfRule type="expression" priority="8" aboveAverage="0" equalAverage="0" bottom="0" percent="0" rank="0" text="" dxfId="1">
      <formula>K29="Start now"</formula>
    </cfRule>
    <cfRule type="expression" priority="9" aboveAverage="0" equalAverage="0" bottom="0" percent="0" rank="0" text="" dxfId="2">
      <formula>K29="On track"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2" min="2" style="0" width="44"/>
    <col collapsed="false" customWidth="true" hidden="false" outlineLevel="0" max="4" min="3" style="0" width="9"/>
    <col collapsed="false" customWidth="true" hidden="false" outlineLevel="0" max="5" min="5" style="0" width="14"/>
    <col collapsed="false" customWidth="true" hidden="false" outlineLevel="0" max="19" min="6" style="0" width="9"/>
  </cols>
  <sheetData>
    <row r="1" customFormat="false" ht="16.15" hidden="false" customHeight="false" outlineLevel="0" collapsed="false">
      <c r="A1" s="33" t="s">
        <v>174</v>
      </c>
    </row>
    <row r="2" customFormat="false" ht="15" hidden="false" customHeight="false" outlineLevel="0" collapsed="false">
      <c r="A2" s="34" t="s">
        <v>175</v>
      </c>
    </row>
    <row r="4" customFormat="false" ht="15" hidden="false" customHeight="false" outlineLevel="0" collapsed="false">
      <c r="A4" s="35" t="s">
        <v>176</v>
      </c>
      <c r="B4" s="35" t="s">
        <v>6</v>
      </c>
      <c r="C4" s="35" t="s">
        <v>177</v>
      </c>
      <c r="D4" s="35" t="s">
        <v>178</v>
      </c>
      <c r="E4" s="35" t="str">
        <f aca="false">Volume!E4</f>
        <v>Oct-26</v>
      </c>
      <c r="F4" s="35" t="str">
        <f aca="false">Volume!F4</f>
        <v>Nov-26</v>
      </c>
      <c r="G4" s="35" t="str">
        <f aca="false">Volume!G4</f>
        <v>Dec-26</v>
      </c>
      <c r="H4" s="35" t="str">
        <f aca="false">Volume!H4</f>
        <v>Jan-27</v>
      </c>
      <c r="I4" s="35" t="str">
        <f aca="false">Volume!I4</f>
        <v>Feb-27</v>
      </c>
      <c r="J4" s="35" t="str">
        <f aca="false">Volume!J4</f>
        <v>Mar-27</v>
      </c>
      <c r="K4" s="35" t="str">
        <f aca="false">Volume!K4</f>
        <v>Apr-27</v>
      </c>
      <c r="L4" s="35" t="str">
        <f aca="false">Volume!L4</f>
        <v>May-27</v>
      </c>
      <c r="M4" s="35" t="str">
        <f aca="false">Volume!M4</f>
        <v>Jun-27</v>
      </c>
      <c r="N4" s="35" t="str">
        <f aca="false">Volume!N4</f>
        <v>Jul-27</v>
      </c>
      <c r="O4" s="35" t="str">
        <f aca="false">Volume!O4</f>
        <v>Aug-27</v>
      </c>
      <c r="P4" s="35" t="str">
        <f aca="false">Volume!P4</f>
        <v>Sep-27</v>
      </c>
      <c r="Q4" s="35" t="str">
        <f aca="false">Volume!Q4</f>
        <v>Oct-27</v>
      </c>
      <c r="R4" s="35" t="str">
        <f aca="false">Volume!R4</f>
        <v>Nov-27</v>
      </c>
      <c r="S4" s="35" t="str">
        <f aca="false">Volume!S4</f>
        <v>Dec-27</v>
      </c>
    </row>
    <row r="5" customFormat="false" ht="15" hidden="false" customHeight="false" outlineLevel="0" collapsed="false">
      <c r="A5" s="36" t="s">
        <v>179</v>
      </c>
      <c r="B5" s="37" t="s">
        <v>10</v>
      </c>
      <c r="C5" s="38" t="n">
        <f aca="false">SUM(E5:G5)</f>
        <v>11.37245</v>
      </c>
      <c r="D5" s="38" t="n">
        <f aca="false">SUM(H5:S5)</f>
        <v>572.8105005</v>
      </c>
      <c r="E5" s="38" t="n">
        <f aca="false">PnL!E47+PnL!E48+IF(Volume!E26=0,0,PnL!E9*(Volume!E35+Volume!E18*(1-Inputs!$C$152*Inputs!$C$131))/Volume!E26)+Volume!E49*Inputs!$C$14</f>
        <v>0</v>
      </c>
      <c r="F5" s="38" t="n">
        <f aca="false">PnL!F47+PnL!F48+IF(Volume!F26=0,0,PnL!F9*(Volume!F35+Volume!F18*(1-Inputs!$C$152*Inputs!$C$131))/Volume!F26)+Volume!F49*Inputs!$C$14</f>
        <v>5.686225</v>
      </c>
      <c r="G5" s="38" t="n">
        <f aca="false">PnL!G47+PnL!G48+IF(Volume!G26=0,0,PnL!G9*(Volume!G35+Volume!G18*(1-Inputs!$C$152*Inputs!$C$131))/Volume!G26)+Volume!G49*Inputs!$C$14</f>
        <v>5.686225</v>
      </c>
      <c r="H5" s="38" t="n">
        <f aca="false">PnL!H47+PnL!H48+IF(Volume!H26=0,0,PnL!H9*(Volume!H35+Volume!H18*(1-Inputs!$C$152*Inputs!$C$131))/Volume!H26)+Volume!H49*Inputs!$C$14</f>
        <v>5.686225</v>
      </c>
      <c r="I5" s="38" t="n">
        <f aca="false">PnL!I47+PnL!I48+IF(Volume!I26=0,0,PnL!I9*(Volume!I35+Volume!I18*(1-Inputs!$C$152*Inputs!$C$131))/Volume!I26)+Volume!I49*Inputs!$C$14</f>
        <v>26.3996655</v>
      </c>
      <c r="J5" s="38" t="n">
        <f aca="false">PnL!J47+PnL!J48+IF(Volume!J26=0,0,PnL!J9*(Volume!J35+Volume!J18*(1-Inputs!$C$152*Inputs!$C$131))/Volume!J26)+Volume!J49*Inputs!$C$14</f>
        <v>29.6269905</v>
      </c>
      <c r="K5" s="38" t="n">
        <f aca="false">PnL!K47+PnL!K48+IF(Volume!K26=0,0,PnL!K9*(Volume!K35+Volume!K18*(1-Inputs!$C$152*Inputs!$C$131))/Volume!K26)+Volume!K49*Inputs!$C$14</f>
        <v>35.3132155</v>
      </c>
      <c r="L5" s="38" t="n">
        <f aca="false">PnL!L47+PnL!L48+IF(Volume!L26=0,0,PnL!L9*(Volume!L35+Volume!L18*(1-Inputs!$C$152*Inputs!$C$131))/Volume!L26)+Volume!L49*Inputs!$C$14</f>
        <v>49.5632155</v>
      </c>
      <c r="M5" s="38" t="n">
        <f aca="false">PnL!M47+PnL!M48+IF(Volume!M26=0,0,PnL!M9*(Volume!M35+Volume!M18*(1-Inputs!$C$152*Inputs!$C$131))/Volume!M26)+Volume!M49*Inputs!$C$14</f>
        <v>40.006531</v>
      </c>
      <c r="N5" s="38" t="n">
        <f aca="false">PnL!N47+PnL!N48+IF(Volume!N26=0,0,PnL!N9*(Volume!N35+Volume!N18*(1-Inputs!$C$152*Inputs!$C$131))/Volume!N26)+Volume!N49*Inputs!$C$14</f>
        <v>60.7199715</v>
      </c>
      <c r="O5" s="38" t="n">
        <f aca="false">PnL!O47+PnL!O48+IF(Volume!O26=0,0,PnL!O9*(Volume!O35+Volume!O18*(1-Inputs!$C$152*Inputs!$C$131))/Volume!O26)+Volume!O49*Inputs!$C$14</f>
        <v>60.7199715</v>
      </c>
      <c r="P5" s="38" t="n">
        <f aca="false">PnL!P47+PnL!P48+IF(Volume!P26=0,0,PnL!P9*(Volume!P35+Volume!P18*(1-Inputs!$C$152*Inputs!$C$131))/Volume!P26)+Volume!P49*Inputs!$C$14</f>
        <v>56.026656</v>
      </c>
      <c r="Q5" s="38" t="n">
        <f aca="false">PnL!Q47+PnL!Q48+IF(Volume!Q26=0,0,PnL!Q9*(Volume!Q35+Volume!Q18*(1-Inputs!$C$152*Inputs!$C$131))/Volume!Q26)+Volume!Q49*Inputs!$C$14</f>
        <v>75.962881</v>
      </c>
      <c r="R5" s="38" t="n">
        <f aca="false">PnL!R47+PnL!R48+IF(Volume!R26=0,0,PnL!R9*(Volume!R35+Volume!R18*(1-Inputs!$C$152*Inputs!$C$131))/Volume!R26)+Volume!R49*Inputs!$C$14</f>
        <v>68.837881</v>
      </c>
      <c r="S5" s="38" t="n">
        <f aca="false">PnL!S47+PnL!S48+IF(Volume!S26=0,0,PnL!S9*(Volume!S35+Volume!S18*(1-Inputs!$C$152*Inputs!$C$131))/Volume!S26)+Volume!S49*Inputs!$C$14</f>
        <v>63.9472965</v>
      </c>
    </row>
    <row r="6" customFormat="false" ht="15" hidden="false" customHeight="false" outlineLevel="0" collapsed="false">
      <c r="A6" s="37" t="s">
        <v>180</v>
      </c>
      <c r="B6" s="37" t="s">
        <v>10</v>
      </c>
      <c r="C6" s="38" t="n">
        <f aca="false">SUM(E6:G6)</f>
        <v>45</v>
      </c>
      <c r="D6" s="38" t="n">
        <f aca="false">SUM(H6:S6)</f>
        <v>1091.825</v>
      </c>
      <c r="E6" s="38" t="n">
        <f aca="false">PnL!E6+PnL!E7*Inputs!$C$83+IF(Volume!E26=0,0,PnL!E9*Volume!E18*Inputs!$C$152*Inputs!$C$131/Volume!E26)</f>
        <v>15</v>
      </c>
      <c r="F6" s="38" t="n">
        <f aca="false">PnL!F6+PnL!F7*Inputs!$C$83+IF(Volume!F26=0,0,PnL!F9*Volume!F18*Inputs!$C$152*Inputs!$C$131/Volume!F26)</f>
        <v>15</v>
      </c>
      <c r="G6" s="38" t="n">
        <f aca="false">PnL!G6+PnL!G7*Inputs!$C$83+IF(Volume!G26=0,0,PnL!G9*Volume!G18*Inputs!$C$152*Inputs!$C$131/Volume!G26)</f>
        <v>15</v>
      </c>
      <c r="H6" s="38" t="n">
        <f aca="false">PnL!H6+PnL!H7*Inputs!$C$83+IF(Volume!H26=0,0,PnL!H9*Volume!H18*Inputs!$C$152*Inputs!$C$131/Volume!H26)</f>
        <v>15</v>
      </c>
      <c r="I6" s="38" t="n">
        <f aca="false">PnL!I6+PnL!I7*Inputs!$C$83+IF(Volume!I26=0,0,PnL!I9*Volume!I18*Inputs!$C$152*Inputs!$C$131/Volume!I26)</f>
        <v>15</v>
      </c>
      <c r="J6" s="38" t="n">
        <f aca="false">PnL!J6+PnL!J7*Inputs!$C$83+IF(Volume!J26=0,0,PnL!J9*Volume!J18*Inputs!$C$152*Inputs!$C$131/Volume!J26)</f>
        <v>139.225</v>
      </c>
      <c r="K6" s="38" t="n">
        <f aca="false">PnL!K6+PnL!K7*Inputs!$C$83+IF(Volume!K26=0,0,PnL!K9*Volume!K18*Inputs!$C$152*Inputs!$C$131/Volume!K26)</f>
        <v>15</v>
      </c>
      <c r="L6" s="38" t="n">
        <f aca="false">PnL!L6+PnL!L7*Inputs!$C$83+IF(Volume!L26=0,0,PnL!L9*Volume!L18*Inputs!$C$152*Inputs!$C$131/Volume!L26)</f>
        <v>139.225</v>
      </c>
      <c r="M6" s="38" t="n">
        <f aca="false">PnL!M6+PnL!M7*Inputs!$C$83+IF(Volume!M26=0,0,PnL!M9*Volume!M18*Inputs!$C$152*Inputs!$C$131/Volume!M26)</f>
        <v>39.225</v>
      </c>
      <c r="N6" s="38" t="n">
        <f aca="false">PnL!N6+PnL!N7*Inputs!$C$83+IF(Volume!N26=0,0,PnL!N9*Volume!N18*Inputs!$C$152*Inputs!$C$131/Volume!N26)</f>
        <v>139.225</v>
      </c>
      <c r="O6" s="38" t="n">
        <f aca="false">PnL!O6+PnL!O7*Inputs!$C$83+IF(Volume!O26=0,0,PnL!O9*Volume!O18*Inputs!$C$152*Inputs!$C$131/Volume!O26)</f>
        <v>39.225</v>
      </c>
      <c r="P6" s="38" t="n">
        <f aca="false">PnL!P6+PnL!P7*Inputs!$C$83+IF(Volume!P26=0,0,PnL!P9*Volume!P18*Inputs!$C$152*Inputs!$C$131/Volume!P26)</f>
        <v>163.45</v>
      </c>
      <c r="Q6" s="38" t="n">
        <f aca="false">PnL!Q6+PnL!Q7*Inputs!$C$83+IF(Volume!Q26=0,0,PnL!Q9*Volume!Q18*Inputs!$C$152*Inputs!$C$131/Volume!Q26)</f>
        <v>63.45</v>
      </c>
      <c r="R6" s="38" t="n">
        <f aca="false">PnL!R6+PnL!R7*Inputs!$C$83+IF(Volume!R26=0,0,PnL!R9*Volume!R18*Inputs!$C$152*Inputs!$C$131/Volume!R26)</f>
        <v>187.675</v>
      </c>
      <c r="S6" s="38" t="n">
        <f aca="false">PnL!S6+PnL!S7*Inputs!$C$83+IF(Volume!S26=0,0,PnL!S9*Volume!S18*Inputs!$C$152*Inputs!$C$131/Volume!S26)</f>
        <v>136.125</v>
      </c>
    </row>
    <row r="7" customFormat="false" ht="15" hidden="false" customHeight="false" outlineLevel="0" collapsed="false">
      <c r="A7" s="37" t="s">
        <v>181</v>
      </c>
      <c r="B7" s="37" t="s">
        <v>10</v>
      </c>
      <c r="C7" s="38" t="n">
        <f aca="false">SUM(E7:G7)</f>
        <v>0</v>
      </c>
      <c r="D7" s="38" t="n">
        <f aca="false">SUM(H7:S7)</f>
        <v>130.815</v>
      </c>
      <c r="E7" s="38" t="n">
        <f aca="false">PnL!E7*(1-Inputs!$C$83)+PnL!E49</f>
        <v>0</v>
      </c>
      <c r="F7" s="38" t="n">
        <f aca="false">PnL!F7*(1-Inputs!$C$83)+PnL!F49</f>
        <v>0</v>
      </c>
      <c r="G7" s="38" t="n">
        <f aca="false">PnL!G7*(1-Inputs!$C$83)+PnL!G49</f>
        <v>0</v>
      </c>
      <c r="H7" s="38" t="n">
        <f aca="false">PnL!H7*(1-Inputs!$C$83)+PnL!H49</f>
        <v>0</v>
      </c>
      <c r="I7" s="38" t="n">
        <f aca="false">PnL!I7*(1-Inputs!$C$83)+PnL!I49</f>
        <v>0</v>
      </c>
      <c r="J7" s="38" t="n">
        <f aca="false">PnL!J7*(1-Inputs!$C$83)+PnL!J49</f>
        <v>4.275</v>
      </c>
      <c r="K7" s="38" t="n">
        <f aca="false">PnL!K7*(1-Inputs!$C$83)+PnL!K49</f>
        <v>0</v>
      </c>
      <c r="L7" s="38" t="n">
        <f aca="false">PnL!L7*(1-Inputs!$C$83)+PnL!L49</f>
        <v>4.275</v>
      </c>
      <c r="M7" s="38" t="n">
        <f aca="false">PnL!M7*(1-Inputs!$C$83)+PnL!M49</f>
        <v>4.275</v>
      </c>
      <c r="N7" s="38" t="n">
        <f aca="false">PnL!N7*(1-Inputs!$C$83)+PnL!N49</f>
        <v>13.965</v>
      </c>
      <c r="O7" s="38" t="n">
        <f aca="false">PnL!O7*(1-Inputs!$C$83)+PnL!O49</f>
        <v>13.965</v>
      </c>
      <c r="P7" s="38" t="n">
        <f aca="false">PnL!P7*(1-Inputs!$C$83)+PnL!P49</f>
        <v>18.24</v>
      </c>
      <c r="Q7" s="38" t="n">
        <f aca="false">PnL!Q7*(1-Inputs!$C$83)+PnL!Q49</f>
        <v>18.24</v>
      </c>
      <c r="R7" s="38" t="n">
        <f aca="false">PnL!R7*(1-Inputs!$C$83)+PnL!R49</f>
        <v>22.515</v>
      </c>
      <c r="S7" s="38" t="n">
        <f aca="false">PnL!S7*(1-Inputs!$C$83)+PnL!S49</f>
        <v>31.065</v>
      </c>
    </row>
    <row r="8" customFormat="false" ht="15" hidden="false" customHeight="false" outlineLevel="0" collapsed="false">
      <c r="A8" s="37" t="s">
        <v>182</v>
      </c>
      <c r="B8" s="37" t="s">
        <v>10</v>
      </c>
      <c r="C8" s="38" t="n">
        <f aca="false">SUM(E8:G8)</f>
        <v>0</v>
      </c>
      <c r="D8" s="38" t="n">
        <f aca="false">SUM(H8:S8)</f>
        <v>374.5</v>
      </c>
      <c r="E8" s="38" t="n">
        <f aca="false">PnL!E8</f>
        <v>0</v>
      </c>
      <c r="F8" s="38" t="n">
        <f aca="false">PnL!F8</f>
        <v>0</v>
      </c>
      <c r="G8" s="38" t="n">
        <f aca="false">PnL!G8</f>
        <v>0</v>
      </c>
      <c r="H8" s="38" t="n">
        <f aca="false">PnL!H8</f>
        <v>0</v>
      </c>
      <c r="I8" s="38" t="n">
        <f aca="false">PnL!I8</f>
        <v>0</v>
      </c>
      <c r="J8" s="38" t="n">
        <f aca="false">PnL!J8</f>
        <v>0</v>
      </c>
      <c r="K8" s="38" t="n">
        <f aca="false">PnL!K8</f>
        <v>53.5</v>
      </c>
      <c r="L8" s="38" t="n">
        <f aca="false">PnL!L8</f>
        <v>0</v>
      </c>
      <c r="M8" s="38" t="n">
        <f aca="false">PnL!M8</f>
        <v>0</v>
      </c>
      <c r="N8" s="38" t="n">
        <f aca="false">PnL!N8</f>
        <v>53.5</v>
      </c>
      <c r="O8" s="38" t="n">
        <f aca="false">PnL!O8</f>
        <v>0</v>
      </c>
      <c r="P8" s="38" t="n">
        <f aca="false">PnL!P8</f>
        <v>0</v>
      </c>
      <c r="Q8" s="38" t="n">
        <f aca="false">PnL!Q8</f>
        <v>107</v>
      </c>
      <c r="R8" s="38" t="n">
        <f aca="false">PnL!R8</f>
        <v>107</v>
      </c>
      <c r="S8" s="38" t="n">
        <f aca="false">PnL!S8</f>
        <v>53.5</v>
      </c>
    </row>
    <row r="9" customFormat="false" ht="15" hidden="false" customHeight="false" outlineLevel="0" collapsed="false">
      <c r="A9" s="37" t="s">
        <v>183</v>
      </c>
      <c r="B9" s="37" t="s">
        <v>10</v>
      </c>
      <c r="C9" s="38" t="n">
        <f aca="false">SUM(E9:G9)</f>
        <v>0</v>
      </c>
      <c r="D9" s="38" t="n">
        <f aca="false">SUM(H9:S9)</f>
        <v>144</v>
      </c>
      <c r="E9" s="38" t="n">
        <f aca="false">PnL!E50</f>
        <v>0</v>
      </c>
      <c r="F9" s="38" t="n">
        <f aca="false">PnL!F50</f>
        <v>0</v>
      </c>
      <c r="G9" s="38" t="n">
        <f aca="false">PnL!G50</f>
        <v>0</v>
      </c>
      <c r="H9" s="38" t="n">
        <f aca="false">PnL!H50</f>
        <v>0</v>
      </c>
      <c r="I9" s="38" t="n">
        <f aca="false">PnL!I50</f>
        <v>24</v>
      </c>
      <c r="J9" s="38" t="n">
        <f aca="false">PnL!J50</f>
        <v>0</v>
      </c>
      <c r="K9" s="38" t="n">
        <f aca="false">PnL!K50</f>
        <v>0</v>
      </c>
      <c r="L9" s="38" t="n">
        <f aca="false">PnL!L50</f>
        <v>0</v>
      </c>
      <c r="M9" s="38" t="n">
        <f aca="false">PnL!M50</f>
        <v>0</v>
      </c>
      <c r="N9" s="38" t="n">
        <f aca="false">PnL!N50</f>
        <v>24</v>
      </c>
      <c r="O9" s="38" t="n">
        <f aca="false">PnL!O50</f>
        <v>24</v>
      </c>
      <c r="P9" s="38" t="n">
        <f aca="false">PnL!P50</f>
        <v>24</v>
      </c>
      <c r="Q9" s="38" t="n">
        <f aca="false">PnL!Q50</f>
        <v>24</v>
      </c>
      <c r="R9" s="38" t="n">
        <f aca="false">PnL!R50</f>
        <v>24</v>
      </c>
      <c r="S9" s="38" t="n">
        <f aca="false">PnL!S50</f>
        <v>0</v>
      </c>
    </row>
    <row r="10" customFormat="false" ht="15" hidden="false" customHeight="false" outlineLevel="0" collapsed="false">
      <c r="A10" s="37" t="s">
        <v>184</v>
      </c>
      <c r="B10" s="37" t="s">
        <v>10</v>
      </c>
      <c r="C10" s="38" t="n">
        <f aca="false">SUM(E10:G10)</f>
        <v>8.18456096779305</v>
      </c>
      <c r="D10" s="38" t="n">
        <f aca="false">SUM(H10:S10)</f>
        <v>118.604068534263</v>
      </c>
      <c r="E10" s="38" t="n">
        <f aca="false">PnL!E10+PnL!E11-Volume!E49*Inputs!$C$14</f>
        <v>5.428616980779</v>
      </c>
      <c r="F10" s="38" t="n">
        <f aca="false">PnL!F10+PnL!F11-Volume!F49*Inputs!$C$14</f>
        <v>1.34587979058906</v>
      </c>
      <c r="G10" s="38" t="n">
        <f aca="false">PnL!G10+PnL!G11-Volume!G49*Inputs!$C$14</f>
        <v>1.410064196425</v>
      </c>
      <c r="H10" s="38" t="n">
        <f aca="false">PnL!H10+PnL!H11-Volume!H49*Inputs!$C$14</f>
        <v>2.12266446403037</v>
      </c>
      <c r="I10" s="38" t="n">
        <f aca="false">PnL!I10+PnL!I11-Volume!I49*Inputs!$C$14</f>
        <v>6.43057097830248</v>
      </c>
      <c r="J10" s="38" t="n">
        <f aca="false">PnL!J10+PnL!J11-Volume!J49*Inputs!$C$14</f>
        <v>2.4631339184375</v>
      </c>
      <c r="K10" s="38" t="n">
        <f aca="false">PnL!K10+PnL!K11-Volume!K49*Inputs!$C$14</f>
        <v>6.3542276233356</v>
      </c>
      <c r="L10" s="38" t="n">
        <f aca="false">PnL!L10+PnL!L11-Volume!L49*Inputs!$C$14</f>
        <v>6.68831836927637</v>
      </c>
      <c r="M10" s="38" t="n">
        <f aca="false">PnL!M10+PnL!M11-Volume!M49*Inputs!$C$14</f>
        <v>7.05106309180556</v>
      </c>
      <c r="N10" s="38" t="n">
        <f aca="false">PnL!N10+PnL!N11-Volume!N49*Inputs!$C$14</f>
        <v>10.6446233740243</v>
      </c>
      <c r="O10" s="38" t="n">
        <f aca="false">PnL!O10+PnL!O11-Volume!O49*Inputs!$C$14</f>
        <v>11.2412423969206</v>
      </c>
      <c r="P10" s="38" t="n">
        <f aca="false">PnL!P10+PnL!P11-Volume!P49*Inputs!$C$14</f>
        <v>11.8890316713788</v>
      </c>
      <c r="Q10" s="38" t="n">
        <f aca="false">PnL!Q10+PnL!Q11-Volume!Q49*Inputs!$C$14</f>
        <v>17.1932898473759</v>
      </c>
      <c r="R10" s="38" t="n">
        <f aca="false">PnL!R10+PnL!R11-Volume!R49*Inputs!$C$14</f>
        <v>17.8891546973337</v>
      </c>
      <c r="S10" s="38" t="n">
        <f aca="false">PnL!S10+PnL!S11-Volume!S49*Inputs!$C$14</f>
        <v>18.6367481020416</v>
      </c>
    </row>
    <row r="11" customFormat="false" ht="15" hidden="false" customHeight="false" outlineLevel="0" collapsed="false">
      <c r="A11" s="36" t="s">
        <v>185</v>
      </c>
      <c r="B11" s="37" t="s">
        <v>10</v>
      </c>
      <c r="C11" s="38" t="n">
        <f aca="false">SUM(E11:G11)</f>
        <v>64.5570109677931</v>
      </c>
      <c r="D11" s="38" t="n">
        <f aca="false">SUM(H11:S11)</f>
        <v>2432.55456903426</v>
      </c>
      <c r="E11" s="38" t="n">
        <f aca="false">SUM(E5:E10)</f>
        <v>20.428616980779</v>
      </c>
      <c r="F11" s="38" t="n">
        <f aca="false">SUM(F5:F10)</f>
        <v>22.0321047905891</v>
      </c>
      <c r="G11" s="38" t="n">
        <f aca="false">SUM(G5:G10)</f>
        <v>22.096289196425</v>
      </c>
      <c r="H11" s="38" t="n">
        <f aca="false">SUM(H5:H10)</f>
        <v>22.8088894640304</v>
      </c>
      <c r="I11" s="38" t="n">
        <f aca="false">SUM(I5:I10)</f>
        <v>71.8302364783025</v>
      </c>
      <c r="J11" s="38" t="n">
        <f aca="false">SUM(J5:J10)</f>
        <v>175.590124418438</v>
      </c>
      <c r="K11" s="38" t="n">
        <f aca="false">SUM(K5:K10)</f>
        <v>110.167443123336</v>
      </c>
      <c r="L11" s="38" t="n">
        <f aca="false">SUM(L5:L10)</f>
        <v>199.751533869276</v>
      </c>
      <c r="M11" s="38" t="n">
        <f aca="false">SUM(M5:M10)</f>
        <v>90.5575940918056</v>
      </c>
      <c r="N11" s="38" t="n">
        <f aca="false">SUM(N5:N10)</f>
        <v>302.054594874024</v>
      </c>
      <c r="O11" s="38" t="n">
        <f aca="false">SUM(O5:O10)</f>
        <v>149.151213896921</v>
      </c>
      <c r="P11" s="38" t="n">
        <f aca="false">SUM(P5:P10)</f>
        <v>273.605687671379</v>
      </c>
      <c r="Q11" s="38" t="n">
        <f aca="false">SUM(Q5:Q10)</f>
        <v>305.846170847376</v>
      </c>
      <c r="R11" s="38" t="n">
        <f aca="false">SUM(R5:R10)</f>
        <v>427.917035697334</v>
      </c>
      <c r="S11" s="38" t="n">
        <f aca="false">SUM(S5:S10)</f>
        <v>303.274044602042</v>
      </c>
    </row>
    <row r="12" customFormat="false" ht="15" hidden="false" customHeight="false" outlineLevel="0" collapsed="false">
      <c r="A12" s="37" t="s">
        <v>186</v>
      </c>
      <c r="B12" s="37" t="s">
        <v>10</v>
      </c>
      <c r="C12" s="38" t="n">
        <f aca="false">SUM(E12:G12)</f>
        <v>0</v>
      </c>
      <c r="D12" s="38" t="n">
        <f aca="false">SUM(H12:S12)</f>
        <v>0</v>
      </c>
      <c r="E12" s="38" t="n">
        <f aca="false">ROUND(E11-PnL!E12,6)</f>
        <v>0</v>
      </c>
      <c r="F12" s="38" t="n">
        <f aca="false">ROUND(F11-PnL!F12,6)</f>
        <v>0</v>
      </c>
      <c r="G12" s="38" t="n">
        <f aca="false">ROUND(G11-PnL!G12,6)</f>
        <v>0</v>
      </c>
      <c r="H12" s="38" t="n">
        <f aca="false">ROUND(H11-PnL!H12,6)</f>
        <v>0</v>
      </c>
      <c r="I12" s="38" t="n">
        <f aca="false">ROUND(I11-PnL!I12,6)</f>
        <v>0</v>
      </c>
      <c r="J12" s="38" t="n">
        <f aca="false">ROUND(J11-PnL!J12,6)</f>
        <v>0</v>
      </c>
      <c r="K12" s="38" t="n">
        <f aca="false">ROUND(K11-PnL!K12,6)</f>
        <v>0</v>
      </c>
      <c r="L12" s="38" t="n">
        <f aca="false">ROUND(L11-PnL!L12,6)</f>
        <v>0</v>
      </c>
      <c r="M12" s="38" t="n">
        <f aca="false">ROUND(M11-PnL!M12,6)</f>
        <v>0</v>
      </c>
      <c r="N12" s="38" t="n">
        <f aca="false">ROUND(N11-PnL!N12,6)</f>
        <v>0</v>
      </c>
      <c r="O12" s="38" t="n">
        <f aca="false">ROUND(O11-PnL!O12,6)</f>
        <v>0</v>
      </c>
      <c r="P12" s="38" t="n">
        <f aca="false">ROUND(P11-PnL!P12,6)</f>
        <v>0</v>
      </c>
      <c r="Q12" s="38" t="n">
        <f aca="false">ROUND(Q11-PnL!Q12,6)</f>
        <v>0</v>
      </c>
      <c r="R12" s="38" t="n">
        <f aca="false">ROUND(R11-PnL!R12,6)</f>
        <v>0</v>
      </c>
      <c r="S12" s="38" t="n">
        <f aca="false">ROUND(S11-PnL!S12,6)</f>
        <v>0</v>
      </c>
    </row>
    <row r="13" customFormat="false" ht="15" hidden="false" customHeight="false" outlineLevel="0" collapsed="false">
      <c r="A13" s="39" t="s">
        <v>187</v>
      </c>
    </row>
    <row r="14" customFormat="false" ht="15" hidden="false" customHeight="false" outlineLevel="0" collapsed="false">
      <c r="A14" s="37" t="s">
        <v>188</v>
      </c>
      <c r="B14" s="37" t="s">
        <v>21</v>
      </c>
      <c r="C14" s="40" t="n">
        <f aca="false">IF(C11=0,0,C5/C11)</f>
        <v>0.176161346839209</v>
      </c>
      <c r="D14" s="40" t="n">
        <f aca="false">IF(D11=0,0,D5/D11)</f>
        <v>0.235476937616001</v>
      </c>
      <c r="E14" s="40" t="n">
        <f aca="false">IF(E11=0,0,E5/E11)</f>
        <v>0</v>
      </c>
      <c r="F14" s="40" t="n">
        <f aca="false">IF(F11=0,0,F5/F11)</f>
        <v>0.25808814246512</v>
      </c>
      <c r="G14" s="40" t="n">
        <f aca="false">IF(G11=0,0,G5/G11)</f>
        <v>0.257338458482883</v>
      </c>
      <c r="H14" s="40" t="n">
        <f aca="false">IF(H11=0,0,H5/H11)</f>
        <v>0.249298634594515</v>
      </c>
      <c r="I14" s="40" t="n">
        <f aca="false">IF(I11=0,0,I5/I11)</f>
        <v>0.367528589551205</v>
      </c>
      <c r="J14" s="40" t="n">
        <f aca="false">IF(J11=0,0,J5/J11)</f>
        <v>0.168728113828303</v>
      </c>
      <c r="K14" s="40" t="n">
        <f aca="false">IF(K11=0,0,K5/K11)</f>
        <v>0.32054130057703</v>
      </c>
      <c r="L14" s="40" t="n">
        <f aca="false">IF(L11=0,0,L5/L11)</f>
        <v>0.248124329961019</v>
      </c>
      <c r="M14" s="40" t="n">
        <f aca="false">IF(M11=0,0,M5/M11)</f>
        <v>0.441779967778761</v>
      </c>
      <c r="N14" s="40" t="n">
        <f aca="false">IF(N11=0,0,N5/N11)</f>
        <v>0.20102316776649</v>
      </c>
      <c r="O14" s="40" t="n">
        <f aca="false">IF(O11=0,0,O5/O11)</f>
        <v>0.407103434920509</v>
      </c>
      <c r="P14" s="40" t="n">
        <f aca="false">IF(P11=0,0,P5/P11)</f>
        <v>0.204771532627247</v>
      </c>
      <c r="Q14" s="40" t="n">
        <f aca="false">IF(Q11=0,0,Q5/Q11)</f>
        <v>0.248369566928164</v>
      </c>
      <c r="R14" s="40" t="n">
        <f aca="false">IF(R11=0,0,R5/R11)</f>
        <v>0.160867353382699</v>
      </c>
      <c r="S14" s="40" t="n">
        <f aca="false">IF(S11=0,0,S5/S11)</f>
        <v>0.210856476636212</v>
      </c>
    </row>
    <row r="15" customFormat="false" ht="15" hidden="false" customHeight="false" outlineLevel="0" collapsed="false">
      <c r="A15" s="37" t="s">
        <v>189</v>
      </c>
      <c r="B15" s="37" t="s">
        <v>21</v>
      </c>
      <c r="C15" s="40" t="n">
        <f aca="false">IF(C11=0,0,C6/C11)</f>
        <v>0.697058295069611</v>
      </c>
      <c r="D15" s="40" t="n">
        <f aca="false">IF(D11=0,0,D6/D11)</f>
        <v>0.448838851920786</v>
      </c>
      <c r="E15" s="40" t="n">
        <f aca="false">IF(E11=0,0,E6/E11)</f>
        <v>0.73426409698284</v>
      </c>
      <c r="F15" s="40" t="n">
        <f aca="false">IF(F11=0,0,F6/F11)</f>
        <v>0.680824648510532</v>
      </c>
      <c r="G15" s="40" t="n">
        <f aca="false">IF(G11=0,0,G6/G11)</f>
        <v>0.678847016648699</v>
      </c>
      <c r="H15" s="40" t="n">
        <f aca="false">IF(H11=0,0,H6/H11)</f>
        <v>0.657638331039966</v>
      </c>
      <c r="I15" s="40" t="n">
        <f aca="false">IF(I11=0,0,I6/I11)</f>
        <v>0.208825708161646</v>
      </c>
      <c r="J15" s="40" t="n">
        <f aca="false">IF(J11=0,0,J6/J11)</f>
        <v>0.792897667002171</v>
      </c>
      <c r="K15" s="40" t="n">
        <f aca="false">IF(K11=0,0,K6/K11)</f>
        <v>0.136156377735</v>
      </c>
      <c r="L15" s="40" t="n">
        <f aca="false">IF(L11=0,0,L6/L11)</f>
        <v>0.696990893151855</v>
      </c>
      <c r="M15" s="40" t="n">
        <f aca="false">IF(M11=0,0,M6/M11)</f>
        <v>0.433149758376249</v>
      </c>
      <c r="N15" s="40" t="n">
        <f aca="false">IF(N11=0,0,N6/N11)</f>
        <v>0.460926608509517</v>
      </c>
      <c r="O15" s="40" t="n">
        <f aca="false">IF(O11=0,0,O6/O11)</f>
        <v>0.262988137844514</v>
      </c>
      <c r="P15" s="40" t="n">
        <f aca="false">IF(P11=0,0,P6/P11)</f>
        <v>0.597392552001024</v>
      </c>
      <c r="Q15" s="40" t="n">
        <f aca="false">IF(Q11=0,0,Q6/Q11)</f>
        <v>0.207457231928736</v>
      </c>
      <c r="R15" s="40" t="n">
        <f aca="false">IF(R11=0,0,R6/R11)</f>
        <v>0.438578005416786</v>
      </c>
      <c r="S15" s="40" t="n">
        <f aca="false">IF(S11=0,0,S6/S11)</f>
        <v>0.448851467584785</v>
      </c>
    </row>
    <row r="16" customFormat="false" ht="15" hidden="false" customHeight="false" outlineLevel="0" collapsed="false">
      <c r="A16" s="37" t="s">
        <v>190</v>
      </c>
      <c r="B16" s="37" t="s">
        <v>21</v>
      </c>
      <c r="C16" s="40" t="n">
        <f aca="false">IF(C11=0,0,C7/C11)</f>
        <v>0</v>
      </c>
      <c r="D16" s="40" t="n">
        <f aca="false">IF(D11=0,0,D7/D11)</f>
        <v>0.0537767997747053</v>
      </c>
      <c r="E16" s="40" t="n">
        <f aca="false">IF(E11=0,0,E7/E11)</f>
        <v>0</v>
      </c>
      <c r="F16" s="40" t="n">
        <f aca="false">IF(F11=0,0,F7/F11)</f>
        <v>0</v>
      </c>
      <c r="G16" s="40" t="n">
        <f aca="false">IF(G11=0,0,G7/G11)</f>
        <v>0</v>
      </c>
      <c r="H16" s="40" t="n">
        <f aca="false">IF(H11=0,0,H7/H11)</f>
        <v>0</v>
      </c>
      <c r="I16" s="40" t="n">
        <f aca="false">IF(I11=0,0,I7/I11)</f>
        <v>0</v>
      </c>
      <c r="J16" s="40" t="n">
        <f aca="false">IF(J11=0,0,J7/J11)</f>
        <v>0.0243464717287433</v>
      </c>
      <c r="K16" s="40" t="n">
        <f aca="false">IF(K11=0,0,K7/K11)</f>
        <v>0</v>
      </c>
      <c r="L16" s="40" t="n">
        <f aca="false">IF(L11=0,0,L7/L11)</f>
        <v>0.0214015878486204</v>
      </c>
      <c r="M16" s="40" t="n">
        <f aca="false">IF(M11=0,0,M7/M11)</f>
        <v>0.0472075262475071</v>
      </c>
      <c r="N16" s="40" t="n">
        <f aca="false">IF(N11=0,0,N7/N11)</f>
        <v>0.0462333638917967</v>
      </c>
      <c r="O16" s="40" t="n">
        <f aca="false">IF(O11=0,0,O7/O11)</f>
        <v>0.0936298112173013</v>
      </c>
      <c r="P16" s="40" t="n">
        <f aca="false">IF(P11=0,0,P7/P11)</f>
        <v>0.0666652808106373</v>
      </c>
      <c r="Q16" s="40" t="n">
        <f aca="false">IF(Q11=0,0,Q7/Q11)</f>
        <v>0.0596378236466533</v>
      </c>
      <c r="R16" s="40" t="n">
        <f aca="false">IF(R11=0,0,R7/R11)</f>
        <v>0.0526153392404898</v>
      </c>
      <c r="S16" s="40" t="n">
        <f aca="false">IF(S11=0,0,S7/S11)</f>
        <v>0.102432109021277</v>
      </c>
    </row>
    <row r="17" customFormat="false" ht="15" hidden="false" customHeight="false" outlineLevel="0" collapsed="false">
      <c r="A17" s="37" t="s">
        <v>191</v>
      </c>
      <c r="B17" s="37" t="s">
        <v>21</v>
      </c>
      <c r="C17" s="40" t="n">
        <f aca="false">IF(C11=0,0,C8/C11)</f>
        <v>0</v>
      </c>
      <c r="D17" s="40" t="n">
        <f aca="false">IF(D11=0,0,D8/D11)</f>
        <v>0.153953380847969</v>
      </c>
      <c r="E17" s="40" t="n">
        <f aca="false">IF(E11=0,0,E8/E11)</f>
        <v>0</v>
      </c>
      <c r="F17" s="40" t="n">
        <f aca="false">IF(F11=0,0,F8/F11)</f>
        <v>0</v>
      </c>
      <c r="G17" s="40" t="n">
        <f aca="false">IF(G11=0,0,G8/G11)</f>
        <v>0</v>
      </c>
      <c r="H17" s="40" t="n">
        <f aca="false">IF(H11=0,0,H8/H11)</f>
        <v>0</v>
      </c>
      <c r="I17" s="40" t="n">
        <f aca="false">IF(I11=0,0,I8/I11)</f>
        <v>0</v>
      </c>
      <c r="J17" s="40" t="n">
        <f aca="false">IF(J11=0,0,J8/J11)</f>
        <v>0</v>
      </c>
      <c r="K17" s="40" t="n">
        <f aca="false">IF(K11=0,0,K8/K11)</f>
        <v>0.4856244139215</v>
      </c>
      <c r="L17" s="40" t="n">
        <f aca="false">IF(L11=0,0,L8/L11)</f>
        <v>0</v>
      </c>
      <c r="M17" s="40" t="n">
        <f aca="false">IF(M11=0,0,M8/M11)</f>
        <v>0</v>
      </c>
      <c r="N17" s="40" t="n">
        <f aca="false">IF(N11=0,0,N8/N11)</f>
        <v>0.177120298475555</v>
      </c>
      <c r="O17" s="40" t="n">
        <f aca="false">IF(O11=0,0,O8/O11)</f>
        <v>0</v>
      </c>
      <c r="P17" s="40" t="n">
        <f aca="false">IF(P11=0,0,P8/P11)</f>
        <v>0</v>
      </c>
      <c r="Q17" s="40" t="n">
        <f aca="false">IF(Q11=0,0,Q8/Q11)</f>
        <v>0.34984907512017</v>
      </c>
      <c r="R17" s="40" t="n">
        <f aca="false">IF(R11=0,0,R8/R11)</f>
        <v>0.25004846985265</v>
      </c>
      <c r="S17" s="40" t="n">
        <f aca="false">IF(S11=0,0,S8/S11)</f>
        <v>0.17640810663571</v>
      </c>
    </row>
    <row r="18" customFormat="false" ht="15" hidden="false" customHeight="false" outlineLevel="0" collapsed="false">
      <c r="A18" s="37" t="s">
        <v>192</v>
      </c>
      <c r="B18" s="37" t="s">
        <v>21</v>
      </c>
      <c r="C18" s="40" t="n">
        <f aca="false">IF(C11=0,0,C9/C11)</f>
        <v>0</v>
      </c>
      <c r="D18" s="40" t="n">
        <f aca="false">IF(D11=0,0,D9/D11)</f>
        <v>0.0591970276157746</v>
      </c>
      <c r="E18" s="40" t="n">
        <f aca="false">IF(E11=0,0,E9/E11)</f>
        <v>0</v>
      </c>
      <c r="F18" s="40" t="n">
        <f aca="false">IF(F11=0,0,F9/F11)</f>
        <v>0</v>
      </c>
      <c r="G18" s="40" t="n">
        <f aca="false">IF(G11=0,0,G9/G11)</f>
        <v>0</v>
      </c>
      <c r="H18" s="40" t="n">
        <f aca="false">IF(H11=0,0,H9/H11)</f>
        <v>0</v>
      </c>
      <c r="I18" s="40" t="n">
        <f aca="false">IF(I11=0,0,I9/I11)</f>
        <v>0.334121133058633</v>
      </c>
      <c r="J18" s="40" t="n">
        <f aca="false">IF(J11=0,0,J9/J11)</f>
        <v>0</v>
      </c>
      <c r="K18" s="40" t="n">
        <f aca="false">IF(K11=0,0,K9/K11)</f>
        <v>0</v>
      </c>
      <c r="L18" s="40" t="n">
        <f aca="false">IF(L11=0,0,L9/L11)</f>
        <v>0</v>
      </c>
      <c r="M18" s="40" t="n">
        <f aca="false">IF(M11=0,0,M9/M11)</f>
        <v>0</v>
      </c>
      <c r="N18" s="40" t="n">
        <f aca="false">IF(N11=0,0,N9/N11)</f>
        <v>0.0794558348301555</v>
      </c>
      <c r="O18" s="40" t="n">
        <f aca="false">IF(O11=0,0,O9/O11)</f>
        <v>0.160910524111366</v>
      </c>
      <c r="P18" s="40" t="n">
        <f aca="false">IF(P11=0,0,P9/P11)</f>
        <v>0.0877174747508386</v>
      </c>
      <c r="Q18" s="40" t="n">
        <f aca="false">IF(Q11=0,0,Q9/Q11)</f>
        <v>0.0784708205877017</v>
      </c>
      <c r="R18" s="40" t="n">
        <f aca="false">IF(R11=0,0,R9/R11)</f>
        <v>0.0560856380977906</v>
      </c>
      <c r="S18" s="40" t="n">
        <f aca="false">IF(S11=0,0,S9/S11)</f>
        <v>0</v>
      </c>
    </row>
    <row r="19" customFormat="false" ht="15" hidden="false" customHeight="false" outlineLevel="0" collapsed="false">
      <c r="A19" s="37" t="s">
        <v>193</v>
      </c>
      <c r="B19" s="37" t="s">
        <v>21</v>
      </c>
      <c r="C19" s="40" t="n">
        <f aca="false">IF(C11=0,0,C10/C11)</f>
        <v>0.12678035809118</v>
      </c>
      <c r="D19" s="40" t="n">
        <f aca="false">IF(D11=0,0,D10/D11)</f>
        <v>0.0487570022247638</v>
      </c>
      <c r="E19" s="40" t="n">
        <f aca="false">IF(E11=0,0,E10/E11)</f>
        <v>0.26573590301716</v>
      </c>
      <c r="F19" s="40" t="n">
        <f aca="false">IF(F11=0,0,F10/F11)</f>
        <v>0.0610872090243482</v>
      </c>
      <c r="G19" s="40" t="n">
        <f aca="false">IF(G11=0,0,G10/G11)</f>
        <v>0.0638145248684171</v>
      </c>
      <c r="H19" s="40" t="n">
        <f aca="false">IF(H11=0,0,H10/H11)</f>
        <v>0.0930630343655183</v>
      </c>
      <c r="I19" s="40" t="n">
        <f aca="false">IF(I11=0,0,I10/I11)</f>
        <v>0.0895245692285162</v>
      </c>
      <c r="J19" s="40" t="n">
        <f aca="false">IF(J11=0,0,J10/J11)</f>
        <v>0.014027747440783</v>
      </c>
      <c r="K19" s="40" t="n">
        <f aca="false">IF(K11=0,0,K10/K11)</f>
        <v>0.0576779077664702</v>
      </c>
      <c r="L19" s="40" t="n">
        <f aca="false">IF(L11=0,0,L10/L11)</f>
        <v>0.0334831890385053</v>
      </c>
      <c r="M19" s="40" t="n">
        <f aca="false">IF(M11=0,0,M10/M11)</f>
        <v>0.0778627475974828</v>
      </c>
      <c r="N19" s="40" t="n">
        <f aca="false">IF(N11=0,0,N10/N11)</f>
        <v>0.0352407265264868</v>
      </c>
      <c r="O19" s="40" t="n">
        <f aca="false">IF(O11=0,0,O10/O11)</f>
        <v>0.0753680919063087</v>
      </c>
      <c r="P19" s="40" t="n">
        <f aca="false">IF(P11=0,0,P10/P11)</f>
        <v>0.0434531598102538</v>
      </c>
      <c r="Q19" s="40" t="n">
        <f aca="false">IF(Q11=0,0,Q10/Q11)</f>
        <v>0.0562154817885745</v>
      </c>
      <c r="R19" s="40" t="n">
        <f aca="false">IF(R11=0,0,R10/R11)</f>
        <v>0.0418051940095854</v>
      </c>
      <c r="S19" s="40" t="n">
        <f aca="false">IF(S11=0,0,S10/S11)</f>
        <v>0.0614518401220153</v>
      </c>
    </row>
    <row r="20" customFormat="false" ht="15" hidden="false" customHeight="false" outlineLevel="0" collapsed="false">
      <c r="A20" s="37" t="s">
        <v>194</v>
      </c>
      <c r="B20" s="37" t="s">
        <v>10</v>
      </c>
      <c r="C20" s="38" t="n">
        <f aca="false">SUM(E20:G20)</f>
        <v>55.143</v>
      </c>
      <c r="D20" s="38" t="n">
        <f aca="false">SUM(H20:S20)</f>
        <v>1354.703</v>
      </c>
      <c r="E20" s="38" t="n">
        <f aca="false">PnL!E40</f>
        <v>15</v>
      </c>
      <c r="F20" s="38" t="n">
        <f aca="false">PnL!F40</f>
        <v>20.0715</v>
      </c>
      <c r="G20" s="38" t="n">
        <f aca="false">PnL!G40</f>
        <v>20.0715</v>
      </c>
      <c r="H20" s="38" t="n">
        <f aca="false">PnL!H40</f>
        <v>20.0715</v>
      </c>
      <c r="I20" s="38" t="n">
        <f aca="false">PnL!I40</f>
        <v>22.9695</v>
      </c>
      <c r="J20" s="38" t="n">
        <f aca="false">PnL!J40</f>
        <v>152.266</v>
      </c>
      <c r="K20" s="38" t="n">
        <f aca="false">PnL!K40</f>
        <v>33.1125</v>
      </c>
      <c r="L20" s="38" t="n">
        <f aca="false">PnL!L40</f>
        <v>164.4625</v>
      </c>
      <c r="M20" s="38" t="n">
        <f aca="false">PnL!M40</f>
        <v>62.289</v>
      </c>
      <c r="N20" s="38" t="n">
        <f aca="false">PnL!N40</f>
        <v>165.187</v>
      </c>
      <c r="O20" s="38" t="n">
        <f aca="false">PnL!O40</f>
        <v>65.187</v>
      </c>
      <c r="P20" s="38" t="n">
        <f aca="false">PnL!P40</f>
        <v>184.4605</v>
      </c>
      <c r="Q20" s="38" t="n">
        <f aca="false">PnL!Q40</f>
        <v>96.657</v>
      </c>
      <c r="R20" s="38" t="n">
        <f aca="false">PnL!R40</f>
        <v>220.882</v>
      </c>
      <c r="S20" s="38" t="n">
        <f aca="false">PnL!S40</f>
        <v>167.1585</v>
      </c>
    </row>
    <row r="21" customFormat="false" ht="15" hidden="false" customHeight="false" outlineLevel="0" collapsed="false">
      <c r="A21" s="36" t="s">
        <v>195</v>
      </c>
      <c r="B21" s="37" t="s">
        <v>21</v>
      </c>
      <c r="C21" s="40" t="n">
        <f aca="false">IF(C11=0,0,C20/C11)</f>
        <v>0.854175234778301</v>
      </c>
      <c r="D21" s="40" t="n">
        <f aca="false">IF(D11=0,0,D20/D11)</f>
        <v>0.5569054923762</v>
      </c>
      <c r="E21" s="40" t="n">
        <f aca="false">IF(E11=0,0,E20/E11)</f>
        <v>0.73426409698284</v>
      </c>
      <c r="F21" s="40" t="n">
        <f aca="false">IF(F11=0,0,F20/F11)</f>
        <v>0.911011462171943</v>
      </c>
      <c r="G21" s="40" t="n">
        <f aca="false">IF(G11=0,0,G20/G11)</f>
        <v>0.908365192977625</v>
      </c>
      <c r="H21" s="40" t="n">
        <f aca="false">IF(H11=0,0,H20/H11)</f>
        <v>0.879985850764579</v>
      </c>
      <c r="I21" s="40" t="n">
        <f aca="false">IF(I11=0,0,I20/I11)</f>
        <v>0.319774806907928</v>
      </c>
      <c r="J21" s="40" t="n">
        <f aca="false">IF(J11=0,0,J20/J11)</f>
        <v>0.867167219707327</v>
      </c>
      <c r="K21" s="40" t="n">
        <f aca="false">IF(K11=0,0,K20/K11)</f>
        <v>0.300565203850012</v>
      </c>
      <c r="L21" s="40" t="n">
        <f aca="false">IF(L11=0,0,L20/L11)</f>
        <v>0.823335354749413</v>
      </c>
      <c r="M21" s="40" t="n">
        <f aca="false">IF(M11=0,0,M20/M11)</f>
        <v>0.687838503492624</v>
      </c>
      <c r="N21" s="40" t="n">
        <f aca="false">IF(N11=0,0,N20/N11)</f>
        <v>0.546877957837037</v>
      </c>
      <c r="O21" s="40" t="n">
        <f aca="false">IF(O11=0,0,O20/O11)</f>
        <v>0.437053097301985</v>
      </c>
      <c r="P21" s="40" t="n">
        <f aca="false">IF(P11=0,0,P20/P11)</f>
        <v>0.674183718803211</v>
      </c>
      <c r="Q21" s="40" t="n">
        <f aca="false">IF(Q11=0,0,Q20/Q11)</f>
        <v>0.316031421064395</v>
      </c>
      <c r="R21" s="40" t="n">
        <f aca="false">IF(R11=0,0,R20/R11)</f>
        <v>0.516179496429841</v>
      </c>
      <c r="S21" s="40" t="n">
        <f aca="false">IF(S11=0,0,S20/S11)</f>
        <v>0.551179710150754</v>
      </c>
    </row>
    <row r="23" customFormat="false" ht="15" hidden="false" customHeight="false" outlineLevel="0" collapsed="false">
      <c r="A23" s="39" t="s">
        <v>196</v>
      </c>
    </row>
    <row r="24" customFormat="false" ht="23.85" hidden="false" customHeight="false" outlineLevel="0" collapsed="false">
      <c r="A24" s="41" t="s">
        <v>197</v>
      </c>
      <c r="B24" s="41" t="s">
        <v>198</v>
      </c>
      <c r="C24" s="41" t="s">
        <v>6</v>
      </c>
      <c r="D24" s="41" t="s">
        <v>199</v>
      </c>
      <c r="E24" s="41" t="s">
        <v>119</v>
      </c>
    </row>
    <row r="25" customFormat="false" ht="15" hidden="false" customHeight="false" outlineLevel="0" collapsed="false">
      <c r="A25" s="37" t="s">
        <v>200</v>
      </c>
      <c r="B25" s="37" t="s">
        <v>201</v>
      </c>
      <c r="C25" s="37" t="s">
        <v>202</v>
      </c>
      <c r="D25" s="42" t="n">
        <f aca="false">Volume!D39</f>
        <v>10</v>
      </c>
      <c r="E25" s="43" t="s">
        <v>122</v>
      </c>
    </row>
    <row r="26" customFormat="false" ht="15" hidden="false" customHeight="false" outlineLevel="0" collapsed="false">
      <c r="A26" s="37" t="s">
        <v>200</v>
      </c>
      <c r="B26" s="37" t="s">
        <v>203</v>
      </c>
      <c r="C26" s="37" t="s">
        <v>202</v>
      </c>
      <c r="D26" s="42" t="n">
        <f aca="false">Volume!D40+Volume!D41</f>
        <v>4.64</v>
      </c>
      <c r="E26" s="43" t="s">
        <v>122</v>
      </c>
    </row>
    <row r="27" customFormat="false" ht="15" hidden="false" customHeight="false" outlineLevel="0" collapsed="false">
      <c r="A27" s="37" t="s">
        <v>200</v>
      </c>
      <c r="B27" s="37" t="s">
        <v>204</v>
      </c>
      <c r="C27" s="37" t="s">
        <v>205</v>
      </c>
      <c r="D27" s="42" t="n">
        <f aca="false">Volume!S26</f>
        <v>3</v>
      </c>
      <c r="E27" s="43" t="s">
        <v>126</v>
      </c>
    </row>
    <row r="28" customFormat="false" ht="15" hidden="false" customHeight="false" outlineLevel="0" collapsed="false">
      <c r="A28" s="37" t="s">
        <v>200</v>
      </c>
      <c r="B28" s="37" t="s">
        <v>206</v>
      </c>
      <c r="C28" s="37" t="s">
        <v>26</v>
      </c>
      <c r="D28" s="42" t="n">
        <f aca="false">Volume!D44+Volume!D45</f>
        <v>2.25</v>
      </c>
      <c r="E28" s="43" t="s">
        <v>122</v>
      </c>
    </row>
    <row r="29" customFormat="false" ht="15" hidden="false" customHeight="false" outlineLevel="0" collapsed="false">
      <c r="A29" s="37" t="s">
        <v>200</v>
      </c>
      <c r="B29" s="37" t="s">
        <v>207</v>
      </c>
      <c r="C29" s="37" t="s">
        <v>208</v>
      </c>
      <c r="D29" s="42" t="n">
        <f aca="false">Volume!D49</f>
        <v>66.18</v>
      </c>
      <c r="E29" s="43" t="s">
        <v>126</v>
      </c>
    </row>
    <row r="30" customFormat="false" ht="15" hidden="false" customHeight="false" outlineLevel="0" collapsed="false">
      <c r="A30" s="37" t="s">
        <v>209</v>
      </c>
      <c r="B30" s="37" t="s">
        <v>210</v>
      </c>
      <c r="C30" s="37" t="s">
        <v>26</v>
      </c>
      <c r="D30" s="42" t="n">
        <f aca="false">Volume!D23+Volume!D24*Inputs!$C$83</f>
        <v>19.45</v>
      </c>
      <c r="E30" s="43" t="s">
        <v>122</v>
      </c>
    </row>
    <row r="31" customFormat="false" ht="15" hidden="false" customHeight="false" outlineLevel="0" collapsed="false">
      <c r="A31" s="37" t="s">
        <v>211</v>
      </c>
      <c r="B31" s="37" t="s">
        <v>212</v>
      </c>
      <c r="C31" s="37" t="s">
        <v>26</v>
      </c>
      <c r="D31" s="42" t="n">
        <f aca="false">Volume!D46+Volume!D24*(1-Inputs!$C$83)</f>
        <v>4.59</v>
      </c>
      <c r="E31" s="43" t="s">
        <v>130</v>
      </c>
    </row>
    <row r="32" customFormat="false" ht="15" hidden="false" customHeight="false" outlineLevel="0" collapsed="false">
      <c r="A32" s="37" t="s">
        <v>213</v>
      </c>
      <c r="B32" s="37" t="s">
        <v>214</v>
      </c>
      <c r="C32" s="37" t="s">
        <v>26</v>
      </c>
      <c r="D32" s="42" t="n">
        <f aca="false">Volume!D25</f>
        <v>7</v>
      </c>
      <c r="E32" s="43" t="s">
        <v>130</v>
      </c>
    </row>
    <row r="33" customFormat="false" ht="15" hidden="false" customHeight="false" outlineLevel="0" collapsed="false">
      <c r="A33" s="37" t="s">
        <v>183</v>
      </c>
      <c r="B33" s="37" t="s">
        <v>215</v>
      </c>
      <c r="C33" s="37" t="s">
        <v>216</v>
      </c>
      <c r="D33" s="42" t="n">
        <f aca="false">Volume!D47</f>
        <v>6</v>
      </c>
      <c r="E33" s="43" t="s">
        <v>217</v>
      </c>
    </row>
    <row r="34" customFormat="false" ht="15" hidden="false" customHeight="false" outlineLevel="0" collapsed="false">
      <c r="A34" s="37" t="s">
        <v>183</v>
      </c>
      <c r="B34" s="37" t="s">
        <v>218</v>
      </c>
      <c r="C34" s="37" t="s">
        <v>219</v>
      </c>
      <c r="D34" s="42" t="n">
        <f aca="false">Volume!D48</f>
        <v>480</v>
      </c>
      <c r="E34" s="43" t="s">
        <v>217</v>
      </c>
    </row>
    <row r="35" customFormat="false" ht="15" hidden="false" customHeight="false" outlineLevel="0" collapsed="false">
      <c r="A35" s="37" t="s">
        <v>220</v>
      </c>
      <c r="B35" s="37" t="s">
        <v>221</v>
      </c>
      <c r="C35" s="37" t="s">
        <v>208</v>
      </c>
      <c r="D35" s="42" t="n">
        <f aca="false">B2C!D26</f>
        <v>232.153514228741</v>
      </c>
      <c r="E35" s="43" t="s">
        <v>132</v>
      </c>
    </row>
    <row r="36" customFormat="false" ht="15" hidden="false" customHeight="false" outlineLevel="0" collapsed="false">
      <c r="A36" s="37" t="s">
        <v>222</v>
      </c>
      <c r="B36" s="37" t="s">
        <v>223</v>
      </c>
      <c r="C36" s="37" t="s">
        <v>21</v>
      </c>
      <c r="D36" s="44" t="n">
        <f aca="false">D21</f>
        <v>0.5569054923762</v>
      </c>
      <c r="E36" s="43" t="s">
        <v>122</v>
      </c>
    </row>
    <row r="37" customFormat="false" ht="15" hidden="false" customHeight="false" outlineLevel="0" collapsed="false">
      <c r="A37" s="37" t="s">
        <v>222</v>
      </c>
      <c r="B37" s="37" t="s">
        <v>20</v>
      </c>
      <c r="C37" s="37" t="s">
        <v>21</v>
      </c>
      <c r="D37" s="44" t="n">
        <f aca="false">PnL!D36</f>
        <v>0.228823313581926</v>
      </c>
      <c r="E37" s="43" t="s">
        <v>224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8" topLeftCell="E19" activePane="bottomRight" state="frozen"/>
      <selection pane="topLeft" activeCell="A1" activeCellId="0" sqref="A1"/>
      <selection pane="topRight" activeCell="E1" activeCellId="0" sqref="E1"/>
      <selection pane="bottomLeft" activeCell="A19" activeCellId="0" sqref="A19"/>
      <selection pane="bottomRight" activeCell="A1" activeCellId="0" sqref="A1"/>
    </sheetView>
  </sheetViews>
  <sheetFormatPr defaultColWidth="8.83203125" defaultRowHeight="15" zeroHeight="false" outlineLevelRow="0" outlineLevelCol="0"/>
  <cols>
    <col collapsed="false" customWidth="true" hidden="false" outlineLevel="0" max="1" min="1" style="0" width="62"/>
    <col collapsed="false" customWidth="true" hidden="false" outlineLevel="0" max="19" min="2" style="0" width="9"/>
  </cols>
  <sheetData>
    <row r="1" customFormat="false" ht="16.5" hidden="false" customHeight="true" outlineLevel="0" collapsed="false">
      <c r="A1" s="23" t="s">
        <v>225</v>
      </c>
    </row>
    <row r="2" customFormat="false" ht="15" hidden="false" customHeight="false" outlineLevel="0" collapsed="false">
      <c r="A2" s="17" t="s">
        <v>226</v>
      </c>
    </row>
    <row r="4" customFormat="false" ht="15" hidden="false" customHeight="false" outlineLevel="0" collapsed="false">
      <c r="A4" s="6" t="s">
        <v>227</v>
      </c>
    </row>
    <row r="5" customFormat="false" ht="15" hidden="false" customHeight="false" outlineLevel="0" collapsed="false">
      <c r="C5" s="18" t="s">
        <v>177</v>
      </c>
      <c r="D5" s="18" t="s">
        <v>228</v>
      </c>
      <c r="E5" s="18" t="s">
        <v>229</v>
      </c>
      <c r="F5" s="18" t="s">
        <v>230</v>
      </c>
      <c r="G5" s="18" t="s">
        <v>231</v>
      </c>
    </row>
    <row r="6" customFormat="false" ht="15" hidden="false" customHeight="false" outlineLevel="0" collapsed="false">
      <c r="A6" s="21" t="s">
        <v>232</v>
      </c>
      <c r="C6" s="45" t="n">
        <v>0.15</v>
      </c>
      <c r="D6" s="45" t="n">
        <v>0.25</v>
      </c>
      <c r="E6" s="45" t="n">
        <v>0.28</v>
      </c>
      <c r="F6" s="45" t="n">
        <v>0.28</v>
      </c>
      <c r="G6" s="45" t="n">
        <v>0.24</v>
      </c>
    </row>
    <row r="7" customFormat="false" ht="15" hidden="false" customHeight="false" outlineLevel="0" collapsed="false">
      <c r="A7" s="21" t="s">
        <v>233</v>
      </c>
      <c r="C7" s="46" t="n">
        <v>0.58</v>
      </c>
      <c r="D7" s="46" t="n">
        <v>0.7</v>
      </c>
      <c r="E7" s="46" t="n">
        <v>0.85</v>
      </c>
      <c r="F7" s="46" t="n">
        <v>1</v>
      </c>
      <c r="G7" s="46" t="n">
        <v>1</v>
      </c>
    </row>
    <row r="8" customFormat="false" ht="15" hidden="false" customHeight="false" outlineLevel="0" collapsed="false">
      <c r="A8" s="21" t="s">
        <v>234</v>
      </c>
      <c r="C8" s="46" t="n">
        <v>1</v>
      </c>
      <c r="D8" s="46" t="n">
        <v>1.1</v>
      </c>
      <c r="E8" s="46" t="n">
        <v>1.25</v>
      </c>
      <c r="F8" s="46" t="n">
        <v>1.4</v>
      </c>
      <c r="G8" s="46" t="n">
        <v>1.4</v>
      </c>
    </row>
    <row r="9" customFormat="false" ht="15" hidden="false" customHeight="false" outlineLevel="0" collapsed="false">
      <c r="A9" s="21" t="s">
        <v>235</v>
      </c>
      <c r="C9" s="45" t="n">
        <v>0</v>
      </c>
      <c r="D9" s="45" t="n">
        <v>0.05</v>
      </c>
      <c r="E9" s="45" t="n">
        <v>0.1</v>
      </c>
      <c r="F9" s="45" t="n">
        <v>0.15</v>
      </c>
      <c r="G9" s="45" t="n">
        <v>0.2</v>
      </c>
    </row>
    <row r="10" customFormat="false" ht="15" hidden="false" customHeight="false" outlineLevel="0" collapsed="false">
      <c r="A10" s="21" t="s">
        <v>236</v>
      </c>
      <c r="C10" s="47" t="n">
        <v>3439</v>
      </c>
    </row>
    <row r="11" customFormat="false" ht="15" hidden="false" customHeight="false" outlineLevel="0" collapsed="false">
      <c r="A11" s="21" t="s">
        <v>237</v>
      </c>
      <c r="C11" s="48" t="n">
        <v>2</v>
      </c>
    </row>
    <row r="12" customFormat="false" ht="15" hidden="false" customHeight="false" outlineLevel="0" collapsed="false">
      <c r="A12" s="21" t="s">
        <v>238</v>
      </c>
      <c r="C12" s="49" t="s">
        <v>68</v>
      </c>
    </row>
    <row r="13" customFormat="false" ht="15" hidden="false" customHeight="false" outlineLevel="0" collapsed="false">
      <c r="A13" s="21" t="s">
        <v>239</v>
      </c>
      <c r="C13" s="48" t="n">
        <v>36</v>
      </c>
    </row>
    <row r="14" customFormat="false" ht="15" hidden="false" customHeight="false" outlineLevel="0" collapsed="false">
      <c r="A14" s="21" t="s">
        <v>240</v>
      </c>
      <c r="C14" s="48" t="n">
        <v>2</v>
      </c>
    </row>
    <row r="15" customFormat="false" ht="15" hidden="false" customHeight="false" outlineLevel="0" collapsed="false">
      <c r="A15" s="21" t="s">
        <v>241</v>
      </c>
      <c r="C15" s="48" t="n">
        <v>160</v>
      </c>
    </row>
    <row r="16" customFormat="false" ht="15" hidden="false" customHeight="false" outlineLevel="0" collapsed="false">
      <c r="A16" s="21" t="s">
        <v>242</v>
      </c>
      <c r="C16" s="50" t="n">
        <v>9</v>
      </c>
    </row>
    <row r="17" customFormat="false" ht="15" hidden="false" customHeight="false" outlineLevel="0" collapsed="false">
      <c r="A17" s="21" t="s">
        <v>243</v>
      </c>
      <c r="C17" s="46" t="n">
        <v>0.2</v>
      </c>
      <c r="E17" s="21" t="s">
        <v>244</v>
      </c>
      <c r="K17" s="27" t="n">
        <v>1</v>
      </c>
    </row>
    <row r="18" customFormat="false" ht="15" hidden="false" customHeight="false" outlineLevel="0" collapsed="false">
      <c r="A18" s="35" t="s">
        <v>176</v>
      </c>
      <c r="B18" s="35" t="s">
        <v>6</v>
      </c>
      <c r="C18" s="35" t="s">
        <v>177</v>
      </c>
      <c r="D18" s="35" t="s">
        <v>178</v>
      </c>
      <c r="E18" s="35" t="str">
        <f aca="false">Volume!E4</f>
        <v>Oct-26</v>
      </c>
      <c r="F18" s="35" t="str">
        <f aca="false">Volume!F4</f>
        <v>Nov-26</v>
      </c>
      <c r="G18" s="35" t="str">
        <f aca="false">Volume!G4</f>
        <v>Dec-26</v>
      </c>
      <c r="H18" s="35" t="str">
        <f aca="false">Volume!H4</f>
        <v>Jan-27</v>
      </c>
      <c r="I18" s="35" t="str">
        <f aca="false">Volume!I4</f>
        <v>Feb-27</v>
      </c>
      <c r="J18" s="35" t="str">
        <f aca="false">Volume!J4</f>
        <v>Mar-27</v>
      </c>
      <c r="K18" s="35" t="str">
        <f aca="false">Volume!K4</f>
        <v>Apr-27</v>
      </c>
      <c r="L18" s="35" t="str">
        <f aca="false">Volume!L4</f>
        <v>May-27</v>
      </c>
      <c r="M18" s="35" t="str">
        <f aca="false">Volume!M4</f>
        <v>Jun-27</v>
      </c>
      <c r="N18" s="35" t="str">
        <f aca="false">Volume!N4</f>
        <v>Jul-27</v>
      </c>
      <c r="O18" s="35" t="str">
        <f aca="false">Volume!O4</f>
        <v>Aug-27</v>
      </c>
      <c r="P18" s="35" t="str">
        <f aca="false">Volume!P4</f>
        <v>Sep-27</v>
      </c>
      <c r="Q18" s="35" t="str">
        <f aca="false">Volume!Q4</f>
        <v>Oct-27</v>
      </c>
      <c r="R18" s="35" t="str">
        <f aca="false">Volume!R4</f>
        <v>Nov-27</v>
      </c>
      <c r="S18" s="35" t="str">
        <f aca="false">Volume!S4</f>
        <v>Dec-27</v>
      </c>
    </row>
    <row r="19" customFormat="false" ht="15" hidden="false" customHeight="false" outlineLevel="0" collapsed="false">
      <c r="A19" s="51" t="s">
        <v>245</v>
      </c>
      <c r="B19" s="3" t="s">
        <v>246</v>
      </c>
      <c r="C19" s="52"/>
      <c r="D19" s="52"/>
      <c r="E19" s="53" t="n">
        <f aca="false">INT((Volume!E6-1)/3)+1</f>
        <v>1</v>
      </c>
      <c r="F19" s="53" t="n">
        <f aca="false">INT((Volume!F6-1)/3)+1</f>
        <v>1</v>
      </c>
      <c r="G19" s="53" t="n">
        <f aca="false">INT((Volume!G6-1)/3)+1</f>
        <v>1</v>
      </c>
      <c r="H19" s="53" t="n">
        <f aca="false">INT((Volume!H6-1)/3)+1</f>
        <v>2</v>
      </c>
      <c r="I19" s="53" t="n">
        <f aca="false">INT((Volume!I6-1)/3)+1</f>
        <v>2</v>
      </c>
      <c r="J19" s="53" t="n">
        <f aca="false">INT((Volume!J6-1)/3)+1</f>
        <v>2</v>
      </c>
      <c r="K19" s="53" t="n">
        <f aca="false">INT((Volume!K6-1)/3)+1</f>
        <v>3</v>
      </c>
      <c r="L19" s="53" t="n">
        <f aca="false">INT((Volume!L6-1)/3)+1</f>
        <v>3</v>
      </c>
      <c r="M19" s="53" t="n">
        <f aca="false">INT((Volume!M6-1)/3)+1</f>
        <v>3</v>
      </c>
      <c r="N19" s="53" t="n">
        <f aca="false">INT((Volume!N6-1)/3)+1</f>
        <v>4</v>
      </c>
      <c r="O19" s="53" t="n">
        <f aca="false">INT((Volume!O6-1)/3)+1</f>
        <v>4</v>
      </c>
      <c r="P19" s="53" t="n">
        <f aca="false">INT((Volume!P6-1)/3)+1</f>
        <v>4</v>
      </c>
      <c r="Q19" s="53" t="n">
        <f aca="false">INT((Volume!Q6-1)/3)+1</f>
        <v>5</v>
      </c>
      <c r="R19" s="53" t="n">
        <f aca="false">INT((Volume!R6-1)/3)+1</f>
        <v>5</v>
      </c>
      <c r="S19" s="53" t="n">
        <f aca="false">INT((Volume!S6-1)/3)+1</f>
        <v>5</v>
      </c>
    </row>
    <row r="20" customFormat="false" ht="15" hidden="false" customHeight="false" outlineLevel="0" collapsed="false">
      <c r="A20" s="51" t="s">
        <v>247</v>
      </c>
      <c r="B20" s="3" t="s">
        <v>43</v>
      </c>
      <c r="C20" s="54" t="n">
        <f aca="false">MAX(E20:G20)</f>
        <v>3954.85</v>
      </c>
      <c r="D20" s="54" t="n">
        <f aca="false">MAX(H20:S20)</f>
        <v>10043.420672</v>
      </c>
      <c r="E20" s="55" t="n">
        <f aca="false">$C$10*(1+INDEX($C$6:$G$6,E19))^(1/3)</f>
        <v>3603.00437335729</v>
      </c>
      <c r="F20" s="55" t="n">
        <f aca="false">E20*(1+INDEX($C$6:$G$6,F19))^(1/3)</f>
        <v>3774.8300419982</v>
      </c>
      <c r="G20" s="55" t="n">
        <f aca="false">F20*(1+INDEX($C$6:$G$6,G19))^(1/3)</f>
        <v>3954.85</v>
      </c>
      <c r="H20" s="55" t="n">
        <f aca="false">G20*(1+INDEX($C$6:$G$6,H19))^(1/3)</f>
        <v>4260.2330169363</v>
      </c>
      <c r="I20" s="55" t="n">
        <f aca="false">H20*(1+INDEX($C$6:$G$6,I19))^(1/3)</f>
        <v>4589.19689965338</v>
      </c>
      <c r="J20" s="55" t="n">
        <f aca="false">I20*(1+INDEX($C$6:$G$6,J19))^(1/3)</f>
        <v>4943.5625</v>
      </c>
      <c r="K20" s="55" t="n">
        <f aca="false">J20*(1+INDEX($C$6:$G$6,K19))^(1/3)</f>
        <v>5367.55725549518</v>
      </c>
      <c r="L20" s="55" t="n">
        <f aca="false">K20*(1+INDEX($C$6:$G$6,L19))^(1/3)</f>
        <v>5827.91678895917</v>
      </c>
      <c r="M20" s="55" t="n">
        <f aca="false">L20*(1+INDEX($C$6:$G$6,M19))^(1/3)</f>
        <v>6327.76</v>
      </c>
      <c r="N20" s="55" t="n">
        <f aca="false">M20*(1+INDEX($C$6:$G$6,N19))^(1/3)</f>
        <v>6870.47328703383</v>
      </c>
      <c r="O20" s="55" t="n">
        <f aca="false">N20*(1+INDEX($C$6:$G$6,O19))^(1/3)</f>
        <v>7459.73348986774</v>
      </c>
      <c r="P20" s="55" t="n">
        <f aca="false">O20*(1+INDEX($C$6:$G$6,P19))^(1/3)</f>
        <v>8099.5328</v>
      </c>
      <c r="Q20" s="55" t="n">
        <f aca="false">P20*(1+INDEX($C$6:$G$6,Q19))^(1/3)</f>
        <v>8701.62834473106</v>
      </c>
      <c r="R20" s="55" t="n">
        <f aca="false">Q20*(1+INDEX($C$6:$G$6,R19))^(1/3)</f>
        <v>9348.48190871293</v>
      </c>
      <c r="S20" s="55" t="n">
        <f aca="false">R20*(1+INDEX($C$6:$G$6,S19))^(1/3)</f>
        <v>10043.420672</v>
      </c>
    </row>
    <row r="21" customFormat="false" ht="15" hidden="false" customHeight="false" outlineLevel="0" collapsed="false">
      <c r="A21" s="51" t="s">
        <v>248</v>
      </c>
      <c r="B21" s="3" t="s">
        <v>249</v>
      </c>
      <c r="C21" s="56" t="n">
        <f aca="false">MAX(E21:G21)</f>
        <v>0.58</v>
      </c>
      <c r="D21" s="56" t="n">
        <f aca="false">MAX(H21:S21)</f>
        <v>1</v>
      </c>
      <c r="E21" s="57" t="n">
        <f aca="false">INDEX($C$7:$G$7,E19)</f>
        <v>0.58</v>
      </c>
      <c r="F21" s="57" t="n">
        <f aca="false">INDEX($C$7:$G$7,F19)</f>
        <v>0.58</v>
      </c>
      <c r="G21" s="57" t="n">
        <f aca="false">INDEX($C$7:$G$7,G19)</f>
        <v>0.58</v>
      </c>
      <c r="H21" s="57" t="n">
        <f aca="false">INDEX($C$7:$G$7,H19)</f>
        <v>0.7</v>
      </c>
      <c r="I21" s="57" t="n">
        <f aca="false">INDEX($C$7:$G$7,I19)</f>
        <v>0.7</v>
      </c>
      <c r="J21" s="57" t="n">
        <f aca="false">INDEX($C$7:$G$7,J19)</f>
        <v>0.7</v>
      </c>
      <c r="K21" s="57" t="n">
        <f aca="false">INDEX($C$7:$G$7,K19)</f>
        <v>0.85</v>
      </c>
      <c r="L21" s="57" t="n">
        <f aca="false">INDEX($C$7:$G$7,L19)</f>
        <v>0.85</v>
      </c>
      <c r="M21" s="57" t="n">
        <f aca="false">INDEX($C$7:$G$7,M19)</f>
        <v>0.85</v>
      </c>
      <c r="N21" s="57" t="n">
        <f aca="false">INDEX($C$7:$G$7,N19)</f>
        <v>1</v>
      </c>
      <c r="O21" s="57" t="n">
        <f aca="false">INDEX($C$7:$G$7,O19)</f>
        <v>1</v>
      </c>
      <c r="P21" s="57" t="n">
        <f aca="false">INDEX($C$7:$G$7,P19)</f>
        <v>1</v>
      </c>
      <c r="Q21" s="57" t="n">
        <f aca="false">INDEX($C$7:$G$7,Q19)</f>
        <v>1</v>
      </c>
      <c r="R21" s="57" t="n">
        <f aca="false">INDEX($C$7:$G$7,R19)</f>
        <v>1</v>
      </c>
      <c r="S21" s="57" t="n">
        <f aca="false">INDEX($C$7:$G$7,S19)</f>
        <v>1</v>
      </c>
    </row>
    <row r="22" customFormat="false" ht="15" hidden="false" customHeight="false" outlineLevel="0" collapsed="false">
      <c r="A22" s="51" t="s">
        <v>234</v>
      </c>
      <c r="B22" s="3" t="s">
        <v>250</v>
      </c>
      <c r="C22" s="56" t="n">
        <f aca="false">MAX(E22:G22)</f>
        <v>1</v>
      </c>
      <c r="D22" s="56" t="n">
        <f aca="false">MAX(H22:S22)</f>
        <v>1.4</v>
      </c>
      <c r="E22" s="57" t="n">
        <f aca="false">INDEX($C$8:$G$8,E19)</f>
        <v>1</v>
      </c>
      <c r="F22" s="57" t="n">
        <f aca="false">INDEX($C$8:$G$8,F19)</f>
        <v>1</v>
      </c>
      <c r="G22" s="57" t="n">
        <f aca="false">INDEX($C$8:$G$8,G19)</f>
        <v>1</v>
      </c>
      <c r="H22" s="57" t="n">
        <f aca="false">INDEX($C$8:$G$8,H19)</f>
        <v>1.1</v>
      </c>
      <c r="I22" s="57" t="n">
        <f aca="false">INDEX($C$8:$G$8,I19)</f>
        <v>1.1</v>
      </c>
      <c r="J22" s="57" t="n">
        <f aca="false">INDEX($C$8:$G$8,J19)</f>
        <v>1.1</v>
      </c>
      <c r="K22" s="57" t="n">
        <f aca="false">INDEX($C$8:$G$8,K19)</f>
        <v>1.25</v>
      </c>
      <c r="L22" s="57" t="n">
        <f aca="false">INDEX($C$8:$G$8,L19)</f>
        <v>1.25</v>
      </c>
      <c r="M22" s="57" t="n">
        <f aca="false">INDEX($C$8:$G$8,M19)</f>
        <v>1.25</v>
      </c>
      <c r="N22" s="57" t="n">
        <f aca="false">INDEX($C$8:$G$8,N19)</f>
        <v>1.4</v>
      </c>
      <c r="O22" s="57" t="n">
        <f aca="false">INDEX($C$8:$G$8,O19)</f>
        <v>1.4</v>
      </c>
      <c r="P22" s="57" t="n">
        <f aca="false">INDEX($C$8:$G$8,P19)</f>
        <v>1.4</v>
      </c>
      <c r="Q22" s="57" t="n">
        <f aca="false">INDEX($C$8:$G$8,Q19)</f>
        <v>1.4</v>
      </c>
      <c r="R22" s="57" t="n">
        <f aca="false">INDEX($C$8:$G$8,R19)</f>
        <v>1.4</v>
      </c>
      <c r="S22" s="57" t="n">
        <f aca="false">INDEX($C$8:$G$8,S19)</f>
        <v>1.4</v>
      </c>
    </row>
    <row r="23" customFormat="false" ht="15" hidden="false" customHeight="false" outlineLevel="0" collapsed="false">
      <c r="A23" s="51" t="s">
        <v>251</v>
      </c>
      <c r="B23" s="3" t="s">
        <v>252</v>
      </c>
      <c r="C23" s="58" t="n">
        <f aca="false">SUM(E23:G23)</f>
        <v>6.57295696090618</v>
      </c>
      <c r="D23" s="58" t="n">
        <f aca="false">SUM(H23:S23)</f>
        <v>75.0731141317445</v>
      </c>
      <c r="E23" s="59" t="n">
        <f aca="false">E20/1000*E21</f>
        <v>2.08974253654723</v>
      </c>
      <c r="F23" s="59" t="n">
        <f aca="false">F20/1000*F21</f>
        <v>2.18940142435895</v>
      </c>
      <c r="G23" s="59" t="n">
        <f aca="false">G20/1000*G21</f>
        <v>2.293813</v>
      </c>
      <c r="H23" s="59" t="n">
        <f aca="false">H20/1000*H21</f>
        <v>2.98216311185541</v>
      </c>
      <c r="I23" s="59" t="n">
        <f aca="false">I20/1000*I21</f>
        <v>3.21243782975736</v>
      </c>
      <c r="J23" s="59" t="n">
        <f aca="false">J20/1000*J21</f>
        <v>3.46049375</v>
      </c>
      <c r="K23" s="59" t="n">
        <f aca="false">K20/1000*K21</f>
        <v>4.56242366717091</v>
      </c>
      <c r="L23" s="59" t="n">
        <f aca="false">L20/1000*L21</f>
        <v>4.9537292706153</v>
      </c>
      <c r="M23" s="59" t="n">
        <f aca="false">M20/1000*M21</f>
        <v>5.378596</v>
      </c>
      <c r="N23" s="59" t="n">
        <f aca="false">N20/1000*N21</f>
        <v>6.87047328703383</v>
      </c>
      <c r="O23" s="59" t="n">
        <f aca="false">O20/1000*O21</f>
        <v>7.45973348986774</v>
      </c>
      <c r="P23" s="59" t="n">
        <f aca="false">P20/1000*P21</f>
        <v>8.0995328</v>
      </c>
      <c r="Q23" s="59" t="n">
        <f aca="false">Q20/1000*Q21</f>
        <v>8.70162834473106</v>
      </c>
      <c r="R23" s="59" t="n">
        <f aca="false">R20/1000*R21</f>
        <v>9.34848190871293</v>
      </c>
      <c r="S23" s="59" t="n">
        <f aca="false">S20/1000*S21</f>
        <v>10.043420672</v>
      </c>
    </row>
    <row r="24" customFormat="false" ht="15" hidden="false" customHeight="false" outlineLevel="0" collapsed="false">
      <c r="A24" s="51" t="s">
        <v>253</v>
      </c>
      <c r="B24" s="3" t="s">
        <v>208</v>
      </c>
      <c r="C24" s="58" t="n">
        <f aca="false">SUM(E24:G24)</f>
        <v>6.57295696090618</v>
      </c>
      <c r="D24" s="58" t="n">
        <f aca="false">SUM(H24:S24)</f>
        <v>99.9716190362906</v>
      </c>
      <c r="E24" s="59" t="n">
        <f aca="false">E23*E22</f>
        <v>2.08974253654723</v>
      </c>
      <c r="F24" s="59" t="n">
        <f aca="false">F23*F22</f>
        <v>2.18940142435895</v>
      </c>
      <c r="G24" s="59" t="n">
        <f aca="false">G23*G22</f>
        <v>2.293813</v>
      </c>
      <c r="H24" s="59" t="n">
        <f aca="false">H23*H22</f>
        <v>3.28037942304095</v>
      </c>
      <c r="I24" s="59" t="n">
        <f aca="false">I23*I22</f>
        <v>3.5336816127331</v>
      </c>
      <c r="J24" s="59" t="n">
        <f aca="false">J23*J22</f>
        <v>3.806543125</v>
      </c>
      <c r="K24" s="59" t="n">
        <f aca="false">K23*K22</f>
        <v>5.70302958396363</v>
      </c>
      <c r="L24" s="59" t="n">
        <f aca="false">L23*L22</f>
        <v>6.19216158826912</v>
      </c>
      <c r="M24" s="59" t="n">
        <f aca="false">M23*M22</f>
        <v>6.723245</v>
      </c>
      <c r="N24" s="59" t="n">
        <f aca="false">N23*N22</f>
        <v>9.61866260184737</v>
      </c>
      <c r="O24" s="59" t="n">
        <f aca="false">O23*O22</f>
        <v>10.4436268858148</v>
      </c>
      <c r="P24" s="59" t="n">
        <f aca="false">P23*P22</f>
        <v>11.33934592</v>
      </c>
      <c r="Q24" s="59" t="n">
        <f aca="false">Q23*Q22</f>
        <v>12.1822796826235</v>
      </c>
      <c r="R24" s="59" t="n">
        <f aca="false">R23*R22</f>
        <v>13.0878746721981</v>
      </c>
      <c r="S24" s="59" t="n">
        <f aca="false">S23*S22</f>
        <v>14.0607889408</v>
      </c>
    </row>
    <row r="25" customFormat="false" ht="15" hidden="false" customHeight="false" outlineLevel="0" collapsed="false">
      <c r="A25" s="51" t="s">
        <v>254</v>
      </c>
      <c r="B25" s="3" t="s">
        <v>208</v>
      </c>
      <c r="C25" s="58" t="n">
        <f aca="false">SUM(E25:G25)</f>
        <v>0</v>
      </c>
      <c r="D25" s="58" t="n">
        <f aca="false">SUM(H25:S25)</f>
        <v>48</v>
      </c>
      <c r="E25" s="59" t="n">
        <f aca="false">IF(Volume!E6&gt;=IFERROR(MATCH($C$12,Volume!$E$4:$S$4,0),99),$C$11*Volume!E26,0)</f>
        <v>0</v>
      </c>
      <c r="F25" s="59" t="n">
        <f aca="false">IF(Volume!F6&gt;=IFERROR(MATCH($C$12,Volume!$E$4:$S$4,0),99),$C$11*Volume!F26,0)</f>
        <v>0</v>
      </c>
      <c r="G25" s="59" t="n">
        <f aca="false">IF(Volume!G6&gt;=IFERROR(MATCH($C$12,Volume!$E$4:$S$4,0),99),$C$11*Volume!G26,0)</f>
        <v>0</v>
      </c>
      <c r="H25" s="59" t="n">
        <f aca="false">IF(Volume!H6&gt;=IFERROR(MATCH($C$12,Volume!$E$4:$S$4,0),99),$C$11*Volume!H26,0)</f>
        <v>0</v>
      </c>
      <c r="I25" s="59" t="n">
        <f aca="false">IF(Volume!I6&gt;=IFERROR(MATCH($C$12,Volume!$E$4:$S$4,0),99),$C$11*Volume!I26,0)</f>
        <v>0</v>
      </c>
      <c r="J25" s="59" t="n">
        <f aca="false">IF(Volume!J6&gt;=IFERROR(MATCH($C$12,Volume!$E$4:$S$4,0),99),$C$11*Volume!J26,0)</f>
        <v>0</v>
      </c>
      <c r="K25" s="59" t="n">
        <f aca="false">IF(Volume!K6&gt;=IFERROR(MATCH($C$12,Volume!$E$4:$S$4,0),99),$C$11*Volume!K26,0)</f>
        <v>4</v>
      </c>
      <c r="L25" s="59" t="n">
        <f aca="false">IF(Volume!L6&gt;=IFERROR(MATCH($C$12,Volume!$E$4:$S$4,0),99),$C$11*Volume!L26,0)</f>
        <v>4</v>
      </c>
      <c r="M25" s="59" t="n">
        <f aca="false">IF(Volume!M6&gt;=IFERROR(MATCH($C$12,Volume!$E$4:$S$4,0),99),$C$11*Volume!M26,0)</f>
        <v>4</v>
      </c>
      <c r="N25" s="59" t="n">
        <f aca="false">IF(Volume!N6&gt;=IFERROR(MATCH($C$12,Volume!$E$4:$S$4,0),99),$C$11*Volume!N26,0)</f>
        <v>6</v>
      </c>
      <c r="O25" s="59" t="n">
        <f aca="false">IF(Volume!O6&gt;=IFERROR(MATCH($C$12,Volume!$E$4:$S$4,0),99),$C$11*Volume!O26,0)</f>
        <v>6</v>
      </c>
      <c r="P25" s="59" t="n">
        <f aca="false">IF(Volume!P6&gt;=IFERROR(MATCH($C$12,Volume!$E$4:$S$4,0),99),$C$11*Volume!P26,0)</f>
        <v>6</v>
      </c>
      <c r="Q25" s="59" t="n">
        <f aca="false">IF(Volume!Q6&gt;=IFERROR(MATCH($C$12,Volume!$E$4:$S$4,0),99),$C$11*Volume!Q26,0)</f>
        <v>6</v>
      </c>
      <c r="R25" s="59" t="n">
        <f aca="false">IF(Volume!R6&gt;=IFERROR(MATCH($C$12,Volume!$E$4:$S$4,0),99),$C$11*Volume!R26,0)</f>
        <v>6</v>
      </c>
      <c r="S25" s="59" t="n">
        <f aca="false">IF(Volume!S6&gt;=IFERROR(MATCH($C$12,Volume!$E$4:$S$4,0),99),$C$11*Volume!S26,0)</f>
        <v>6</v>
      </c>
    </row>
    <row r="26" customFormat="false" ht="15" hidden="false" customHeight="false" outlineLevel="0" collapsed="false">
      <c r="A26" s="51" t="s">
        <v>255</v>
      </c>
      <c r="B26" s="3" t="s">
        <v>208</v>
      </c>
      <c r="C26" s="58" t="n">
        <f aca="false">SUM(E26:G26)</f>
        <v>8.57295696090618</v>
      </c>
      <c r="D26" s="58" t="n">
        <f aca="false">SUM(H26:S26)</f>
        <v>232.153514228741</v>
      </c>
      <c r="E26" s="59" t="n">
        <f aca="false">E24+E25+E52+Volume!E49</f>
        <v>2.08974253654723</v>
      </c>
      <c r="F26" s="59" t="n">
        <f aca="false">F24+F25+F52+Volume!F49</f>
        <v>3.18940142435895</v>
      </c>
      <c r="G26" s="59" t="n">
        <f aca="false">G24+G25+G52+Volume!G49</f>
        <v>3.293813</v>
      </c>
      <c r="H26" s="59" t="n">
        <f aca="false">H24+H25+H52+Volume!H49</f>
        <v>4.45303097162205</v>
      </c>
      <c r="I26" s="59" t="n">
        <f aca="false">I24+I25+I52+Volume!I49</f>
        <v>9.29966485550852</v>
      </c>
      <c r="J26" s="59" t="n">
        <f aca="false">J24+J25+J52+Volume!J49</f>
        <v>6.5868875</v>
      </c>
      <c r="K26" s="59" t="n">
        <f aca="false">K24+K25+K52+Volume!K49</f>
        <v>13.9166995377374</v>
      </c>
      <c r="L26" s="59" t="n">
        <f aca="false">L24+L25+L52+Volume!L49</f>
        <v>14.4601795425212</v>
      </c>
      <c r="M26" s="59" t="n">
        <f aca="false">M24+M25+M52+Volume!M49</f>
        <v>14.6302722222222</v>
      </c>
      <c r="N26" s="59" t="n">
        <f aca="false">N24+N25+N52+Volume!N49</f>
        <v>25.0560736492322</v>
      </c>
      <c r="O26" s="59" t="n">
        <f aca="false">O24+O25+O52+Volume!O49</f>
        <v>26.0266198656645</v>
      </c>
      <c r="P26" s="59" t="n">
        <f aca="false">P24+P25+P52+Volume!P49</f>
        <v>27.5004069647059</v>
      </c>
      <c r="Q26" s="59" t="n">
        <f aca="false">Q24+Q25+Q52+Volume!Q49</f>
        <v>30.3878496032794</v>
      </c>
      <c r="R26" s="59" t="n">
        <f aca="false">R24+R25+R52+Volume!R49</f>
        <v>31.5198433402476</v>
      </c>
      <c r="S26" s="59" t="n">
        <f aca="false">S24+S25+S52+Volume!S49</f>
        <v>28.315986176</v>
      </c>
    </row>
    <row r="27" customFormat="false" ht="15" hidden="false" customHeight="false" outlineLevel="0" collapsed="false">
      <c r="A27" s="6" t="s">
        <v>256</v>
      </c>
    </row>
    <row r="28" customFormat="false" ht="15" hidden="false" customHeight="false" outlineLevel="0" collapsed="false">
      <c r="A28" s="51" t="s">
        <v>257</v>
      </c>
      <c r="B28" s="3" t="s">
        <v>10</v>
      </c>
      <c r="C28" s="58" t="n">
        <f aca="false">SUM(E28:G28)</f>
        <v>5.27001096779305</v>
      </c>
      <c r="D28" s="58" t="n">
        <f aca="false">SUM(H28:S28)</f>
        <v>142.710569034263</v>
      </c>
      <c r="E28" s="59" t="n">
        <f aca="false">PnL!E11</f>
        <v>1.284616980779</v>
      </c>
      <c r="F28" s="59" t="n">
        <f aca="false">PnL!F11</f>
        <v>1.96060479058906</v>
      </c>
      <c r="G28" s="59" t="n">
        <f aca="false">PnL!G11</f>
        <v>2.024789196425</v>
      </c>
      <c r="H28" s="59" t="n">
        <f aca="false">PnL!H11</f>
        <v>2.73738946403037</v>
      </c>
      <c r="I28" s="59" t="n">
        <f aca="false">PnL!I11</f>
        <v>5.71673647830248</v>
      </c>
      <c r="J28" s="59" t="n">
        <f aca="false">PnL!J11</f>
        <v>4.0491244184375</v>
      </c>
      <c r="K28" s="59" t="n">
        <f aca="false">PnL!K11</f>
        <v>8.5549431233356</v>
      </c>
      <c r="L28" s="59" t="n">
        <f aca="false">PnL!L11</f>
        <v>8.88903386927637</v>
      </c>
      <c r="M28" s="59" t="n">
        <f aca="false">PnL!M11</f>
        <v>8.99359409180556</v>
      </c>
      <c r="N28" s="59" t="n">
        <f aca="false">PnL!N11</f>
        <v>15.4025948740243</v>
      </c>
      <c r="O28" s="59" t="n">
        <f aca="false">PnL!O11</f>
        <v>15.9992138969206</v>
      </c>
      <c r="P28" s="59" t="n">
        <f aca="false">PnL!P11</f>
        <v>16.9051876713788</v>
      </c>
      <c r="Q28" s="59" t="n">
        <f aca="false">PnL!Q11</f>
        <v>18.6801708473759</v>
      </c>
      <c r="R28" s="59" t="n">
        <f aca="false">PnL!R11</f>
        <v>19.3760356973337</v>
      </c>
      <c r="S28" s="59" t="n">
        <f aca="false">PnL!S11</f>
        <v>17.4065446020416</v>
      </c>
    </row>
    <row r="29" customFormat="false" ht="15" hidden="false" customHeight="false" outlineLevel="0" collapsed="false">
      <c r="A29" s="51" t="s">
        <v>258</v>
      </c>
      <c r="B29" s="3" t="s">
        <v>26</v>
      </c>
      <c r="C29" s="52" t="n">
        <f aca="false">SUM(E29:G29)</f>
        <v>1</v>
      </c>
      <c r="D29" s="52" t="n">
        <f aca="false">SUM(H29:S29)</f>
        <v>4</v>
      </c>
      <c r="E29" s="53" t="n">
        <f aca="false">Volume!E27</f>
        <v>1</v>
      </c>
      <c r="F29" s="53" t="n">
        <f aca="false">Volume!F27</f>
        <v>0</v>
      </c>
      <c r="G29" s="53" t="n">
        <f aca="false">Volume!G27</f>
        <v>0</v>
      </c>
      <c r="H29" s="53" t="n">
        <f aca="false">Volume!H27</f>
        <v>0</v>
      </c>
      <c r="I29" s="53" t="n">
        <f aca="false">Volume!I27</f>
        <v>1</v>
      </c>
      <c r="J29" s="53" t="n">
        <f aca="false">Volume!J27</f>
        <v>0</v>
      </c>
      <c r="K29" s="53" t="n">
        <f aca="false">Volume!K27</f>
        <v>0</v>
      </c>
      <c r="L29" s="53" t="n">
        <f aca="false">Volume!L27</f>
        <v>0</v>
      </c>
      <c r="M29" s="53" t="n">
        <f aca="false">Volume!M27</f>
        <v>0</v>
      </c>
      <c r="N29" s="53" t="n">
        <f aca="false">Volume!N27</f>
        <v>0</v>
      </c>
      <c r="O29" s="53" t="n">
        <f aca="false">Volume!O27</f>
        <v>0</v>
      </c>
      <c r="P29" s="53" t="n">
        <f aca="false">Volume!P27</f>
        <v>0</v>
      </c>
      <c r="Q29" s="53" t="n">
        <f aca="false">Volume!Q27</f>
        <v>1</v>
      </c>
      <c r="R29" s="53" t="n">
        <f aca="false">Volume!R27</f>
        <v>1</v>
      </c>
      <c r="S29" s="53" t="n">
        <f aca="false">Volume!S27</f>
        <v>1</v>
      </c>
    </row>
    <row r="30" customFormat="false" ht="15" hidden="false" customHeight="false" outlineLevel="0" collapsed="false">
      <c r="A30" s="51" t="s">
        <v>259</v>
      </c>
      <c r="B30" s="3" t="s">
        <v>10</v>
      </c>
      <c r="C30" s="58" t="n">
        <f aca="false">SUM(E30:G30)</f>
        <v>4.144</v>
      </c>
      <c r="D30" s="58" t="n">
        <f aca="false">SUM(H30:S30)</f>
        <v>16.576</v>
      </c>
      <c r="E30" s="59" t="n">
        <f aca="false">PnL!E10</f>
        <v>4.144</v>
      </c>
      <c r="F30" s="59" t="n">
        <f aca="false">PnL!F10</f>
        <v>0</v>
      </c>
      <c r="G30" s="59" t="n">
        <f aca="false">PnL!G10</f>
        <v>0</v>
      </c>
      <c r="H30" s="59" t="n">
        <f aca="false">PnL!H10</f>
        <v>0</v>
      </c>
      <c r="I30" s="59" t="n">
        <f aca="false">PnL!I10</f>
        <v>4.144</v>
      </c>
      <c r="J30" s="59" t="n">
        <f aca="false">PnL!J10</f>
        <v>0</v>
      </c>
      <c r="K30" s="59" t="n">
        <f aca="false">PnL!K10</f>
        <v>0</v>
      </c>
      <c r="L30" s="59" t="n">
        <f aca="false">PnL!L10</f>
        <v>0</v>
      </c>
      <c r="M30" s="59" t="n">
        <f aca="false">PnL!M10</f>
        <v>0</v>
      </c>
      <c r="N30" s="59" t="n">
        <f aca="false">PnL!N10</f>
        <v>0</v>
      </c>
      <c r="O30" s="59" t="n">
        <f aca="false">PnL!O10</f>
        <v>0</v>
      </c>
      <c r="P30" s="59" t="n">
        <f aca="false">PnL!P10</f>
        <v>0</v>
      </c>
      <c r="Q30" s="59" t="n">
        <f aca="false">PnL!Q10</f>
        <v>4.144</v>
      </c>
      <c r="R30" s="59" t="n">
        <f aca="false">PnL!R10</f>
        <v>4.144</v>
      </c>
      <c r="S30" s="59" t="n">
        <f aca="false">PnL!S10</f>
        <v>4.144</v>
      </c>
    </row>
    <row r="31" customFormat="false" ht="15" hidden="false" customHeight="false" outlineLevel="0" collapsed="false">
      <c r="A31" s="51" t="s">
        <v>260</v>
      </c>
      <c r="B31" s="3" t="s">
        <v>10</v>
      </c>
      <c r="C31" s="58" t="n">
        <f aca="false">SUM(E31:G31)</f>
        <v>9.41401096779305</v>
      </c>
      <c r="D31" s="58" t="n">
        <f aca="false">SUM(H31:S31)</f>
        <v>159.286569034263</v>
      </c>
      <c r="E31" s="59" t="n">
        <f aca="false">E28+E30</f>
        <v>5.428616980779</v>
      </c>
      <c r="F31" s="59" t="n">
        <f aca="false">F28+F30</f>
        <v>1.96060479058906</v>
      </c>
      <c r="G31" s="59" t="n">
        <f aca="false">G28+G30</f>
        <v>2.024789196425</v>
      </c>
      <c r="H31" s="59" t="n">
        <f aca="false">H28+H30</f>
        <v>2.73738946403037</v>
      </c>
      <c r="I31" s="59" t="n">
        <f aca="false">I28+I30</f>
        <v>9.86073647830248</v>
      </c>
      <c r="J31" s="59" t="n">
        <f aca="false">J28+J30</f>
        <v>4.0491244184375</v>
      </c>
      <c r="K31" s="59" t="n">
        <f aca="false">K28+K30</f>
        <v>8.5549431233356</v>
      </c>
      <c r="L31" s="59" t="n">
        <f aca="false">L28+L30</f>
        <v>8.88903386927637</v>
      </c>
      <c r="M31" s="59" t="n">
        <f aca="false">M28+M30</f>
        <v>8.99359409180556</v>
      </c>
      <c r="N31" s="59" t="n">
        <f aca="false">N28+N30</f>
        <v>15.4025948740243</v>
      </c>
      <c r="O31" s="59" t="n">
        <f aca="false">O28+O30</f>
        <v>15.9992138969206</v>
      </c>
      <c r="P31" s="59" t="n">
        <f aca="false">P28+P30</f>
        <v>16.9051876713788</v>
      </c>
      <c r="Q31" s="59" t="n">
        <f aca="false">Q28+Q30</f>
        <v>22.8241708473759</v>
      </c>
      <c r="R31" s="59" t="n">
        <f aca="false">R28+R30</f>
        <v>23.5200356973337</v>
      </c>
      <c r="S31" s="59" t="n">
        <f aca="false">S28+S30</f>
        <v>21.5505446020416</v>
      </c>
    </row>
    <row r="32" customFormat="false" ht="15" hidden="false" customHeight="false" outlineLevel="0" collapsed="false">
      <c r="A32" s="51" t="s">
        <v>261</v>
      </c>
      <c r="B32" s="3" t="s">
        <v>10</v>
      </c>
      <c r="C32" s="58" t="n">
        <f aca="false">SUM(E32:G32)</f>
        <v>55.143</v>
      </c>
      <c r="D32" s="58" t="n">
        <f aca="false">SUM(H32:S32)</f>
        <v>2273.268</v>
      </c>
      <c r="E32" s="59" t="n">
        <f aca="false">PnL!E12-E31</f>
        <v>15</v>
      </c>
      <c r="F32" s="59" t="n">
        <f aca="false">PnL!F12-F31</f>
        <v>20.0715</v>
      </c>
      <c r="G32" s="59" t="n">
        <f aca="false">PnL!G12-G31</f>
        <v>20.0715</v>
      </c>
      <c r="H32" s="59" t="n">
        <f aca="false">PnL!H12-H31</f>
        <v>20.0715</v>
      </c>
      <c r="I32" s="59" t="n">
        <f aca="false">PnL!I12-I31</f>
        <v>61.9695</v>
      </c>
      <c r="J32" s="59" t="n">
        <f aca="false">PnL!J12-J31</f>
        <v>171.541</v>
      </c>
      <c r="K32" s="59" t="n">
        <f aca="false">PnL!K12-K31</f>
        <v>101.6125</v>
      </c>
      <c r="L32" s="59" t="n">
        <f aca="false">PnL!L12-L31</f>
        <v>190.8625</v>
      </c>
      <c r="M32" s="59" t="n">
        <f aca="false">PnL!M12-M31</f>
        <v>81.564</v>
      </c>
      <c r="N32" s="59" t="n">
        <f aca="false">PnL!N12-N31</f>
        <v>286.652</v>
      </c>
      <c r="O32" s="59" t="n">
        <f aca="false">PnL!O12-O31</f>
        <v>133.152</v>
      </c>
      <c r="P32" s="59" t="n">
        <f aca="false">PnL!P12-P31</f>
        <v>256.7005</v>
      </c>
      <c r="Q32" s="59" t="n">
        <f aca="false">PnL!Q12-Q31</f>
        <v>283.022</v>
      </c>
      <c r="R32" s="59" t="n">
        <f aca="false">PnL!R12-R31</f>
        <v>404.397</v>
      </c>
      <c r="S32" s="59" t="n">
        <f aca="false">PnL!S12-S31</f>
        <v>281.7235</v>
      </c>
    </row>
    <row r="33" customFormat="false" ht="15" hidden="false" customHeight="false" outlineLevel="0" collapsed="false">
      <c r="A33" s="51" t="s">
        <v>262</v>
      </c>
      <c r="B33" s="3" t="s">
        <v>21</v>
      </c>
      <c r="C33" s="60" t="n">
        <f aca="false">IF(SUM(PnL!E12:G12)=0,0,C31/SUM(PnL!E12:G12))</f>
        <v>0.145824765221699</v>
      </c>
      <c r="D33" s="60" t="n">
        <f aca="false">IF(SUM(PnL!H12:S12)=0,0,D31/SUM(PnL!H12:S12))</f>
        <v>0.0654811904579392</v>
      </c>
      <c r="E33" s="16" t="n">
        <f aca="false">IF(PnL!E12=0,0,E31/PnL!E12)</f>
        <v>0.26573590301716</v>
      </c>
      <c r="F33" s="16" t="n">
        <f aca="false">IF(PnL!F12=0,0,F31/PnL!F12)</f>
        <v>0.0889885378280573</v>
      </c>
      <c r="G33" s="16" t="n">
        <f aca="false">IF(PnL!G12=0,0,G31/PnL!G12)</f>
        <v>0.0916348070223752</v>
      </c>
      <c r="H33" s="16" t="n">
        <f aca="false">IF(PnL!H12=0,0,H31/PnL!H12)</f>
        <v>0.120014149235421</v>
      </c>
      <c r="I33" s="16" t="n">
        <f aca="false">IF(PnL!I12=0,0,I31/PnL!I12)</f>
        <v>0.137278351871793</v>
      </c>
      <c r="J33" s="16" t="n">
        <f aca="false">IF(PnL!J12=0,0,J31/PnL!J12)</f>
        <v>0.0230600919718486</v>
      </c>
      <c r="K33" s="16" t="n">
        <f aca="false">IF(PnL!K12=0,0,K31/PnL!K12)</f>
        <v>0.0776540044934882</v>
      </c>
      <c r="L33" s="16" t="n">
        <f aca="false">IF(PnL!L12=0,0,L31/PnL!L12)</f>
        <v>0.0445004536240189</v>
      </c>
      <c r="M33" s="16" t="n">
        <f aca="false">IF(PnL!M12=0,0,M31/PnL!M12)</f>
        <v>0.0993135272861603</v>
      </c>
      <c r="N33" s="16" t="n">
        <f aca="false">IF(PnL!N12=0,0,N31/PnL!N12)</f>
        <v>0.0509927514277613</v>
      </c>
      <c r="O33" s="16" t="n">
        <f aca="false">IF(PnL!O12=0,0,O31/PnL!O12)</f>
        <v>0.10726841223014</v>
      </c>
      <c r="P33" s="16" t="n">
        <f aca="false">IF(PnL!P12=0,0,P31/PnL!P12)</f>
        <v>0.061786682196765</v>
      </c>
      <c r="Q33" s="16" t="n">
        <f aca="false">IF(PnL!Q12=0,0,Q31/PnL!Q12)</f>
        <v>0.0746263089844786</v>
      </c>
      <c r="R33" s="16" t="n">
        <f aca="false">IF(PnL!R12=0,0,R31/PnL!R12)</f>
        <v>0.0549640087569906</v>
      </c>
      <c r="S33" s="16" t="n">
        <f aca="false">IF(PnL!S12=0,0,S31/PnL!S12)</f>
        <v>0.0710596405647584</v>
      </c>
    </row>
    <row r="34" customFormat="false" ht="15" hidden="false" customHeight="false" outlineLevel="0" collapsed="false">
      <c r="A34" s="6" t="s">
        <v>263</v>
      </c>
    </row>
    <row r="35" customFormat="false" ht="15" hidden="false" customHeight="false" outlineLevel="0" collapsed="false">
      <c r="A35" s="51" t="s">
        <v>264</v>
      </c>
      <c r="B35" s="3" t="s">
        <v>10</v>
      </c>
      <c r="C35" s="58" t="n">
        <f aca="false">SUM(E35:G35)</f>
        <v>2.85983990765303</v>
      </c>
      <c r="D35" s="58" t="n">
        <f aca="false">SUM(H35:S35)</f>
        <v>44.80898036657</v>
      </c>
      <c r="E35" s="59" t="n">
        <f aca="false">PnL!E10+PnL!E11-PnL!E19-PnL!E20</f>
        <v>1.76643769096686</v>
      </c>
      <c r="F35" s="59" t="n">
        <f aca="false">PnL!F10+PnL!F11-PnL!F19-PnL!F20</f>
        <v>0.537896536969918</v>
      </c>
      <c r="G35" s="59" t="n">
        <f aca="false">PnL!G10+PnL!G11-PnL!G19-PnL!G20</f>
        <v>0.55550567971625</v>
      </c>
      <c r="H35" s="59" t="n">
        <f aca="false">PnL!H10+PnL!H11-PnL!H19-PnL!H20</f>
        <v>0.751009239652774</v>
      </c>
      <c r="I35" s="59" t="n">
        <f aca="false">PnL!I10+PnL!I11-PnL!I19-PnL!I20</f>
        <v>2.98240010246258</v>
      </c>
      <c r="J35" s="59" t="n">
        <f aca="false">PnL!J10+PnL!J11-PnL!J19-PnL!J20</f>
        <v>1.11088681048438</v>
      </c>
      <c r="K35" s="59" t="n">
        <f aca="false">PnL!K10+PnL!K11-PnL!K19-PnL!K20</f>
        <v>2.34706877291383</v>
      </c>
      <c r="L35" s="59" t="n">
        <f aca="false">PnL!L10+PnL!L11-PnL!L19-PnL!L20</f>
        <v>2.43872735507064</v>
      </c>
      <c r="M35" s="59" t="n">
        <f aca="false">PnL!M10+PnL!M11-PnL!M19-PnL!M20</f>
        <v>2.46741369811806</v>
      </c>
      <c r="N35" s="59" t="n">
        <f aca="false">PnL!N10+PnL!N11-PnL!N19-PnL!N20</f>
        <v>4.22573814103507</v>
      </c>
      <c r="O35" s="59" t="n">
        <f aca="false">PnL!O10+PnL!O11-PnL!O19-PnL!O20</f>
        <v>4.38942197361915</v>
      </c>
      <c r="P35" s="59" t="n">
        <f aca="false">PnL!P10+PnL!P11-PnL!P19-PnL!P20</f>
        <v>4.63797801010635</v>
      </c>
      <c r="Q35" s="59" t="n">
        <f aca="false">PnL!Q10+PnL!Q11-PnL!Q19-PnL!Q20</f>
        <v>6.53894882040507</v>
      </c>
      <c r="R35" s="59" t="n">
        <f aca="false">PnL!R10+PnL!R11-PnL!R19-PnL!R20</f>
        <v>6.72986097913694</v>
      </c>
      <c r="S35" s="59" t="n">
        <f aca="false">PnL!S10+PnL!S11-PnL!S19-PnL!S20</f>
        <v>6.18952646356512</v>
      </c>
    </row>
    <row r="36" customFormat="false" ht="15" hidden="false" customHeight="false" outlineLevel="0" collapsed="false">
      <c r="A36" s="51" t="s">
        <v>265</v>
      </c>
      <c r="B36" s="3" t="s">
        <v>10</v>
      </c>
      <c r="C36" s="58" t="n">
        <f aca="false">SUM(E36:G36)</f>
        <v>6.9</v>
      </c>
      <c r="D36" s="58" t="n">
        <f aca="false">SUM(H36:S36)</f>
        <v>65.136</v>
      </c>
      <c r="E36" s="59" t="n">
        <f aca="false">Pay_Plan!E9*(1+Inputs!$C$106*Pay_Plan!E14)</f>
        <v>2.3</v>
      </c>
      <c r="F36" s="59" t="n">
        <f aca="false">Pay_Plan!F9*(1+Inputs!$C$106*Pay_Plan!F14)</f>
        <v>2.3</v>
      </c>
      <c r="G36" s="59" t="n">
        <f aca="false">Pay_Plan!G9*(1+Inputs!$C$106*Pay_Plan!G14)</f>
        <v>2.3</v>
      </c>
      <c r="H36" s="59" t="n">
        <f aca="false">Pay_Plan!H9*(1+Inputs!$C$106*Pay_Plan!H14)</f>
        <v>5.428</v>
      </c>
      <c r="I36" s="59" t="n">
        <f aca="false">Pay_Plan!I9*(1+Inputs!$C$106*Pay_Plan!I14)</f>
        <v>5.428</v>
      </c>
      <c r="J36" s="59" t="n">
        <f aca="false">Pay_Plan!J9*(1+Inputs!$C$106*Pay_Plan!J14)</f>
        <v>5.428</v>
      </c>
      <c r="K36" s="59" t="n">
        <f aca="false">Pay_Plan!K9*(1+Inputs!$C$106*Pay_Plan!K14)</f>
        <v>5.428</v>
      </c>
      <c r="L36" s="59" t="n">
        <f aca="false">Pay_Plan!L9*(1+Inputs!$C$106*Pay_Plan!L14)</f>
        <v>5.428</v>
      </c>
      <c r="M36" s="59" t="n">
        <f aca="false">Pay_Plan!M9*(1+Inputs!$C$106*Pay_Plan!M14)</f>
        <v>5.428</v>
      </c>
      <c r="N36" s="59" t="n">
        <f aca="false">Pay_Plan!N9*(1+Inputs!$C$106*Pay_Plan!N14)</f>
        <v>5.428</v>
      </c>
      <c r="O36" s="59" t="n">
        <f aca="false">Pay_Plan!O9*(1+Inputs!$C$106*Pay_Plan!O14)</f>
        <v>5.428</v>
      </c>
      <c r="P36" s="59" t="n">
        <f aca="false">Pay_Plan!P9*(1+Inputs!$C$106*Pay_Plan!P14)</f>
        <v>5.428</v>
      </c>
      <c r="Q36" s="59" t="n">
        <f aca="false">Pay_Plan!Q9*(1+Inputs!$C$106*Pay_Plan!Q14)</f>
        <v>5.428</v>
      </c>
      <c r="R36" s="59" t="n">
        <f aca="false">Pay_Plan!R9*(1+Inputs!$C$106*Pay_Plan!R14)</f>
        <v>5.428</v>
      </c>
      <c r="S36" s="59" t="n">
        <f aca="false">Pay_Plan!S9*(1+Inputs!$C$106*Pay_Plan!S14)</f>
        <v>5.428</v>
      </c>
    </row>
    <row r="37" customFormat="false" ht="15" hidden="false" customHeight="false" outlineLevel="0" collapsed="false">
      <c r="A37" s="51" t="s">
        <v>266</v>
      </c>
      <c r="B37" s="3" t="s">
        <v>10</v>
      </c>
      <c r="C37" s="58" t="n">
        <f aca="false">SUM(E37:G37)</f>
        <v>0</v>
      </c>
      <c r="D37" s="58" t="n">
        <f aca="false">SUM(H37:S37)</f>
        <v>42</v>
      </c>
      <c r="E37" s="59" t="n">
        <f aca="false">Pay_Plan!E12</f>
        <v>0</v>
      </c>
      <c r="F37" s="59" t="n">
        <f aca="false">Pay_Plan!F12</f>
        <v>0</v>
      </c>
      <c r="G37" s="59" t="n">
        <f aca="false">Pay_Plan!G12</f>
        <v>0</v>
      </c>
      <c r="H37" s="59" t="n">
        <f aca="false">Pay_Plan!H12</f>
        <v>3.5</v>
      </c>
      <c r="I37" s="59" t="n">
        <f aca="false">Pay_Plan!I12</f>
        <v>3.5</v>
      </c>
      <c r="J37" s="59" t="n">
        <f aca="false">Pay_Plan!J12</f>
        <v>3.5</v>
      </c>
      <c r="K37" s="59" t="n">
        <f aca="false">Pay_Plan!K12</f>
        <v>3.5</v>
      </c>
      <c r="L37" s="59" t="n">
        <f aca="false">Pay_Plan!L12</f>
        <v>3.5</v>
      </c>
      <c r="M37" s="59" t="n">
        <f aca="false">Pay_Plan!M12</f>
        <v>3.5</v>
      </c>
      <c r="N37" s="59" t="n">
        <f aca="false">Pay_Plan!N12</f>
        <v>3.5</v>
      </c>
      <c r="O37" s="59" t="n">
        <f aca="false">Pay_Plan!O12</f>
        <v>3.5</v>
      </c>
      <c r="P37" s="59" t="n">
        <f aca="false">Pay_Plan!P12</f>
        <v>3.5</v>
      </c>
      <c r="Q37" s="59" t="n">
        <f aca="false">Pay_Plan!Q12</f>
        <v>3.5</v>
      </c>
      <c r="R37" s="59" t="n">
        <f aca="false">Pay_Plan!R12</f>
        <v>3.5</v>
      </c>
      <c r="S37" s="59" t="n">
        <f aca="false">Pay_Plan!S12</f>
        <v>3.5</v>
      </c>
    </row>
    <row r="38" customFormat="false" ht="15" hidden="false" customHeight="false" outlineLevel="0" collapsed="false">
      <c r="A38" s="51" t="s">
        <v>267</v>
      </c>
      <c r="B38" s="3" t="s">
        <v>250</v>
      </c>
      <c r="C38" s="58" t="n">
        <f aca="false">IF(C36=0,0,C35/C36)</f>
        <v>0.414469551833772</v>
      </c>
      <c r="D38" s="58" t="n">
        <f aca="false">IF(D36=0,0,D35/D36)</f>
        <v>0.687929568388755</v>
      </c>
      <c r="E38" s="59" t="n">
        <f aca="false">IF(E36=0,0,E35/E36)</f>
        <v>0.768016387376896</v>
      </c>
      <c r="F38" s="59" t="n">
        <f aca="false">IF(F36=0,0,F35/F36)</f>
        <v>0.233868059552138</v>
      </c>
      <c r="G38" s="59" t="n">
        <f aca="false">IF(G36=0,0,G35/G36)</f>
        <v>0.241524208572283</v>
      </c>
      <c r="H38" s="59" t="n">
        <f aca="false">IF(H36=0,0,H35/H36)</f>
        <v>0.138358371343547</v>
      </c>
      <c r="I38" s="59" t="n">
        <f aca="false">IF(I36=0,0,I35/I36)</f>
        <v>0.549447329119857</v>
      </c>
      <c r="J38" s="59" t="n">
        <f aca="false">IF(J36=0,0,J35/J36)</f>
        <v>0.204658587045758</v>
      </c>
      <c r="K38" s="59" t="n">
        <f aca="false">IF(K36=0,0,K35/K36)</f>
        <v>0.432400289777788</v>
      </c>
      <c r="L38" s="59" t="n">
        <f aca="false">IF(L36=0,0,L35/L36)</f>
        <v>0.449286542938585</v>
      </c>
      <c r="M38" s="59" t="n">
        <f aca="false">IF(M36=0,0,M35/M36)</f>
        <v>0.454571425592862</v>
      </c>
      <c r="N38" s="59" t="n">
        <f aca="false">IF(N36=0,0,N35/N36)</f>
        <v>0.778507395179638</v>
      </c>
      <c r="O38" s="59" t="n">
        <f aca="false">IF(O36=0,0,O35/O36)</f>
        <v>0.808662854388201</v>
      </c>
      <c r="P38" s="59" t="n">
        <f aca="false">IF(P36=0,0,P35/P36)</f>
        <v>0.854454312841996</v>
      </c>
      <c r="Q38" s="59" t="n">
        <f aca="false">IF(Q36=0,0,Q35/Q36)</f>
        <v>1.20467001112842</v>
      </c>
      <c r="R38" s="59" t="n">
        <f aca="false">IF(R36=0,0,R35/R36)</f>
        <v>1.23984174265603</v>
      </c>
      <c r="S38" s="59" t="n">
        <f aca="false">IF(S36=0,0,S35/S36)</f>
        <v>1.14029595865238</v>
      </c>
    </row>
    <row r="39" customFormat="false" ht="15" hidden="false" customHeight="false" outlineLevel="0" collapsed="false">
      <c r="A39" s="51" t="s">
        <v>268</v>
      </c>
      <c r="B39" s="3" t="s">
        <v>10</v>
      </c>
      <c r="C39" s="58" t="n">
        <f aca="false">SUM(E39:G39)</f>
        <v>-4.04016009234697</v>
      </c>
      <c r="D39" s="58" t="n">
        <f aca="false">SUM(H39:S39)</f>
        <v>-64.9559610436632</v>
      </c>
      <c r="E39" s="59" t="n">
        <f aca="false">E35-E36-E37-E53</f>
        <v>-0.533562309033139</v>
      </c>
      <c r="F39" s="59" t="n">
        <f aca="false">F35-F36-F37-F53</f>
        <v>-1.76210346303008</v>
      </c>
      <c r="G39" s="59" t="n">
        <f aca="false">G35-G36-G37-G53</f>
        <v>-1.74449432028375</v>
      </c>
      <c r="H39" s="59" t="n">
        <f aca="false">H35-H36-H37-H53</f>
        <v>-8.20838195099834</v>
      </c>
      <c r="I39" s="59" t="n">
        <f aca="false">I35-I36-I37-I53</f>
        <v>-5.9794150325875</v>
      </c>
      <c r="J39" s="59" t="n">
        <f aca="false">J35-J36-J37-J53</f>
        <v>-7.85353943951562</v>
      </c>
      <c r="K39" s="59" t="n">
        <f aca="false">K35-K36-K37-K53</f>
        <v>-6.68231841968997</v>
      </c>
      <c r="L39" s="59" t="n">
        <f aca="false">L35-L36-L37-L53</f>
        <v>-6.5993555176097</v>
      </c>
      <c r="M39" s="59" t="n">
        <f aca="false">M35-M36-M37-M53</f>
        <v>-6.5801106574375</v>
      </c>
      <c r="N39" s="59" t="n">
        <f aca="false">N35-N36-N37-N53</f>
        <v>-4.94474915144847</v>
      </c>
      <c r="O39" s="59" t="n">
        <f aca="false">O35-O36-O37-O53</f>
        <v>-4.80186273778794</v>
      </c>
      <c r="P39" s="59" t="n">
        <f aca="false">P35-P36-P37-P53</f>
        <v>-4.57588785342306</v>
      </c>
      <c r="Q39" s="59" t="n">
        <f aca="false">Q35-Q36-Q37-Q53</f>
        <v>-2.82413259683149</v>
      </c>
      <c r="R39" s="59" t="n">
        <f aca="false">R35-R36-R37-R53</f>
        <v>-2.66556311629871</v>
      </c>
      <c r="S39" s="59" t="n">
        <f aca="false">S35-S36-S37-S53</f>
        <v>-3.24064457003488</v>
      </c>
    </row>
    <row r="40" customFormat="false" ht="15" hidden="false" customHeight="false" outlineLevel="0" collapsed="false">
      <c r="A40" s="6" t="s">
        <v>269</v>
      </c>
    </row>
    <row r="41" customFormat="false" ht="15" hidden="false" customHeight="false" outlineLevel="0" collapsed="false">
      <c r="A41" s="51" t="s">
        <v>270</v>
      </c>
      <c r="B41" s="3" t="s">
        <v>208</v>
      </c>
      <c r="C41" s="52" t="n">
        <f aca="false">SUM(E41:G41)</f>
        <v>56.2729569609062</v>
      </c>
      <c r="D41" s="52" t="n">
        <f aca="false">SUM(H41:S41)</f>
        <v>895.446514228741</v>
      </c>
      <c r="E41" s="53" t="n">
        <f aca="false">E26+Volume!E26*Inputs!$C$68+Volume!E43</f>
        <v>12.0897425365472</v>
      </c>
      <c r="F41" s="53" t="n">
        <f aca="false">F26+Volume!F26*Inputs!$C$68+Volume!F43</f>
        <v>22.039401424359</v>
      </c>
      <c r="G41" s="53" t="n">
        <f aca="false">G26+Volume!G26*Inputs!$C$68+Volume!G43</f>
        <v>22.143813</v>
      </c>
      <c r="H41" s="53" t="n">
        <f aca="false">H26+Volume!H26*Inputs!$C$68+Volume!H43</f>
        <v>23.3030309716221</v>
      </c>
      <c r="I41" s="53" t="n">
        <f aca="false">I26+Volume!I26*Inputs!$C$68+Volume!I43</f>
        <v>43.2826648555085</v>
      </c>
      <c r="J41" s="53" t="n">
        <f aca="false">J26+Volume!J26*Inputs!$C$68+Volume!J43</f>
        <v>49.4198875</v>
      </c>
      <c r="K41" s="53" t="n">
        <f aca="false">K26+Volume!K26*Inputs!$C$68+Volume!K43</f>
        <v>65.5996995377374</v>
      </c>
      <c r="L41" s="53" t="n">
        <f aca="false">L26+Volume!L26*Inputs!$C$68+Volume!L43</f>
        <v>66.1431795425212</v>
      </c>
      <c r="M41" s="53" t="n">
        <f aca="false">M26+Volume!M26*Inputs!$C$68+Volume!M43</f>
        <v>62.5962722222222</v>
      </c>
      <c r="N41" s="53" t="n">
        <f aca="false">N26+Volume!N26*Inputs!$C$68+Volume!N43</f>
        <v>88.1550736492322</v>
      </c>
      <c r="O41" s="53" t="n">
        <f aca="false">O26+Volume!O26*Inputs!$C$68+Volume!O43</f>
        <v>89.1256198656645</v>
      </c>
      <c r="P41" s="53" t="n">
        <f aca="false">P26+Volume!P26*Inputs!$C$68+Volume!P43</f>
        <v>94.3164069647059</v>
      </c>
      <c r="Q41" s="53" t="n">
        <f aca="false">Q26+Volume!Q26*Inputs!$C$68+Volume!Q43</f>
        <v>106.053849603279</v>
      </c>
      <c r="R41" s="53" t="n">
        <f aca="false">R26+Volume!R26*Inputs!$C$68+Volume!R43</f>
        <v>107.185843340248</v>
      </c>
      <c r="S41" s="53" t="n">
        <f aca="false">S26+Volume!S26*Inputs!$C$68+Volume!S43</f>
        <v>100.264986176</v>
      </c>
    </row>
    <row r="42" customFormat="false" ht="15" hidden="false" customHeight="false" outlineLevel="0" collapsed="false">
      <c r="A42" s="51" t="s">
        <v>271</v>
      </c>
      <c r="B42" s="3" t="s">
        <v>208</v>
      </c>
      <c r="C42" s="52" t="n">
        <f aca="false">SUM(E42:G42)</f>
        <v>108</v>
      </c>
      <c r="D42" s="52" t="n">
        <f aca="false">SUM(H42:S42)</f>
        <v>864</v>
      </c>
      <c r="E42" s="53" t="n">
        <f aca="false">IF(Volume!E6&gt;=4,$C$14,1)*$C$13</f>
        <v>36</v>
      </c>
      <c r="F42" s="53" t="n">
        <f aca="false">IF(Volume!F6&gt;=4,$C$14,1)*$C$13</f>
        <v>36</v>
      </c>
      <c r="G42" s="53" t="n">
        <f aca="false">IF(Volume!G6&gt;=4,$C$14,1)*$C$13</f>
        <v>36</v>
      </c>
      <c r="H42" s="53" t="n">
        <f aca="false">IF(Volume!H6&gt;=4,$C$14,1)*$C$13</f>
        <v>72</v>
      </c>
      <c r="I42" s="53" t="n">
        <f aca="false">IF(Volume!I6&gt;=4,$C$14,1)*$C$13</f>
        <v>72</v>
      </c>
      <c r="J42" s="53" t="n">
        <f aca="false">IF(Volume!J6&gt;=4,$C$14,1)*$C$13</f>
        <v>72</v>
      </c>
      <c r="K42" s="53" t="n">
        <f aca="false">IF(Volume!K6&gt;=4,$C$14,1)*$C$13</f>
        <v>72</v>
      </c>
      <c r="L42" s="53" t="n">
        <f aca="false">IF(Volume!L6&gt;=4,$C$14,1)*$C$13</f>
        <v>72</v>
      </c>
      <c r="M42" s="53" t="n">
        <f aca="false">IF(Volume!M6&gt;=4,$C$14,1)*$C$13</f>
        <v>72</v>
      </c>
      <c r="N42" s="53" t="n">
        <f aca="false">IF(Volume!N6&gt;=4,$C$14,1)*$C$13</f>
        <v>72</v>
      </c>
      <c r="O42" s="53" t="n">
        <f aca="false">IF(Volume!O6&gt;=4,$C$14,1)*$C$13</f>
        <v>72</v>
      </c>
      <c r="P42" s="53" t="n">
        <f aca="false">IF(Volume!P6&gt;=4,$C$14,1)*$C$13</f>
        <v>72</v>
      </c>
      <c r="Q42" s="53" t="n">
        <f aca="false">IF(Volume!Q6&gt;=4,$C$14,1)*$C$13</f>
        <v>72</v>
      </c>
      <c r="R42" s="53" t="n">
        <f aca="false">IF(Volume!R6&gt;=4,$C$14,1)*$C$13</f>
        <v>72</v>
      </c>
      <c r="S42" s="53" t="n">
        <f aca="false">IF(Volume!S6&gt;=4,$C$14,1)*$C$13</f>
        <v>72</v>
      </c>
    </row>
    <row r="43" customFormat="false" ht="15" hidden="false" customHeight="false" outlineLevel="0" collapsed="false">
      <c r="A43" s="51" t="s">
        <v>272</v>
      </c>
      <c r="B43" s="3" t="s">
        <v>21</v>
      </c>
      <c r="C43" s="60"/>
      <c r="D43" s="60"/>
      <c r="E43" s="16" t="n">
        <f aca="false">E41/E42</f>
        <v>0.335826181570756</v>
      </c>
      <c r="F43" s="16" t="n">
        <f aca="false">F41/F42</f>
        <v>0.612205595121082</v>
      </c>
      <c r="G43" s="16" t="n">
        <f aca="false">G41/G42</f>
        <v>0.615105916666667</v>
      </c>
      <c r="H43" s="16" t="n">
        <f aca="false">H41/H42</f>
        <v>0.323653207939195</v>
      </c>
      <c r="I43" s="16" t="n">
        <f aca="false">I41/I42</f>
        <v>0.601148122993174</v>
      </c>
      <c r="J43" s="16" t="n">
        <f aca="false">J41/J42</f>
        <v>0.686387326388889</v>
      </c>
      <c r="K43" s="16" t="n">
        <f aca="false">K41/K42</f>
        <v>0.91110693802413</v>
      </c>
      <c r="L43" s="16" t="n">
        <f aca="false">L41/L42</f>
        <v>0.918655271423906</v>
      </c>
      <c r="M43" s="16" t="n">
        <f aca="false">M41/M42</f>
        <v>0.869392669753087</v>
      </c>
      <c r="N43" s="16" t="n">
        <f aca="false">N41/N42</f>
        <v>1.224376022906</v>
      </c>
      <c r="O43" s="16" t="n">
        <f aca="false">O41/O42</f>
        <v>1.23785583146756</v>
      </c>
      <c r="P43" s="16" t="n">
        <f aca="false">P41/P42</f>
        <v>1.30995009673203</v>
      </c>
      <c r="Q43" s="16" t="n">
        <f aca="false">Q41/Q42</f>
        <v>1.47297013337888</v>
      </c>
      <c r="R43" s="16" t="n">
        <f aca="false">R41/R42</f>
        <v>1.48869226861455</v>
      </c>
      <c r="S43" s="16" t="n">
        <f aca="false">S41/S42</f>
        <v>1.39256925244444</v>
      </c>
    </row>
    <row r="44" customFormat="false" ht="15" hidden="false" customHeight="false" outlineLevel="0" collapsed="false">
      <c r="A44" s="51" t="s">
        <v>273</v>
      </c>
      <c r="B44" s="3" t="s">
        <v>208</v>
      </c>
      <c r="C44" s="52" t="n">
        <f aca="false">SUM(E44:G44)</f>
        <v>0</v>
      </c>
      <c r="D44" s="52" t="n">
        <f aca="false">SUM(H44:S44)</f>
        <v>153.10177959913</v>
      </c>
      <c r="E44" s="53" t="n">
        <f aca="false">MAX(0,E41-E42)</f>
        <v>0</v>
      </c>
      <c r="F44" s="53" t="n">
        <f aca="false">MAX(0,F41-F42)</f>
        <v>0</v>
      </c>
      <c r="G44" s="53" t="n">
        <f aca="false">MAX(0,G41-G42)</f>
        <v>0</v>
      </c>
      <c r="H44" s="53" t="n">
        <f aca="false">MAX(0,H41-H42)</f>
        <v>0</v>
      </c>
      <c r="I44" s="53" t="n">
        <f aca="false">MAX(0,I41-I42)</f>
        <v>0</v>
      </c>
      <c r="J44" s="53" t="n">
        <f aca="false">MAX(0,J41-J42)</f>
        <v>0</v>
      </c>
      <c r="K44" s="53" t="n">
        <f aca="false">MAX(0,K41-K42)</f>
        <v>0</v>
      </c>
      <c r="L44" s="53" t="n">
        <f aca="false">MAX(0,L41-L42)</f>
        <v>0</v>
      </c>
      <c r="M44" s="53" t="n">
        <f aca="false">MAX(0,M41-M42)</f>
        <v>0</v>
      </c>
      <c r="N44" s="53" t="n">
        <f aca="false">MAX(0,N41-N42)</f>
        <v>16.1550736492322</v>
      </c>
      <c r="O44" s="53" t="n">
        <f aca="false">MAX(0,O41-O42)</f>
        <v>17.1256198656645</v>
      </c>
      <c r="P44" s="53" t="n">
        <f aca="false">MAX(0,P41-P42)</f>
        <v>22.3164069647059</v>
      </c>
      <c r="Q44" s="53" t="n">
        <f aca="false">MAX(0,Q41-Q42)</f>
        <v>34.0538496032793</v>
      </c>
      <c r="R44" s="53" t="n">
        <f aca="false">MAX(0,R41-R42)</f>
        <v>35.1858433402476</v>
      </c>
      <c r="S44" s="53" t="n">
        <f aca="false">MAX(0,S41-S42)</f>
        <v>28.264986176</v>
      </c>
    </row>
    <row r="45" customFormat="false" ht="15" hidden="false" customHeight="false" outlineLevel="0" collapsed="false">
      <c r="A45" s="6" t="s">
        <v>274</v>
      </c>
    </row>
    <row r="46" customFormat="false" ht="15" hidden="false" customHeight="false" outlineLevel="0" collapsed="false">
      <c r="A46" s="51" t="s">
        <v>275</v>
      </c>
      <c r="B46" s="3" t="s">
        <v>10</v>
      </c>
      <c r="C46" s="58"/>
      <c r="D46" s="58"/>
      <c r="E46" s="59" t="n">
        <f aca="false">AVERAGE(E26)*Inputs!$C$14*(1-Inputs!$C$21)</f>
        <v>0.352437690966861</v>
      </c>
      <c r="F46" s="59" t="n">
        <f aca="false">AVERAGE(F26,E26)*Inputs!$C$14*(1-Inputs!$C$21)</f>
        <v>0.44516711396839</v>
      </c>
      <c r="G46" s="59" t="n">
        <f aca="false">AVERAGE(G26,F26,E26)*Inputs!$C$14*(1-Inputs!$C$21)</f>
        <v>0.481946635884343</v>
      </c>
      <c r="H46" s="59" t="n">
        <f aca="false">AVERAGE(H26,G26,F26)*Inputs!$C$14*(1-Inputs!$C$21)</f>
        <v>0.614803818779647</v>
      </c>
      <c r="I46" s="59" t="n">
        <f aca="false">AVERAGE(I26,H26,G26)*Inputs!$C$14*(1-Inputs!$C$21)</f>
        <v>0.958305007277202</v>
      </c>
      <c r="J46" s="59" t="n">
        <f aca="false">AVERAGE(J26,I26,H26)*Inputs!$C$14*(1-Inputs!$C$21)</f>
        <v>1.14343205086658</v>
      </c>
      <c r="K46" s="59" t="n">
        <f aca="false">AVERAGE(K26,J26,I26)*Inputs!$C$14*(1-Inputs!$C$21)</f>
        <v>1.67545189528693</v>
      </c>
      <c r="L46" s="59" t="n">
        <f aca="false">AVERAGE(L26,K26,J26)*Inputs!$C$14*(1-Inputs!$C$21)</f>
        <v>1.96556097948961</v>
      </c>
      <c r="M46" s="59" t="n">
        <f aca="false">AVERAGE(M26,L26,K26)*Inputs!$C$14*(1-Inputs!$C$21)</f>
        <v>2.41773660870084</v>
      </c>
      <c r="N46" s="59" t="n">
        <f aca="false">AVERAGE(N26,M26,L26)*Inputs!$C$14*(1-Inputs!$C$21)</f>
        <v>3.04395973140792</v>
      </c>
      <c r="O46" s="59" t="n">
        <f aca="false">AVERAGE(O26,N26,M26)*Inputs!$C$14*(1-Inputs!$C$21)</f>
        <v>3.69419127092409</v>
      </c>
      <c r="P46" s="59" t="n">
        <f aca="false">AVERAGE(P26,O26,N26)*Inputs!$C$14*(1-Inputs!$C$21)</f>
        <v>4.41771270825353</v>
      </c>
      <c r="Q46" s="59" t="n">
        <f aca="false">AVERAGE(Q26,P26,O26)*Inputs!$C$14*(1-Inputs!$C$21)</f>
        <v>4.71744960137686</v>
      </c>
      <c r="R46" s="59" t="n">
        <f aca="false">AVERAGE(R26,Q26,P26)*Inputs!$C$14*(1-Inputs!$C$21)</f>
        <v>5.02626260321612</v>
      </c>
      <c r="S46" s="59" t="n">
        <f aca="false">AVERAGE(S26,R26,Q26)*Inputs!$C$14*(1-Inputs!$C$21)</f>
        <v>5.07211208770238</v>
      </c>
    </row>
    <row r="47" customFormat="false" ht="15" hidden="false" customHeight="false" outlineLevel="0" collapsed="false">
      <c r="A47" s="51" t="s">
        <v>276</v>
      </c>
      <c r="B47" s="3" t="s">
        <v>10</v>
      </c>
      <c r="C47" s="58"/>
      <c r="D47" s="58"/>
      <c r="E47" s="59" t="n">
        <f aca="false">(2.3+$C$16)*(1+Inputs!$C$106)</f>
        <v>13.334</v>
      </c>
      <c r="F47" s="59" t="n">
        <f aca="false">(2.3+$C$16)*(1+Inputs!$C$106)</f>
        <v>13.334</v>
      </c>
      <c r="G47" s="59" t="n">
        <f aca="false">(2.3+$C$16)*(1+Inputs!$C$106)</f>
        <v>13.334</v>
      </c>
      <c r="H47" s="59" t="n">
        <f aca="false">(2.3+$C$16)*(1+Inputs!$C$106)</f>
        <v>13.334</v>
      </c>
      <c r="I47" s="59" t="n">
        <f aca="false">(2.3+$C$16)*(1+Inputs!$C$106)</f>
        <v>13.334</v>
      </c>
      <c r="J47" s="59" t="n">
        <f aca="false">(2.3+$C$16)*(1+Inputs!$C$106)</f>
        <v>13.334</v>
      </c>
      <c r="K47" s="59" t="n">
        <f aca="false">(2.3+$C$16)*(1+Inputs!$C$106)</f>
        <v>13.334</v>
      </c>
      <c r="L47" s="59" t="n">
        <f aca="false">(2.3+$C$16)*(1+Inputs!$C$106)</f>
        <v>13.334</v>
      </c>
      <c r="M47" s="59" t="n">
        <f aca="false">(2.3+$C$16)*(1+Inputs!$C$106)</f>
        <v>13.334</v>
      </c>
      <c r="N47" s="59" t="n">
        <f aca="false">(2.3+$C$16)*(1+Inputs!$C$106)</f>
        <v>13.334</v>
      </c>
      <c r="O47" s="59" t="n">
        <f aca="false">(2.3+$C$16)*(1+Inputs!$C$106)</f>
        <v>13.334</v>
      </c>
      <c r="P47" s="59" t="n">
        <f aca="false">(2.3+$C$16)*(1+Inputs!$C$106)</f>
        <v>13.334</v>
      </c>
      <c r="Q47" s="59" t="n">
        <f aca="false">(2.3+$C$16)*(1+Inputs!$C$106)</f>
        <v>13.334</v>
      </c>
      <c r="R47" s="59" t="n">
        <f aca="false">(2.3+$C$16)*(1+Inputs!$C$106)</f>
        <v>13.334</v>
      </c>
      <c r="S47" s="59" t="n">
        <f aca="false">(2.3+$C$16)*(1+Inputs!$C$106)</f>
        <v>13.334</v>
      </c>
    </row>
    <row r="48" customFormat="false" ht="15" hidden="false" customHeight="false" outlineLevel="0" collapsed="false">
      <c r="A48" s="51" t="s">
        <v>277</v>
      </c>
      <c r="B48" s="3" t="s">
        <v>278</v>
      </c>
      <c r="C48" s="52" t="n">
        <f aca="false">MAX(E48:G48)</f>
        <v>0</v>
      </c>
      <c r="D48" s="52" t="n">
        <f aca="false">MAX(H48:S48)</f>
        <v>0</v>
      </c>
      <c r="E48" s="53" t="n">
        <f aca="false">IF(E46&gt;=E47,1,0)</f>
        <v>0</v>
      </c>
      <c r="F48" s="53" t="n">
        <f aca="false">IF(F46&gt;=F47,1,0)</f>
        <v>0</v>
      </c>
      <c r="G48" s="53" t="n">
        <f aca="false">IF(G46&gt;=G47,1,0)</f>
        <v>0</v>
      </c>
      <c r="H48" s="53" t="n">
        <f aca="false">IF(H46&gt;=H47,1,0)</f>
        <v>0</v>
      </c>
      <c r="I48" s="53" t="n">
        <f aca="false">IF(I46&gt;=I47,1,0)</f>
        <v>0</v>
      </c>
      <c r="J48" s="53" t="n">
        <f aca="false">IF(J46&gt;=J47,1,0)</f>
        <v>0</v>
      </c>
      <c r="K48" s="53" t="n">
        <f aca="false">IF(K46&gt;=K47,1,0)</f>
        <v>0</v>
      </c>
      <c r="L48" s="53" t="n">
        <f aca="false">IF(L46&gt;=L47,1,0)</f>
        <v>0</v>
      </c>
      <c r="M48" s="53" t="n">
        <f aca="false">IF(M46&gt;=M47,1,0)</f>
        <v>0</v>
      </c>
      <c r="N48" s="53" t="n">
        <f aca="false">IF(N46&gt;=N47,1,0)</f>
        <v>0</v>
      </c>
      <c r="O48" s="53" t="n">
        <f aca="false">IF(O46&gt;=O47,1,0)</f>
        <v>0</v>
      </c>
      <c r="P48" s="53" t="n">
        <f aca="false">IF(P46&gt;=P47,1,0)</f>
        <v>0</v>
      </c>
      <c r="Q48" s="53" t="n">
        <f aca="false">IF(Q46&gt;=Q47,1,0)</f>
        <v>0</v>
      </c>
      <c r="R48" s="53" t="n">
        <f aca="false">IF(R46&gt;=R47,1,0)</f>
        <v>0</v>
      </c>
      <c r="S48" s="53" t="n">
        <f aca="false">IF(S46&gt;=S47,1,0)</f>
        <v>0</v>
      </c>
    </row>
    <row r="50" customFormat="false" ht="15" hidden="false" customHeight="false" outlineLevel="0" collapsed="false">
      <c r="A50" s="6" t="s">
        <v>279</v>
      </c>
    </row>
    <row r="51" customFormat="false" ht="15" hidden="false" customHeight="false" outlineLevel="0" collapsed="false">
      <c r="A51" s="51" t="s">
        <v>280</v>
      </c>
      <c r="B51" s="3" t="s">
        <v>252</v>
      </c>
      <c r="C51" s="58" t="n">
        <f aca="false">SUM(E51:G51)</f>
        <v>0</v>
      </c>
      <c r="D51" s="58" t="n">
        <f aca="false">SUM(H51:S51)</f>
        <v>13.1447070511657</v>
      </c>
      <c r="E51" s="59" t="n">
        <f aca="false">E23*INDEX($C$9:$G$9,E19)/(1-INDEX($C$9:$G$9,E19))</f>
        <v>0</v>
      </c>
      <c r="F51" s="59" t="n">
        <f aca="false">F23*INDEX($C$9:$G$9,F19)/(1-INDEX($C$9:$G$9,F19))</f>
        <v>0</v>
      </c>
      <c r="G51" s="59" t="n">
        <f aca="false">G23*INDEX($C$9:$G$9,G19)/(1-INDEX($C$9:$G$9,G19))</f>
        <v>0</v>
      </c>
      <c r="H51" s="59" t="n">
        <f aca="false">H23*INDEX($C$9:$G$9,H19)/(1-INDEX($C$9:$G$9,H19))</f>
        <v>0.156955953255548</v>
      </c>
      <c r="I51" s="59" t="n">
        <f aca="false">I23*INDEX($C$9:$G$9,I19)/(1-INDEX($C$9:$G$9,I19))</f>
        <v>0.169075675250388</v>
      </c>
      <c r="J51" s="59" t="n">
        <f aca="false">J23*INDEX($C$9:$G$9,J19)/(1-INDEX($C$9:$G$9,J19))</f>
        <v>0.18213125</v>
      </c>
      <c r="K51" s="59" t="n">
        <f aca="false">K23*INDEX($C$9:$G$9,K19)/(1-INDEX($C$9:$G$9,K19))</f>
        <v>0.50693596301899</v>
      </c>
      <c r="L51" s="59" t="n">
        <f aca="false">L23*INDEX($C$9:$G$9,L19)/(1-INDEX($C$9:$G$9,L19))</f>
        <v>0.5504143634017</v>
      </c>
      <c r="M51" s="59" t="n">
        <f aca="false">M23*INDEX($C$9:$G$9,M19)/(1-INDEX($C$9:$G$9,M19))</f>
        <v>0.597621777777778</v>
      </c>
      <c r="N51" s="59" t="n">
        <f aca="false">N23*INDEX($C$9:$G$9,N19)/(1-INDEX($C$9:$G$9,N19))</f>
        <v>1.21243646241774</v>
      </c>
      <c r="O51" s="59" t="n">
        <f aca="false">O23*INDEX($C$9:$G$9,O19)/(1-INDEX($C$9:$G$9,O19))</f>
        <v>1.31642355703548</v>
      </c>
      <c r="P51" s="59" t="n">
        <f aca="false">P23*INDEX($C$9:$G$9,P19)/(1-INDEX($C$9:$G$9,P19))</f>
        <v>1.42932931764706</v>
      </c>
      <c r="Q51" s="59" t="n">
        <f aca="false">Q23*INDEX($C$9:$G$9,Q19)/(1-INDEX($C$9:$G$9,Q19))</f>
        <v>2.17540708618276</v>
      </c>
      <c r="R51" s="59" t="n">
        <f aca="false">R23*INDEX($C$9:$G$9,R19)/(1-INDEX($C$9:$G$9,R19))</f>
        <v>2.33712047717823</v>
      </c>
      <c r="S51" s="59" t="n">
        <f aca="false">S23*INDEX($C$9:$G$9,S19)/(1-INDEX($C$9:$G$9,S19))</f>
        <v>2.510855168</v>
      </c>
    </row>
    <row r="52" customFormat="false" ht="15" hidden="false" customHeight="false" outlineLevel="0" collapsed="false">
      <c r="A52" s="51" t="s">
        <v>281</v>
      </c>
      <c r="B52" s="3" t="s">
        <v>208</v>
      </c>
      <c r="C52" s="58" t="n">
        <f aca="false">SUM(E52:G52)</f>
        <v>0</v>
      </c>
      <c r="D52" s="58" t="n">
        <f aca="false">SUM(H52:S52)</f>
        <v>18.0018951924504</v>
      </c>
      <c r="E52" s="59" t="n">
        <f aca="false">E51*E22</f>
        <v>0</v>
      </c>
      <c r="F52" s="59" t="n">
        <f aca="false">F51*F22</f>
        <v>0</v>
      </c>
      <c r="G52" s="59" t="n">
        <f aca="false">G51*G22</f>
        <v>0</v>
      </c>
      <c r="H52" s="59" t="n">
        <f aca="false">H51*H22</f>
        <v>0.172651548581103</v>
      </c>
      <c r="I52" s="59" t="n">
        <f aca="false">I51*I22</f>
        <v>0.185983242775426</v>
      </c>
      <c r="J52" s="59" t="n">
        <f aca="false">J51*J22</f>
        <v>0.200344375</v>
      </c>
      <c r="K52" s="59" t="n">
        <f aca="false">K51*K22</f>
        <v>0.633669953773737</v>
      </c>
      <c r="L52" s="59" t="n">
        <f aca="false">L51*L22</f>
        <v>0.688017954252125</v>
      </c>
      <c r="M52" s="59" t="n">
        <f aca="false">M51*M22</f>
        <v>0.747027222222222</v>
      </c>
      <c r="N52" s="59" t="n">
        <f aca="false">N51*N22</f>
        <v>1.69741104738483</v>
      </c>
      <c r="O52" s="59" t="n">
        <f aca="false">O51*O22</f>
        <v>1.84299297984968</v>
      </c>
      <c r="P52" s="59" t="n">
        <f aca="false">P51*P22</f>
        <v>2.00106104470588</v>
      </c>
      <c r="Q52" s="59" t="n">
        <f aca="false">Q51*Q22</f>
        <v>3.04556992065587</v>
      </c>
      <c r="R52" s="59" t="n">
        <f aca="false">R51*R22</f>
        <v>3.27196866804953</v>
      </c>
      <c r="S52" s="59" t="n">
        <f aca="false">S51*S22</f>
        <v>3.5151972352</v>
      </c>
    </row>
    <row r="53" customFormat="false" ht="15" hidden="false" customHeight="false" outlineLevel="0" collapsed="false">
      <c r="A53" s="51" t="s">
        <v>282</v>
      </c>
      <c r="B53" s="3" t="s">
        <v>10</v>
      </c>
      <c r="C53" s="56" t="n">
        <f aca="false">SUM(E53:G53)</f>
        <v>0</v>
      </c>
      <c r="D53" s="56" t="n">
        <f aca="false">SUM(H53:S53)</f>
        <v>2.62894141023314</v>
      </c>
      <c r="E53" s="57" t="n">
        <f aca="false">E51*$C$17</f>
        <v>0</v>
      </c>
      <c r="F53" s="57" t="n">
        <f aca="false">F51*$C$17</f>
        <v>0</v>
      </c>
      <c r="G53" s="57" t="n">
        <f aca="false">G51*$C$17</f>
        <v>0</v>
      </c>
      <c r="H53" s="57" t="n">
        <f aca="false">H51*$C$17</f>
        <v>0.0313911906511096</v>
      </c>
      <c r="I53" s="57" t="n">
        <f aca="false">I51*$C$17</f>
        <v>0.0338151350500775</v>
      </c>
      <c r="J53" s="57" t="n">
        <f aca="false">J51*$C$17</f>
        <v>0.03642625</v>
      </c>
      <c r="K53" s="57" t="n">
        <f aca="false">K51*$C$17</f>
        <v>0.101387192603798</v>
      </c>
      <c r="L53" s="57" t="n">
        <f aca="false">L51*$C$17</f>
        <v>0.11008287268034</v>
      </c>
      <c r="M53" s="57" t="n">
        <f aca="false">M51*$C$17</f>
        <v>0.119524355555556</v>
      </c>
      <c r="N53" s="57" t="n">
        <f aca="false">N51*$C$17</f>
        <v>0.242487292483547</v>
      </c>
      <c r="O53" s="57" t="n">
        <f aca="false">O51*$C$17</f>
        <v>0.263284711407097</v>
      </c>
      <c r="P53" s="57" t="n">
        <f aca="false">P51*$C$17</f>
        <v>0.285865863529412</v>
      </c>
      <c r="Q53" s="57" t="n">
        <f aca="false">Q51*$C$17</f>
        <v>0.435081417236553</v>
      </c>
      <c r="R53" s="57" t="n">
        <f aca="false">R51*$C$17</f>
        <v>0.467424095435647</v>
      </c>
      <c r="S53" s="57" t="n">
        <f aca="false">S51*$C$17</f>
        <v>0.5021710336</v>
      </c>
    </row>
    <row r="54" customFormat="false" ht="15" hidden="false" customHeight="false" outlineLevel="0" collapsed="false">
      <c r="A54" s="51" t="s">
        <v>283</v>
      </c>
      <c r="B54" s="3" t="s">
        <v>21</v>
      </c>
      <c r="C54" s="60"/>
      <c r="D54" s="60"/>
      <c r="E54" s="16" t="n">
        <f aca="false">IF(E23+E51=0,0,E51/(E23+E51))</f>
        <v>0</v>
      </c>
      <c r="F54" s="16" t="n">
        <f aca="false">IF(F23+F51=0,0,F51/(F23+F51))</f>
        <v>0</v>
      </c>
      <c r="G54" s="16" t="n">
        <f aca="false">IF(G23+G51=0,0,G51/(G23+G51))</f>
        <v>0</v>
      </c>
      <c r="H54" s="16" t="n">
        <f aca="false">IF(H23+H51=0,0,H51/(H23+H51))</f>
        <v>0.05</v>
      </c>
      <c r="I54" s="16" t="n">
        <f aca="false">IF(I23+I51=0,0,I51/(I23+I51))</f>
        <v>0.05</v>
      </c>
      <c r="J54" s="16" t="n">
        <f aca="false">IF(J23+J51=0,0,J51/(J23+J51))</f>
        <v>0.05</v>
      </c>
      <c r="K54" s="16" t="n">
        <f aca="false">IF(K23+K51=0,0,K51/(K23+K51))</f>
        <v>0.1</v>
      </c>
      <c r="L54" s="16" t="n">
        <f aca="false">IF(L23+L51=0,0,L51/(L23+L51))</f>
        <v>0.1</v>
      </c>
      <c r="M54" s="16" t="n">
        <f aca="false">IF(M23+M51=0,0,M51/(M23+M51))</f>
        <v>0.1</v>
      </c>
      <c r="N54" s="16" t="n">
        <f aca="false">IF(N23+N51=0,0,N51/(N23+N51))</f>
        <v>0.15</v>
      </c>
      <c r="O54" s="16" t="n">
        <f aca="false">IF(O23+O51=0,0,O51/(O23+O51))</f>
        <v>0.15</v>
      </c>
      <c r="P54" s="16" t="n">
        <f aca="false">IF(P23+P51=0,0,P51/(P23+P51))</f>
        <v>0.15</v>
      </c>
      <c r="Q54" s="16" t="n">
        <f aca="false">IF(Q23+Q51=0,0,Q51/(Q23+Q51))</f>
        <v>0.2</v>
      </c>
      <c r="R54" s="16" t="n">
        <f aca="false">IF(R23+R51=0,0,R51/(R23+R51))</f>
        <v>0.2</v>
      </c>
      <c r="S54" s="16" t="n">
        <f aca="false">IF(S23+S51=0,0,S51/(S23+S51))</f>
        <v>0.2</v>
      </c>
    </row>
    <row r="55" customFormat="false" ht="15" hidden="false" customHeight="false" outlineLevel="0" collapsed="false">
      <c r="A55" s="6" t="s">
        <v>284</v>
      </c>
    </row>
    <row r="56" customFormat="false" ht="15" hidden="false" customHeight="false" outlineLevel="0" collapsed="false">
      <c r="A56" s="51" t="s">
        <v>285</v>
      </c>
      <c r="B56" s="3" t="s">
        <v>10</v>
      </c>
      <c r="C56" s="56"/>
      <c r="D56" s="56"/>
      <c r="E56" s="57" t="n">
        <f aca="false">Inputs!$C$14*(1-Inputs!$C$21)*E22</f>
        <v>0.16865125</v>
      </c>
      <c r="F56" s="57" t="n">
        <f aca="false">Inputs!$C$14*(1-Inputs!$C$21)*F22</f>
        <v>0.16865125</v>
      </c>
      <c r="G56" s="57" t="n">
        <f aca="false">Inputs!$C$14*(1-Inputs!$C$21)*G22</f>
        <v>0.16865125</v>
      </c>
      <c r="H56" s="57" t="n">
        <f aca="false">Inputs!$C$14*(1-Inputs!$C$21)*H22</f>
        <v>0.185516375</v>
      </c>
      <c r="I56" s="57" t="n">
        <f aca="false">Inputs!$C$14*(1-Inputs!$C$21)*I22</f>
        <v>0.185516375</v>
      </c>
      <c r="J56" s="57" t="n">
        <f aca="false">Inputs!$C$14*(1-Inputs!$C$21)*J22</f>
        <v>0.185516375</v>
      </c>
      <c r="K56" s="57" t="n">
        <f aca="false">Inputs!$C$14*(1-Inputs!$C$21)*K22</f>
        <v>0.2108140625</v>
      </c>
      <c r="L56" s="57" t="n">
        <f aca="false">Inputs!$C$14*(1-Inputs!$C$21)*L22</f>
        <v>0.2108140625</v>
      </c>
      <c r="M56" s="57" t="n">
        <f aca="false">Inputs!$C$14*(1-Inputs!$C$21)*M22</f>
        <v>0.2108140625</v>
      </c>
      <c r="N56" s="57" t="n">
        <f aca="false">Inputs!$C$14*(1-Inputs!$C$21)*N22</f>
        <v>0.23611175</v>
      </c>
      <c r="O56" s="57" t="n">
        <f aca="false">Inputs!$C$14*(1-Inputs!$C$21)*O22</f>
        <v>0.23611175</v>
      </c>
      <c r="P56" s="57" t="n">
        <f aca="false">Inputs!$C$14*(1-Inputs!$C$21)*P22</f>
        <v>0.23611175</v>
      </c>
      <c r="Q56" s="57" t="n">
        <f aca="false">Inputs!$C$14*(1-Inputs!$C$21)*Q22</f>
        <v>0.23611175</v>
      </c>
      <c r="R56" s="57" t="n">
        <f aca="false">Inputs!$C$14*(1-Inputs!$C$21)*R22</f>
        <v>0.23611175</v>
      </c>
      <c r="S56" s="57" t="n">
        <f aca="false">Inputs!$C$14*(1-Inputs!$C$21)*S22</f>
        <v>0.23611175</v>
      </c>
    </row>
    <row r="57" customFormat="false" ht="15" hidden="false" customHeight="false" outlineLevel="0" collapsed="false">
      <c r="A57" s="51" t="s">
        <v>286</v>
      </c>
      <c r="B57" s="3" t="s">
        <v>10</v>
      </c>
      <c r="C57" s="56"/>
      <c r="D57" s="56"/>
      <c r="E57" s="57" t="n">
        <f aca="false">IF(E23=0,0,($K$17+Pay_Plan!E12)/E23)</f>
        <v>0.478527848532119</v>
      </c>
      <c r="F57" s="57" t="n">
        <f aca="false">IF(F23=0,0,($K$17+Pay_Plan!F12)/F23)</f>
        <v>0.456745843349762</v>
      </c>
      <c r="G57" s="57" t="n">
        <f aca="false">IF(G23=0,0,($K$17+Pay_Plan!G12)/G23)</f>
        <v>0.435955328529396</v>
      </c>
      <c r="H57" s="57" t="n">
        <f aca="false">IF(H23=0,0,($K$17+Pay_Plan!H12)/H23)</f>
        <v>1.50897178699264</v>
      </c>
      <c r="I57" s="57" t="n">
        <f aca="false">IF(I23=0,0,($K$17+Pay_Plan!I12)/I23)</f>
        <v>1.40080531934836</v>
      </c>
      <c r="J57" s="57" t="n">
        <f aca="false">IF(J23=0,0,($K$17+Pay_Plan!J12)/J23)</f>
        <v>1.30039246567054</v>
      </c>
      <c r="K57" s="57" t="n">
        <f aca="false">IF(K23=0,0,($K$17+Pay_Plan!K12)/K23)</f>
        <v>0.986317871437483</v>
      </c>
      <c r="L57" s="57" t="n">
        <f aca="false">IF(L23=0,0,($K$17+Pay_Plan!L12)/L23)</f>
        <v>0.908406526511906</v>
      </c>
      <c r="M57" s="57" t="n">
        <f aca="false">IF(M23=0,0,($K$17+Pay_Plan!M12)/M23)</f>
        <v>0.836649564310091</v>
      </c>
      <c r="N57" s="57" t="n">
        <f aca="false">IF(N23=0,0,($K$17+Pay_Plan!N12)/N23)</f>
        <v>0.654976711501453</v>
      </c>
      <c r="O57" s="57" t="n">
        <f aca="false">IF(O23=0,0,($K$17+Pay_Plan!O12)/O23)</f>
        <v>0.603238709011813</v>
      </c>
      <c r="P57" s="57" t="n">
        <f aca="false">IF(P23=0,0,($K$17+Pay_Plan!P12)/P23)</f>
        <v>0.55558760129967</v>
      </c>
      <c r="Q57" s="57" t="n">
        <f aca="false">IF(Q23=0,0,($K$17+Pay_Plan!Q12)/Q23)</f>
        <v>0.517144587394933</v>
      </c>
      <c r="R57" s="57" t="n">
        <f aca="false">IF(R23=0,0,($K$17+Pay_Plan!R12)/R23)</f>
        <v>0.481361577627479</v>
      </c>
      <c r="S57" s="57" t="n">
        <f aca="false">IF(S23=0,0,($K$17+Pay_Plan!S12)/S23)</f>
        <v>0.448054517177154</v>
      </c>
    </row>
    <row r="58" customFormat="false" ht="15" hidden="false" customHeight="false" outlineLevel="0" collapsed="false">
      <c r="A58" s="51" t="s">
        <v>287</v>
      </c>
      <c r="B58" s="3" t="s">
        <v>250</v>
      </c>
      <c r="C58" s="58"/>
      <c r="D58" s="58"/>
      <c r="E58" s="59" t="n">
        <f aca="false">IF(E57=0,0,E56/E57)</f>
        <v>0.352437690966861</v>
      </c>
      <c r="F58" s="59" t="n">
        <f aca="false">IF(F57=0,0,F56/F57)</f>
        <v>0.369245286969918</v>
      </c>
      <c r="G58" s="59" t="n">
        <f aca="false">IF(G57=0,0,G56/G57)</f>
        <v>0.38685442971625</v>
      </c>
      <c r="H58" s="59" t="n">
        <f aca="false">IF(H57=0,0,H56/H57)</f>
        <v>0.12294224226003</v>
      </c>
      <c r="I58" s="59" t="n">
        <f aca="false">IF(I57=0,0,I56/I57)</f>
        <v>0.132435515797656</v>
      </c>
      <c r="J58" s="59" t="n">
        <f aca="false">IF(J57=0,0,J56/J57)</f>
        <v>0.142661834713368</v>
      </c>
      <c r="K58" s="59" t="n">
        <f aca="false">IF(K57=0,0,K56/K57)</f>
        <v>0.213738459582766</v>
      </c>
      <c r="L58" s="59" t="n">
        <f aca="false">IF(L57=0,0,L56/L57)</f>
        <v>0.232070176014127</v>
      </c>
      <c r="M58" s="59" t="n">
        <f aca="false">IF(M57=0,0,M56/M57)</f>
        <v>0.251974149623611</v>
      </c>
      <c r="N58" s="59" t="n">
        <f aca="false">IF(N57=0,0,N56/N57)</f>
        <v>0.36048877136218</v>
      </c>
      <c r="O58" s="59" t="n">
        <f aca="false">IF(O57=0,0,O56/O57)</f>
        <v>0.391406828628062</v>
      </c>
      <c r="P58" s="59" t="n">
        <f aca="false">IF(P57=0,0,P56/P57)</f>
        <v>0.424976636353422</v>
      </c>
      <c r="Q58" s="59" t="n">
        <f aca="false">IF(Q57=0,0,Q56/Q57)</f>
        <v>0.456568154738679</v>
      </c>
      <c r="R58" s="59" t="n">
        <f aca="false">IF(R57=0,0,R56/R57)</f>
        <v>0.490508094068789</v>
      </c>
      <c r="S58" s="59" t="n">
        <f aca="false">IF(S57=0,0,S56/S57)</f>
        <v>0.526971029078243</v>
      </c>
    </row>
    <row r="59" customFormat="false" ht="15" hidden="false" customHeight="false" outlineLevel="0" collapsed="false">
      <c r="A59" s="51" t="s">
        <v>288</v>
      </c>
      <c r="B59" s="3" t="s">
        <v>250</v>
      </c>
      <c r="C59" s="58"/>
      <c r="D59" s="58"/>
      <c r="E59" s="59" t="n">
        <f aca="false">E56/$C$17</f>
        <v>0.84325625</v>
      </c>
      <c r="F59" s="59" t="n">
        <f aca="false">F56/$C$17</f>
        <v>0.84325625</v>
      </c>
      <c r="G59" s="59" t="n">
        <f aca="false">G56/$C$17</f>
        <v>0.84325625</v>
      </c>
      <c r="H59" s="59" t="n">
        <f aca="false">H56/$C$17</f>
        <v>0.927581875</v>
      </c>
      <c r="I59" s="59" t="n">
        <f aca="false">I56/$C$17</f>
        <v>0.927581875</v>
      </c>
      <c r="J59" s="59" t="n">
        <f aca="false">J56/$C$17</f>
        <v>0.927581875</v>
      </c>
      <c r="K59" s="59" t="n">
        <f aca="false">K56/$C$17</f>
        <v>1.0540703125</v>
      </c>
      <c r="L59" s="59" t="n">
        <f aca="false">L56/$C$17</f>
        <v>1.0540703125</v>
      </c>
      <c r="M59" s="59" t="n">
        <f aca="false">M56/$C$17</f>
        <v>1.0540703125</v>
      </c>
      <c r="N59" s="59" t="n">
        <f aca="false">N56/$C$17</f>
        <v>1.18055875</v>
      </c>
      <c r="O59" s="59" t="n">
        <f aca="false">O56/$C$17</f>
        <v>1.18055875</v>
      </c>
      <c r="P59" s="59" t="n">
        <f aca="false">P56/$C$17</f>
        <v>1.18055875</v>
      </c>
      <c r="Q59" s="59" t="n">
        <f aca="false">Q56/$C$17</f>
        <v>1.18055875</v>
      </c>
      <c r="R59" s="59" t="n">
        <f aca="false">R56/$C$17</f>
        <v>1.18055875</v>
      </c>
      <c r="S59" s="59" t="n">
        <f aca="false">S56/$C$17</f>
        <v>1.18055875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9" min="2" style="0" width="13"/>
  </cols>
  <sheetData>
    <row r="1" customFormat="false" ht="16.15" hidden="false" customHeight="false" outlineLevel="0" collapsed="false">
      <c r="A1" s="33" t="s">
        <v>289</v>
      </c>
    </row>
    <row r="2" customFormat="false" ht="15" hidden="false" customHeight="false" outlineLevel="0" collapsed="false">
      <c r="A2" s="34" t="s">
        <v>290</v>
      </c>
    </row>
    <row r="4" customFormat="false" ht="35.05" hidden="false" customHeight="false" outlineLevel="0" collapsed="false">
      <c r="A4" s="41" t="s">
        <v>291</v>
      </c>
      <c r="B4" s="41" t="s">
        <v>292</v>
      </c>
      <c r="C4" s="41" t="s">
        <v>293</v>
      </c>
      <c r="D4" s="41" t="s">
        <v>294</v>
      </c>
      <c r="E4" s="41" t="s">
        <v>295</v>
      </c>
      <c r="F4" s="41" t="s">
        <v>296</v>
      </c>
      <c r="G4" s="41" t="s">
        <v>297</v>
      </c>
      <c r="H4" s="41" t="s">
        <v>298</v>
      </c>
      <c r="I4" s="41" t="s">
        <v>299</v>
      </c>
    </row>
    <row r="5" customFormat="false" ht="15" hidden="false" customHeight="false" outlineLevel="0" collapsed="false">
      <c r="A5" s="37" t="s">
        <v>300</v>
      </c>
      <c r="B5" s="61" t="n">
        <v>0.5</v>
      </c>
      <c r="C5" s="61" t="n">
        <v>0.58</v>
      </c>
      <c r="D5" s="62" t="n">
        <v>0.6</v>
      </c>
      <c r="E5" s="63" t="n">
        <v>0.3</v>
      </c>
      <c r="F5" s="64" t="n">
        <f aca="false">B5*D5</f>
        <v>0.3</v>
      </c>
      <c r="G5" s="64" t="n">
        <f aca="false">C5*D5</f>
        <v>0.348</v>
      </c>
      <c r="H5" s="64" t="n">
        <f aca="false">B5-F5</f>
        <v>0.2</v>
      </c>
      <c r="I5" s="64" t="n">
        <f aca="false">C5-G5</f>
        <v>0.232</v>
      </c>
    </row>
    <row r="6" customFormat="false" ht="15" hidden="false" customHeight="false" outlineLevel="0" collapsed="false">
      <c r="A6" s="37" t="s">
        <v>301</v>
      </c>
      <c r="B6" s="61" t="n">
        <v>0.5</v>
      </c>
      <c r="C6" s="61" t="n">
        <v>0.58</v>
      </c>
      <c r="D6" s="62" t="n">
        <v>0.65</v>
      </c>
      <c r="E6" s="63" t="n">
        <v>0.35</v>
      </c>
      <c r="F6" s="64" t="n">
        <f aca="false">B6*D6</f>
        <v>0.325</v>
      </c>
      <c r="G6" s="64" t="n">
        <f aca="false">C6*D6</f>
        <v>0.377</v>
      </c>
      <c r="H6" s="64" t="n">
        <f aca="false">B6-F6</f>
        <v>0.175</v>
      </c>
      <c r="I6" s="64" t="n">
        <f aca="false">C6-G6</f>
        <v>0.203</v>
      </c>
    </row>
    <row r="7" customFormat="false" ht="15" hidden="false" customHeight="false" outlineLevel="0" collapsed="false">
      <c r="A7" s="37" t="s">
        <v>302</v>
      </c>
      <c r="B7" s="61" t="n">
        <v>0.725</v>
      </c>
      <c r="C7" s="61" t="n">
        <v>0.8</v>
      </c>
      <c r="D7" s="62" t="n">
        <v>0.65</v>
      </c>
      <c r="E7" s="63" t="n">
        <v>0.25</v>
      </c>
      <c r="F7" s="64" t="n">
        <f aca="false">B7*D7</f>
        <v>0.47125</v>
      </c>
      <c r="G7" s="64" t="n">
        <f aca="false">C7*D7</f>
        <v>0.52</v>
      </c>
      <c r="H7" s="64" t="n">
        <f aca="false">B7-F7</f>
        <v>0.25375</v>
      </c>
      <c r="I7" s="64" t="n">
        <f aca="false">C7-G7</f>
        <v>0.28</v>
      </c>
    </row>
    <row r="8" customFormat="false" ht="15" hidden="false" customHeight="false" outlineLevel="0" collapsed="false">
      <c r="A8" s="37" t="s">
        <v>303</v>
      </c>
      <c r="B8" s="61" t="n">
        <v>0.85</v>
      </c>
      <c r="C8" s="61" t="n">
        <v>0.925</v>
      </c>
      <c r="D8" s="62" t="n">
        <v>0.7</v>
      </c>
      <c r="E8" s="63" t="n">
        <v>0.1</v>
      </c>
      <c r="F8" s="64" t="n">
        <f aca="false">B8*D8</f>
        <v>0.595</v>
      </c>
      <c r="G8" s="64" t="n">
        <f aca="false">C8*D8</f>
        <v>0.6475</v>
      </c>
      <c r="H8" s="64" t="n">
        <f aca="false">B8-F8</f>
        <v>0.255</v>
      </c>
      <c r="I8" s="64" t="n">
        <f aca="false">C8-G8</f>
        <v>0.2775</v>
      </c>
    </row>
    <row r="9" customFormat="false" ht="15" hidden="false" customHeight="false" outlineLevel="0" collapsed="false">
      <c r="A9" s="34" t="s">
        <v>304</v>
      </c>
      <c r="E9" s="36" t="str">
        <f aca="false">IF(ABS(SUM(E5:E8)-1)&lt;0.0001,"OK","CHECK")</f>
        <v>OK</v>
      </c>
    </row>
    <row r="11" customFormat="false" ht="15" hidden="false" customHeight="false" outlineLevel="0" collapsed="false">
      <c r="A11" s="37" t="s">
        <v>305</v>
      </c>
      <c r="B11" s="63" t="n">
        <v>0.7</v>
      </c>
      <c r="C11" s="34" t="s">
        <v>306</v>
      </c>
    </row>
    <row r="12" customFormat="false" ht="15" hidden="false" customHeight="false" outlineLevel="0" collapsed="false">
      <c r="A12" s="37" t="s">
        <v>307</v>
      </c>
      <c r="B12" s="65" t="n">
        <v>0.05</v>
      </c>
      <c r="C12" s="34" t="s">
        <v>308</v>
      </c>
    </row>
    <row r="13" customFormat="false" ht="15" hidden="false" customHeight="false" outlineLevel="0" collapsed="false">
      <c r="A13" s="37" t="s">
        <v>309</v>
      </c>
      <c r="B13" s="62" t="n">
        <v>0.1</v>
      </c>
      <c r="C13" s="34" t="s">
        <v>310</v>
      </c>
    </row>
    <row r="14" customFormat="false" ht="15" hidden="false" customHeight="false" outlineLevel="0" collapsed="false">
      <c r="A14" s="37" t="s">
        <v>311</v>
      </c>
      <c r="B14" s="40" t="n">
        <f aca="false">Inputs!$C$136</f>
        <v>0</v>
      </c>
      <c r="C14" s="34" t="s">
        <v>312</v>
      </c>
    </row>
    <row r="15" customFormat="false" ht="15" hidden="false" customHeight="false" outlineLevel="0" collapsed="false">
      <c r="A15" s="39" t="s">
        <v>313</v>
      </c>
    </row>
    <row r="16" customFormat="false" ht="15" hidden="false" customHeight="false" outlineLevel="0" collapsed="false">
      <c r="A16" s="37" t="s">
        <v>314</v>
      </c>
      <c r="B16" s="64" t="n">
        <f aca="false">SUMPRODUCT(E5:E8,B5:B8)*B11+SUMPRODUCT(E5:E8,C5:C8)*(1-B11)</f>
        <v>0.614725</v>
      </c>
    </row>
    <row r="17" customFormat="false" ht="15" hidden="false" customHeight="false" outlineLevel="0" collapsed="false">
      <c r="A17" s="37" t="s">
        <v>315</v>
      </c>
      <c r="B17" s="64" t="n">
        <f aca="false">SUMPRODUCT(E5:E8,F5:F8)*B11+SUMPRODUCT(E5:E8,G5:G8)*(1-B11)</f>
        <v>0.39607375</v>
      </c>
    </row>
    <row r="18" customFormat="false" ht="15" hidden="false" customHeight="false" outlineLevel="0" collapsed="false">
      <c r="A18" s="36" t="s">
        <v>316</v>
      </c>
      <c r="B18" s="64" t="n">
        <f aca="false">B16*(1-B14*B13)</f>
        <v>0.614725</v>
      </c>
    </row>
    <row r="19" customFormat="false" ht="15" hidden="false" customHeight="false" outlineLevel="0" collapsed="false">
      <c r="A19" s="37" t="s">
        <v>317</v>
      </c>
      <c r="B19" s="64" t="n">
        <f aca="false">B17*(1-B14*B13)</f>
        <v>0.39607375</v>
      </c>
    </row>
    <row r="20" customFormat="false" ht="15" hidden="false" customHeight="false" outlineLevel="0" collapsed="false">
      <c r="A20" s="36" t="s">
        <v>318</v>
      </c>
      <c r="B20" s="64" t="n">
        <f aca="false">B18-B19-B12</f>
        <v>0.16865125</v>
      </c>
    </row>
    <row r="21" customFormat="false" ht="15" hidden="false" customHeight="false" outlineLevel="0" collapsed="false">
      <c r="A21" s="36" t="s">
        <v>319</v>
      </c>
      <c r="B21" s="40" t="n">
        <f aca="false">(B19+B12)/B18</f>
        <v>0.725647647321973</v>
      </c>
    </row>
    <row r="22" customFormat="false" ht="15" hidden="false" customHeight="false" outlineLevel="0" collapsed="false">
      <c r="A22" s="37" t="s">
        <v>320</v>
      </c>
      <c r="B22" s="64" t="n">
        <f aca="false">Inputs!$C$134</f>
        <v>1</v>
      </c>
    </row>
    <row r="23" customFormat="false" ht="15" hidden="false" customHeight="false" outlineLevel="0" collapsed="false">
      <c r="A23" s="37" t="s">
        <v>321</v>
      </c>
      <c r="B23" s="64" t="n">
        <f aca="false">Inputs!$C$134*(1-Inputs!$C$135)</f>
        <v>0.6</v>
      </c>
    </row>
    <row r="24" customFormat="false" ht="15" hidden="false" customHeight="false" outlineLevel="0" collapsed="false">
      <c r="A24" s="37" t="s">
        <v>322</v>
      </c>
      <c r="B24" s="40" t="n">
        <f aca="false">B20/B23-1</f>
        <v>-0.718914583333333</v>
      </c>
    </row>
    <row r="26" customFormat="false" ht="15" hidden="false" customHeight="false" outlineLevel="0" collapsed="false">
      <c r="A26" s="39" t="s">
        <v>323</v>
      </c>
    </row>
    <row r="27" customFormat="false" ht="15" hidden="false" customHeight="false" outlineLevel="0" collapsed="false">
      <c r="A27" s="37" t="s">
        <v>324</v>
      </c>
      <c r="B27" s="61" t="n">
        <v>1.625</v>
      </c>
      <c r="C27" s="34" t="s">
        <v>325</v>
      </c>
    </row>
    <row r="28" customFormat="false" ht="15" hidden="false" customHeight="false" outlineLevel="0" collapsed="false">
      <c r="A28" s="37" t="s">
        <v>326</v>
      </c>
      <c r="B28" s="61" t="n">
        <v>0.725</v>
      </c>
      <c r="C28" s="34" t="s">
        <v>327</v>
      </c>
    </row>
    <row r="29" customFormat="false" ht="15" hidden="false" customHeight="false" outlineLevel="0" collapsed="false">
      <c r="A29" s="37" t="s">
        <v>328</v>
      </c>
      <c r="B29" s="61" t="n">
        <v>1.225</v>
      </c>
      <c r="C29" s="34" t="s">
        <v>329</v>
      </c>
    </row>
    <row r="30" customFormat="false" ht="15" hidden="false" customHeight="false" outlineLevel="0" collapsed="false">
      <c r="A30" s="37" t="s">
        <v>330</v>
      </c>
      <c r="B30" s="61" t="n">
        <v>0.375</v>
      </c>
      <c r="C30" s="34" t="s">
        <v>331</v>
      </c>
    </row>
    <row r="32" customFormat="false" ht="15" hidden="false" customHeight="false" outlineLevel="0" collapsed="false">
      <c r="A32" s="34" t="s">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19" min="2" style="0" width="10"/>
  </cols>
  <sheetData>
    <row r="1" customFormat="false" ht="16.15" hidden="false" customHeight="false" outlineLevel="0" collapsed="false">
      <c r="A1" s="33" t="s">
        <v>333</v>
      </c>
    </row>
    <row r="2" customFormat="false" ht="15" hidden="false" customHeight="false" outlineLevel="0" collapsed="false">
      <c r="A2" s="34" t="s">
        <v>334</v>
      </c>
    </row>
    <row r="4" customFormat="false" ht="35.05" hidden="false" customHeight="false" outlineLevel="0" collapsed="false">
      <c r="A4" s="41" t="s">
        <v>335</v>
      </c>
      <c r="B4" s="41" t="s">
        <v>336</v>
      </c>
      <c r="C4" s="41" t="s">
        <v>337</v>
      </c>
      <c r="D4" s="41" t="s">
        <v>338</v>
      </c>
      <c r="E4" s="41" t="s">
        <v>339</v>
      </c>
      <c r="F4" s="41" t="s">
        <v>340</v>
      </c>
      <c r="G4" s="41" t="s">
        <v>341</v>
      </c>
      <c r="H4" s="41" t="s">
        <v>342</v>
      </c>
      <c r="I4" s="41" t="s">
        <v>343</v>
      </c>
    </row>
    <row r="5" customFormat="false" ht="15" hidden="false" customHeight="false" outlineLevel="0" collapsed="false">
      <c r="A5" s="37" t="s">
        <v>344</v>
      </c>
      <c r="B5" s="66" t="n">
        <v>7.5</v>
      </c>
      <c r="C5" s="66" t="n">
        <v>5.925</v>
      </c>
      <c r="D5" s="67" t="n">
        <v>15</v>
      </c>
      <c r="E5" s="63" t="n">
        <v>0.25</v>
      </c>
      <c r="F5" s="40" t="n">
        <f aca="false">1-C5/B5</f>
        <v>0.21</v>
      </c>
      <c r="G5" s="68" t="n">
        <f aca="false">B5/C5</f>
        <v>1.26582278481013</v>
      </c>
      <c r="H5" s="68" t="n">
        <f aca="false">C5/(1-0.3)</f>
        <v>8.46428571428572</v>
      </c>
      <c r="I5" s="68" t="n">
        <f aca="false">MAX(0,H5-B5)</f>
        <v>0.964285714285715</v>
      </c>
    </row>
    <row r="6" customFormat="false" ht="15" hidden="false" customHeight="false" outlineLevel="0" collapsed="false">
      <c r="A6" s="37" t="s">
        <v>345</v>
      </c>
      <c r="B6" s="66" t="n">
        <v>14</v>
      </c>
      <c r="C6" s="66" t="n">
        <v>10.7</v>
      </c>
      <c r="D6" s="67" t="n">
        <v>24</v>
      </c>
      <c r="E6" s="63" t="n">
        <v>0.35</v>
      </c>
      <c r="F6" s="40" t="n">
        <f aca="false">1-C6/B6</f>
        <v>0.235714285714286</v>
      </c>
      <c r="G6" s="68" t="n">
        <f aca="false">B6/C6</f>
        <v>1.30841121495327</v>
      </c>
      <c r="H6" s="68" t="n">
        <f aca="false">C6/(1-0.3)</f>
        <v>15.2857142857143</v>
      </c>
      <c r="I6" s="68" t="n">
        <f aca="false">MAX(0,H6-B6)</f>
        <v>1.28571428571429</v>
      </c>
    </row>
    <row r="7" customFormat="false" ht="15" hidden="false" customHeight="false" outlineLevel="0" collapsed="false">
      <c r="A7" s="37" t="s">
        <v>346</v>
      </c>
      <c r="B7" s="66" t="n">
        <v>23</v>
      </c>
      <c r="C7" s="66" t="n">
        <v>16.64</v>
      </c>
      <c r="D7" s="67" t="n">
        <v>36</v>
      </c>
      <c r="E7" s="63" t="n">
        <v>0.25</v>
      </c>
      <c r="F7" s="40" t="n">
        <f aca="false">1-C7/B7</f>
        <v>0.276521739130435</v>
      </c>
      <c r="G7" s="68" t="n">
        <f aca="false">B7/C7</f>
        <v>1.38221153846154</v>
      </c>
      <c r="H7" s="68" t="n">
        <f aca="false">C7/(1-0.3)</f>
        <v>23.7714285714286</v>
      </c>
      <c r="I7" s="68" t="n">
        <f aca="false">MAX(0,H7-B7)</f>
        <v>0.771428571428572</v>
      </c>
    </row>
    <row r="8" customFormat="false" ht="15" hidden="false" customHeight="false" outlineLevel="0" collapsed="false">
      <c r="A8" s="37" t="s">
        <v>347</v>
      </c>
      <c r="B8" s="66" t="n">
        <v>20</v>
      </c>
      <c r="C8" s="66" t="n">
        <v>18.74</v>
      </c>
      <c r="D8" s="67" t="n">
        <v>36</v>
      </c>
      <c r="E8" s="63" t="n">
        <v>0.05</v>
      </c>
      <c r="F8" s="40" t="n">
        <f aca="false">1-C8/B8</f>
        <v>0.0630000000000001</v>
      </c>
      <c r="G8" s="68" t="n">
        <f aca="false">B8/C8</f>
        <v>1.06723585912487</v>
      </c>
      <c r="H8" s="68" t="n">
        <f aca="false">C8/(1-0.3)</f>
        <v>26.7714285714286</v>
      </c>
      <c r="I8" s="68" t="n">
        <f aca="false">MAX(0,H8-B8)</f>
        <v>6.77142857142857</v>
      </c>
    </row>
    <row r="9" customFormat="false" ht="15" hidden="false" customHeight="false" outlineLevel="0" collapsed="false">
      <c r="A9" s="37" t="s">
        <v>348</v>
      </c>
      <c r="B9" s="66" t="n">
        <v>20</v>
      </c>
      <c r="C9" s="66" t="n">
        <v>16.64</v>
      </c>
      <c r="D9" s="67" t="n">
        <v>36</v>
      </c>
      <c r="E9" s="63" t="n">
        <v>0.1</v>
      </c>
      <c r="F9" s="40" t="n">
        <f aca="false">1-C9/B9</f>
        <v>0.168</v>
      </c>
      <c r="G9" s="68" t="n">
        <f aca="false">B9/C9</f>
        <v>1.20192307692308</v>
      </c>
      <c r="H9" s="68" t="n">
        <f aca="false">C9/(1-0.3)</f>
        <v>23.7714285714286</v>
      </c>
      <c r="I9" s="68" t="n">
        <f aca="false">MAX(0,H9-B9)</f>
        <v>3.77142857142857</v>
      </c>
    </row>
    <row r="10" customFormat="false" ht="15" hidden="false" customHeight="false" outlineLevel="0" collapsed="false">
      <c r="A10" s="36" t="s">
        <v>349</v>
      </c>
      <c r="B10" s="69" t="n">
        <f aca="false">SUMPRODUCT($E$5:$E$9,B5:B9)</f>
        <v>15.525</v>
      </c>
      <c r="C10" s="69" t="n">
        <f aca="false">SUMPRODUCT($E$5:$E$9,C5:C9)</f>
        <v>11.98725</v>
      </c>
      <c r="D10" s="69" t="n">
        <f aca="false">SUMPRODUCT($E$5:$E$9,D5:D9)</f>
        <v>26.55</v>
      </c>
      <c r="E10" s="44" t="n">
        <f aca="false">SUM(E5:E9)</f>
        <v>1</v>
      </c>
      <c r="F10" s="44" t="n">
        <f aca="false">1-C10/B10</f>
        <v>0.227874396135266</v>
      </c>
      <c r="G10" s="69" t="n">
        <f aca="false">B10/C10</f>
        <v>1.29512607145092</v>
      </c>
    </row>
    <row r="11" customFormat="false" ht="15" hidden="false" customHeight="false" outlineLevel="0" collapsed="false">
      <c r="A11" s="34" t="s">
        <v>350</v>
      </c>
    </row>
    <row r="13" customFormat="false" ht="15" hidden="false" customHeight="false" outlineLevel="0" collapsed="false">
      <c r="A13" s="39" t="s">
        <v>351</v>
      </c>
    </row>
    <row r="14" customFormat="false" ht="15" hidden="false" customHeight="false" outlineLevel="0" collapsed="false">
      <c r="A14" s="35" t="s">
        <v>176</v>
      </c>
      <c r="B14" s="35" t="s">
        <v>6</v>
      </c>
      <c r="C14" s="35" t="s">
        <v>177</v>
      </c>
      <c r="D14" s="35" t="s">
        <v>178</v>
      </c>
      <c r="E14" s="35" t="str">
        <f aca="false">Volume!E4</f>
        <v>Oct-26</v>
      </c>
      <c r="F14" s="35" t="str">
        <f aca="false">Volume!F4</f>
        <v>Nov-26</v>
      </c>
      <c r="G14" s="35" t="str">
        <f aca="false">Volume!G4</f>
        <v>Dec-26</v>
      </c>
      <c r="H14" s="35" t="str">
        <f aca="false">Volume!H4</f>
        <v>Jan-27</v>
      </c>
      <c r="I14" s="35" t="str">
        <f aca="false">Volume!I4</f>
        <v>Feb-27</v>
      </c>
      <c r="J14" s="35" t="str">
        <f aca="false">Volume!J4</f>
        <v>Mar-27</v>
      </c>
      <c r="K14" s="35" t="str">
        <f aca="false">Volume!K4</f>
        <v>Apr-27</v>
      </c>
      <c r="L14" s="35" t="str">
        <f aca="false">Volume!L4</f>
        <v>May-27</v>
      </c>
      <c r="M14" s="35" t="str">
        <f aca="false">Volume!M4</f>
        <v>Jun-27</v>
      </c>
      <c r="N14" s="35" t="str">
        <f aca="false">Volume!N4</f>
        <v>Jul-27</v>
      </c>
      <c r="O14" s="35" t="str">
        <f aca="false">Volume!O4</f>
        <v>Aug-27</v>
      </c>
      <c r="P14" s="35" t="str">
        <f aca="false">Volume!P4</f>
        <v>Sep-27</v>
      </c>
      <c r="Q14" s="35" t="str">
        <f aca="false">Volume!Q4</f>
        <v>Oct-27</v>
      </c>
      <c r="R14" s="35" t="str">
        <f aca="false">Volume!R4</f>
        <v>Nov-27</v>
      </c>
      <c r="S14" s="35" t="str">
        <f aca="false">Volume!S4</f>
        <v>Dec-27</v>
      </c>
    </row>
    <row r="15" customFormat="false" ht="15" hidden="false" customHeight="false" outlineLevel="0" collapsed="false">
      <c r="A15" s="37" t="s">
        <v>352</v>
      </c>
      <c r="B15" s="37" t="s">
        <v>202</v>
      </c>
      <c r="C15" s="70" t="n">
        <f aca="false">SUM(E15:G15)</f>
        <v>1</v>
      </c>
      <c r="D15" s="70" t="n">
        <f aca="false">SUM(H15:S15)</f>
        <v>10</v>
      </c>
      <c r="E15" s="71" t="n">
        <v>0</v>
      </c>
      <c r="F15" s="71" t="n">
        <v>1</v>
      </c>
      <c r="G15" s="71" t="n">
        <v>0</v>
      </c>
      <c r="H15" s="71" t="n">
        <v>0</v>
      </c>
      <c r="I15" s="71" t="n">
        <v>1</v>
      </c>
      <c r="J15" s="71" t="n">
        <v>1</v>
      </c>
      <c r="K15" s="71" t="n">
        <v>1</v>
      </c>
      <c r="L15" s="71" t="n">
        <v>1</v>
      </c>
      <c r="M15" s="71" t="n">
        <v>0</v>
      </c>
      <c r="N15" s="71" t="n">
        <v>1</v>
      </c>
      <c r="O15" s="71" t="n">
        <v>1</v>
      </c>
      <c r="P15" s="71" t="n">
        <v>1</v>
      </c>
      <c r="Q15" s="71" t="n">
        <v>2</v>
      </c>
      <c r="R15" s="71" t="n">
        <v>1</v>
      </c>
      <c r="S15" s="71" t="n">
        <v>0</v>
      </c>
    </row>
    <row r="16" customFormat="false" ht="15" hidden="false" customHeight="false" outlineLevel="0" collapsed="false">
      <c r="A16" s="37" t="s">
        <v>353</v>
      </c>
      <c r="B16" s="37" t="s">
        <v>216</v>
      </c>
      <c r="C16" s="70" t="n">
        <f aca="false">SUM(E16:G16)</f>
        <v>0</v>
      </c>
      <c r="D16" s="70" t="n">
        <f aca="false">SUM(H16:S16)</f>
        <v>6</v>
      </c>
      <c r="E16" s="71" t="n">
        <v>0</v>
      </c>
      <c r="F16" s="71" t="n">
        <v>0</v>
      </c>
      <c r="G16" s="71" t="n">
        <v>0</v>
      </c>
      <c r="H16" s="71" t="n">
        <v>0</v>
      </c>
      <c r="I16" s="71" t="n">
        <v>1</v>
      </c>
      <c r="J16" s="71" t="n">
        <v>0</v>
      </c>
      <c r="K16" s="71" t="n">
        <v>0</v>
      </c>
      <c r="L16" s="71" t="n">
        <v>0</v>
      </c>
      <c r="M16" s="71" t="n">
        <v>0</v>
      </c>
      <c r="N16" s="71" t="n">
        <v>1</v>
      </c>
      <c r="O16" s="71" t="n">
        <v>1</v>
      </c>
      <c r="P16" s="71" t="n">
        <v>1</v>
      </c>
      <c r="Q16" s="71" t="n">
        <v>1</v>
      </c>
      <c r="R16" s="71" t="n">
        <v>1</v>
      </c>
      <c r="S16" s="71" t="n">
        <v>0</v>
      </c>
    </row>
    <row r="18" customFormat="false" ht="15" hidden="false" customHeight="false" outlineLevel="0" collapsed="false">
      <c r="A18" s="34"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16"/>
    <col collapsed="false" customWidth="true" hidden="false" outlineLevel="0" max="2" min="2" style="0" width="58"/>
    <col collapsed="false" customWidth="true" hidden="false" outlineLevel="0" max="3" min="3" style="0" width="12"/>
    <col collapsed="false" customWidth="true" hidden="false" outlineLevel="0" max="4" min="4" style="0" width="18"/>
    <col collapsed="false" customWidth="true" hidden="false" outlineLevel="0" max="5" min="5" style="0" width="20"/>
    <col collapsed="false" customWidth="true" hidden="false" outlineLevel="0" max="6" min="6" style="0" width="80"/>
  </cols>
  <sheetData>
    <row r="1" customFormat="false" ht="17.25" hidden="false" customHeight="true" outlineLevel="0" collapsed="false">
      <c r="A1" s="1" t="s">
        <v>355</v>
      </c>
      <c r="B1" s="2"/>
      <c r="C1" s="2"/>
      <c r="D1" s="2"/>
      <c r="E1" s="2"/>
      <c r="F1" s="2"/>
    </row>
    <row r="2" customFormat="false" ht="45" hidden="false" customHeight="true" outlineLevel="0" collapsed="false">
      <c r="A2" s="72" t="s">
        <v>356</v>
      </c>
      <c r="B2" s="72"/>
      <c r="C2" s="72"/>
      <c r="D2" s="72"/>
      <c r="E2" s="72"/>
      <c r="F2" s="72"/>
    </row>
    <row r="3" customFormat="false" ht="15" hidden="false" customHeight="true" outlineLevel="0" collapsed="false">
      <c r="A3" s="2"/>
      <c r="B3" s="2"/>
      <c r="C3" s="2"/>
      <c r="D3" s="2"/>
      <c r="E3" s="2"/>
      <c r="F3" s="2"/>
    </row>
    <row r="4" customFormat="false" ht="15" hidden="false" customHeight="true" outlineLevel="0" collapsed="false">
      <c r="A4" s="5" t="s">
        <v>357</v>
      </c>
      <c r="B4" s="5" t="s">
        <v>137</v>
      </c>
      <c r="C4" s="5" t="s">
        <v>358</v>
      </c>
      <c r="D4" s="5" t="s">
        <v>6</v>
      </c>
      <c r="E4" s="5" t="s">
        <v>359</v>
      </c>
      <c r="F4" s="5" t="s">
        <v>360</v>
      </c>
    </row>
    <row r="5" customFormat="false" ht="15" hidden="false" customHeight="true" outlineLevel="0" collapsed="false">
      <c r="A5" s="6" t="s">
        <v>361</v>
      </c>
      <c r="B5" s="7"/>
      <c r="C5" s="7"/>
      <c r="D5" s="7"/>
      <c r="E5" s="7"/>
      <c r="F5" s="7"/>
    </row>
    <row r="6" customFormat="false" ht="26.25" hidden="false" customHeight="true" outlineLevel="0" collapsed="false">
      <c r="A6" s="3" t="s">
        <v>362</v>
      </c>
      <c r="B6" s="2" t="s">
        <v>363</v>
      </c>
      <c r="C6" s="73" t="n">
        <v>1</v>
      </c>
      <c r="D6" s="2" t="s">
        <v>364</v>
      </c>
      <c r="E6" s="2" t="s">
        <v>365</v>
      </c>
      <c r="F6" s="74" t="s">
        <v>366</v>
      </c>
    </row>
    <row r="7" customFormat="false" ht="15" hidden="false" customHeight="true" outlineLevel="0" collapsed="false">
      <c r="A7" s="3" t="s">
        <v>367</v>
      </c>
      <c r="B7" s="2" t="s">
        <v>368</v>
      </c>
      <c r="C7" s="75" t="n">
        <v>0.3</v>
      </c>
      <c r="D7" s="2" t="s">
        <v>21</v>
      </c>
      <c r="E7" s="2" t="s">
        <v>365</v>
      </c>
      <c r="F7" s="74" t="s">
        <v>369</v>
      </c>
    </row>
    <row r="8" customFormat="false" ht="15" hidden="false" customHeight="true" outlineLevel="0" collapsed="false">
      <c r="A8" s="6" t="s">
        <v>370</v>
      </c>
      <c r="B8" s="7"/>
      <c r="C8" s="7"/>
      <c r="D8" s="7"/>
      <c r="E8" s="7"/>
      <c r="F8" s="7"/>
    </row>
    <row r="9" customFormat="false" ht="15" hidden="false" customHeight="true" outlineLevel="0" collapsed="false">
      <c r="A9" s="3" t="s">
        <v>371</v>
      </c>
      <c r="B9" s="2" t="s">
        <v>372</v>
      </c>
      <c r="C9" s="76" t="n">
        <v>85</v>
      </c>
      <c r="D9" s="2" t="s">
        <v>373</v>
      </c>
      <c r="E9" s="2" t="s">
        <v>365</v>
      </c>
      <c r="F9" s="74" t="s">
        <v>374</v>
      </c>
    </row>
    <row r="10" customFormat="false" ht="15" hidden="false" customHeight="true" outlineLevel="0" collapsed="false">
      <c r="A10" s="3" t="s">
        <v>375</v>
      </c>
      <c r="B10" s="2" t="s">
        <v>376</v>
      </c>
      <c r="C10" s="76" t="n">
        <v>20</v>
      </c>
      <c r="D10" s="2" t="s">
        <v>373</v>
      </c>
      <c r="E10" s="2" t="s">
        <v>365</v>
      </c>
      <c r="F10" s="74" t="s">
        <v>374</v>
      </c>
    </row>
    <row r="11" customFormat="false" ht="15" hidden="false" customHeight="true" outlineLevel="0" collapsed="false">
      <c r="A11" s="3" t="s">
        <v>377</v>
      </c>
      <c r="B11" s="2" t="s">
        <v>378</v>
      </c>
      <c r="C11" s="76" t="n">
        <v>35</v>
      </c>
      <c r="D11" s="2" t="s">
        <v>373</v>
      </c>
      <c r="E11" s="2" t="s">
        <v>365</v>
      </c>
      <c r="F11" s="74" t="s">
        <v>374</v>
      </c>
    </row>
    <row r="12" customFormat="false" ht="15" hidden="false" customHeight="true" outlineLevel="0" collapsed="false">
      <c r="A12" s="3" t="s">
        <v>379</v>
      </c>
      <c r="B12" s="2" t="s">
        <v>380</v>
      </c>
      <c r="C12" s="76" t="n">
        <v>15</v>
      </c>
      <c r="D12" s="2" t="s">
        <v>381</v>
      </c>
      <c r="E12" s="2" t="s">
        <v>365</v>
      </c>
      <c r="F12" s="74" t="s">
        <v>374</v>
      </c>
    </row>
    <row r="13" customFormat="false" ht="15" hidden="false" customHeight="true" outlineLevel="0" collapsed="false">
      <c r="A13" s="3" t="s">
        <v>382</v>
      </c>
      <c r="B13" s="2" t="s">
        <v>383</v>
      </c>
      <c r="C13" s="77" t="n">
        <f aca="false">IF(Inputs!$C$131=1,Inputs!$C$137,Inputs!$C$139)</f>
        <v>4.144</v>
      </c>
      <c r="D13" s="2" t="s">
        <v>373</v>
      </c>
      <c r="E13" s="2" t="s">
        <v>365</v>
      </c>
      <c r="F13" s="74" t="s">
        <v>384</v>
      </c>
    </row>
    <row r="14" customFormat="false" ht="15" hidden="false" customHeight="true" outlineLevel="0" collapsed="false">
      <c r="A14" s="3" t="s">
        <v>385</v>
      </c>
      <c r="B14" s="2" t="s">
        <v>386</v>
      </c>
      <c r="C14" s="77" t="n">
        <f aca="false">IF(Inputs!$C$131=1,Inputs!$C$132,Inputs!$C$134)</f>
        <v>0.614725</v>
      </c>
      <c r="D14" s="2" t="s">
        <v>387</v>
      </c>
      <c r="E14" s="2" t="s">
        <v>365</v>
      </c>
      <c r="F14" s="74" t="s">
        <v>388</v>
      </c>
    </row>
    <row r="15" customFormat="false" ht="15" hidden="false" customHeight="true" outlineLevel="0" collapsed="false">
      <c r="A15" s="6" t="s">
        <v>389</v>
      </c>
      <c r="B15" s="7"/>
      <c r="C15" s="7"/>
      <c r="D15" s="7"/>
      <c r="E15" s="7"/>
      <c r="F15" s="7"/>
    </row>
    <row r="16" customFormat="false" ht="15" hidden="false" customHeight="true" outlineLevel="0" collapsed="false">
      <c r="A16" s="3" t="s">
        <v>390</v>
      </c>
      <c r="B16" s="2" t="s">
        <v>391</v>
      </c>
      <c r="C16" s="76" t="n">
        <v>25</v>
      </c>
      <c r="D16" s="2" t="s">
        <v>373</v>
      </c>
      <c r="E16" s="2" t="s">
        <v>365</v>
      </c>
      <c r="F16" s="74" t="s">
        <v>392</v>
      </c>
    </row>
    <row r="17" customFormat="false" ht="26.25" hidden="false" customHeight="true" outlineLevel="0" collapsed="false">
      <c r="A17" s="3" t="s">
        <v>393</v>
      </c>
      <c r="B17" s="2" t="s">
        <v>394</v>
      </c>
      <c r="C17" s="76" t="n">
        <v>8</v>
      </c>
      <c r="D17" s="2" t="s">
        <v>373</v>
      </c>
      <c r="E17" s="2" t="s">
        <v>365</v>
      </c>
      <c r="F17" s="74" t="s">
        <v>395</v>
      </c>
    </row>
    <row r="18" customFormat="false" ht="15" hidden="false" customHeight="true" outlineLevel="0" collapsed="false">
      <c r="A18" s="3" t="s">
        <v>396</v>
      </c>
      <c r="B18" s="2" t="s">
        <v>397</v>
      </c>
      <c r="C18" s="76" t="n">
        <v>12</v>
      </c>
      <c r="D18" s="2" t="s">
        <v>373</v>
      </c>
      <c r="E18" s="2" t="s">
        <v>365</v>
      </c>
      <c r="F18" s="74" t="s">
        <v>374</v>
      </c>
    </row>
    <row r="19" customFormat="false" ht="15" hidden="false" customHeight="true" outlineLevel="0" collapsed="false">
      <c r="A19" s="3" t="s">
        <v>398</v>
      </c>
      <c r="B19" s="2" t="s">
        <v>399</v>
      </c>
      <c r="C19" s="76" t="n">
        <v>5</v>
      </c>
      <c r="D19" s="2" t="s">
        <v>381</v>
      </c>
      <c r="E19" s="2" t="s">
        <v>365</v>
      </c>
      <c r="F19" s="74" t="s">
        <v>400</v>
      </c>
    </row>
    <row r="20" customFormat="false" ht="15" hidden="false" customHeight="true" outlineLevel="0" collapsed="false">
      <c r="A20" s="3" t="s">
        <v>401</v>
      </c>
      <c r="B20" s="2" t="s">
        <v>402</v>
      </c>
      <c r="C20" s="77" t="n">
        <f aca="false">IF(Inputs!$C$131=1,Inputs!$C$138,Inputs!$C$140)</f>
        <v>2.73</v>
      </c>
      <c r="D20" s="2" t="s">
        <v>373</v>
      </c>
      <c r="E20" s="2" t="s">
        <v>365</v>
      </c>
      <c r="F20" s="74" t="s">
        <v>403</v>
      </c>
    </row>
    <row r="21" customFormat="false" ht="15" hidden="false" customHeight="true" outlineLevel="0" collapsed="false">
      <c r="A21" s="3" t="s">
        <v>404</v>
      </c>
      <c r="B21" s="2" t="s">
        <v>405</v>
      </c>
      <c r="C21" s="78" t="n">
        <f aca="false">IF(Inputs!$C$131=1,Inputs!$C$133,Inputs!$C$135)</f>
        <v>0.725647647321973</v>
      </c>
      <c r="D21" s="2" t="s">
        <v>406</v>
      </c>
      <c r="E21" s="2" t="s">
        <v>365</v>
      </c>
      <c r="F21" s="74" t="s">
        <v>407</v>
      </c>
    </row>
    <row r="22" customFormat="false" ht="15" hidden="false" customHeight="true" outlineLevel="0" collapsed="false">
      <c r="A22" s="3" t="s">
        <v>408</v>
      </c>
      <c r="B22" s="2" t="s">
        <v>409</v>
      </c>
      <c r="C22" s="79" t="n">
        <v>1</v>
      </c>
      <c r="D22" s="2" t="s">
        <v>410</v>
      </c>
      <c r="E22" s="80" t="s">
        <v>411</v>
      </c>
      <c r="F22" s="74" t="s">
        <v>412</v>
      </c>
    </row>
    <row r="23" customFormat="false" ht="15" hidden="false" customHeight="true" outlineLevel="0" collapsed="false">
      <c r="A23" s="3" t="s">
        <v>413</v>
      </c>
      <c r="B23" s="2" t="s">
        <v>414</v>
      </c>
      <c r="C23" s="81" t="n">
        <v>3.5</v>
      </c>
      <c r="D23" s="2" t="s">
        <v>415</v>
      </c>
      <c r="E23" s="80" t="s">
        <v>411</v>
      </c>
      <c r="F23" s="74" t="s">
        <v>416</v>
      </c>
    </row>
    <row r="24" customFormat="false" ht="15" hidden="false" customHeight="true" outlineLevel="0" collapsed="false">
      <c r="A24" s="3" t="s">
        <v>417</v>
      </c>
      <c r="B24" s="2" t="s">
        <v>418</v>
      </c>
      <c r="C24" s="82" t="n">
        <v>0.8</v>
      </c>
      <c r="D24" s="2" t="s">
        <v>21</v>
      </c>
      <c r="E24" s="80" t="s">
        <v>411</v>
      </c>
      <c r="F24" s="74" t="s">
        <v>419</v>
      </c>
    </row>
    <row r="25" customFormat="false" ht="15" hidden="false" customHeight="true" outlineLevel="0" collapsed="false">
      <c r="A25" s="6" t="s">
        <v>420</v>
      </c>
      <c r="B25" s="7"/>
      <c r="C25" s="7"/>
      <c r="D25" s="7"/>
      <c r="E25" s="7"/>
      <c r="F25" s="7"/>
    </row>
    <row r="26" customFormat="false" ht="15" hidden="false" customHeight="true" outlineLevel="0" collapsed="false">
      <c r="A26" s="3" t="s">
        <v>421</v>
      </c>
      <c r="B26" s="2" t="s">
        <v>422</v>
      </c>
      <c r="C26" s="73" t="n">
        <v>4</v>
      </c>
      <c r="D26" s="2" t="s">
        <v>43</v>
      </c>
      <c r="E26" s="2" t="s">
        <v>365</v>
      </c>
      <c r="F26" s="74" t="s">
        <v>423</v>
      </c>
    </row>
    <row r="27" customFormat="false" ht="15" hidden="false" customHeight="true" outlineLevel="0" collapsed="false">
      <c r="A27" s="3" t="s">
        <v>424</v>
      </c>
      <c r="B27" s="2" t="s">
        <v>425</v>
      </c>
      <c r="C27" s="73" t="n">
        <v>2</v>
      </c>
      <c r="D27" s="2" t="s">
        <v>43</v>
      </c>
      <c r="E27" s="2" t="s">
        <v>365</v>
      </c>
      <c r="F27" s="74" t="s">
        <v>426</v>
      </c>
    </row>
    <row r="28" customFormat="false" ht="15" hidden="false" customHeight="true" outlineLevel="0" collapsed="false">
      <c r="A28" s="3" t="s">
        <v>427</v>
      </c>
      <c r="B28" s="2" t="s">
        <v>428</v>
      </c>
      <c r="C28" s="73" t="n">
        <v>2</v>
      </c>
      <c r="D28" s="2" t="s">
        <v>43</v>
      </c>
      <c r="E28" s="2" t="s">
        <v>365</v>
      </c>
      <c r="F28" s="74" t="s">
        <v>426</v>
      </c>
    </row>
    <row r="29" customFormat="false" ht="15" hidden="false" customHeight="true" outlineLevel="0" collapsed="false">
      <c r="A29" s="3" t="s">
        <v>429</v>
      </c>
      <c r="B29" s="2" t="s">
        <v>430</v>
      </c>
      <c r="C29" s="73" t="n">
        <v>2</v>
      </c>
      <c r="D29" s="2" t="s">
        <v>43</v>
      </c>
      <c r="E29" s="2" t="s">
        <v>365</v>
      </c>
      <c r="F29" s="74" t="s">
        <v>431</v>
      </c>
    </row>
    <row r="30" customFormat="false" ht="15" hidden="false" customHeight="true" outlineLevel="0" collapsed="false">
      <c r="A30" s="3" t="s">
        <v>432</v>
      </c>
      <c r="B30" s="2" t="s">
        <v>433</v>
      </c>
      <c r="C30" s="79" t="n">
        <v>3</v>
      </c>
      <c r="D30" s="2" t="s">
        <v>434</v>
      </c>
      <c r="E30" s="80" t="s">
        <v>411</v>
      </c>
      <c r="F30" s="74" t="s">
        <v>435</v>
      </c>
    </row>
    <row r="31" customFormat="false" ht="15" hidden="false" customHeight="true" outlineLevel="0" collapsed="false">
      <c r="A31" s="3" t="s">
        <v>436</v>
      </c>
      <c r="B31" s="2" t="s">
        <v>437</v>
      </c>
      <c r="C31" s="79" t="n">
        <v>1</v>
      </c>
      <c r="D31" s="2" t="s">
        <v>434</v>
      </c>
      <c r="E31" s="80" t="s">
        <v>411</v>
      </c>
      <c r="F31" s="74" t="s">
        <v>438</v>
      </c>
    </row>
    <row r="32" customFormat="false" ht="15" hidden="false" customHeight="true" outlineLevel="0" collapsed="false">
      <c r="A32" s="3" t="s">
        <v>439</v>
      </c>
      <c r="B32" s="2" t="s">
        <v>440</v>
      </c>
      <c r="C32" s="79" t="n">
        <v>1</v>
      </c>
      <c r="D32" s="2" t="s">
        <v>434</v>
      </c>
      <c r="E32" s="80" t="s">
        <v>411</v>
      </c>
      <c r="F32" s="74" t="s">
        <v>438</v>
      </c>
    </row>
    <row r="33" customFormat="false" ht="15" hidden="false" customHeight="true" outlineLevel="0" collapsed="false">
      <c r="A33" s="3" t="s">
        <v>441</v>
      </c>
      <c r="B33" s="2" t="s">
        <v>442</v>
      </c>
      <c r="C33" s="79" t="n">
        <v>1</v>
      </c>
      <c r="D33" s="2" t="s">
        <v>434</v>
      </c>
      <c r="E33" s="80" t="s">
        <v>411</v>
      </c>
      <c r="F33" s="74" t="s">
        <v>443</v>
      </c>
    </row>
    <row r="34" customFormat="false" ht="15" hidden="false" customHeight="true" outlineLevel="0" collapsed="false">
      <c r="A34" s="3" t="s">
        <v>444</v>
      </c>
      <c r="B34" s="2" t="s">
        <v>445</v>
      </c>
      <c r="C34" s="73" t="n">
        <v>2</v>
      </c>
      <c r="D34" s="2" t="s">
        <v>26</v>
      </c>
      <c r="E34" s="2" t="s">
        <v>365</v>
      </c>
      <c r="F34" s="74" t="s">
        <v>446</v>
      </c>
    </row>
    <row r="35" customFormat="false" ht="15" hidden="false" customHeight="true" outlineLevel="0" collapsed="false">
      <c r="A35" s="3" t="s">
        <v>447</v>
      </c>
      <c r="B35" s="2" t="s">
        <v>448</v>
      </c>
      <c r="C35" s="73" t="n">
        <v>2</v>
      </c>
      <c r="D35" s="2" t="s">
        <v>43</v>
      </c>
      <c r="E35" s="2" t="s">
        <v>365</v>
      </c>
      <c r="F35" s="74" t="s">
        <v>449</v>
      </c>
    </row>
    <row r="36" customFormat="false" ht="15" hidden="false" customHeight="true" outlineLevel="0" collapsed="false">
      <c r="A36" s="3" t="s">
        <v>450</v>
      </c>
      <c r="B36" s="2" t="s">
        <v>451</v>
      </c>
      <c r="C36" s="73" t="n">
        <v>11</v>
      </c>
      <c r="D36" s="2" t="s">
        <v>43</v>
      </c>
      <c r="E36" s="2" t="s">
        <v>365</v>
      </c>
      <c r="F36" s="74" t="s">
        <v>452</v>
      </c>
    </row>
    <row r="37" customFormat="false" ht="15" hidden="false" customHeight="true" outlineLevel="0" collapsed="false">
      <c r="A37" s="3" t="s">
        <v>453</v>
      </c>
      <c r="B37" s="2" t="s">
        <v>454</v>
      </c>
      <c r="C37" s="81" t="n">
        <v>2.5</v>
      </c>
      <c r="D37" s="2" t="s">
        <v>415</v>
      </c>
      <c r="E37" s="80" t="s">
        <v>411</v>
      </c>
      <c r="F37" s="74" t="s">
        <v>455</v>
      </c>
    </row>
    <row r="38" customFormat="false" ht="15" hidden="false" customHeight="true" outlineLevel="0" collapsed="false">
      <c r="A38" s="6" t="s">
        <v>456</v>
      </c>
      <c r="B38" s="7"/>
      <c r="C38" s="7"/>
      <c r="D38" s="7"/>
      <c r="E38" s="7"/>
      <c r="F38" s="7"/>
    </row>
    <row r="39" customFormat="false" ht="15" hidden="false" customHeight="true" outlineLevel="0" collapsed="false">
      <c r="A39" s="3" t="s">
        <v>457</v>
      </c>
      <c r="B39" s="2" t="s">
        <v>458</v>
      </c>
      <c r="C39" s="76" t="n">
        <v>2.5</v>
      </c>
      <c r="D39" s="2" t="s">
        <v>381</v>
      </c>
      <c r="E39" s="2" t="s">
        <v>365</v>
      </c>
      <c r="F39" s="74" t="s">
        <v>459</v>
      </c>
    </row>
    <row r="40" customFormat="false" ht="15" hidden="false" customHeight="true" outlineLevel="0" collapsed="false">
      <c r="A40" s="3" t="s">
        <v>460</v>
      </c>
      <c r="B40" s="2" t="s">
        <v>461</v>
      </c>
      <c r="C40" s="76" t="n">
        <v>1.5</v>
      </c>
      <c r="D40" s="2" t="s">
        <v>381</v>
      </c>
      <c r="E40" s="2" t="s">
        <v>365</v>
      </c>
      <c r="F40" s="74" t="s">
        <v>459</v>
      </c>
    </row>
    <row r="41" customFormat="false" ht="15" hidden="false" customHeight="true" outlineLevel="0" collapsed="false">
      <c r="A41" s="3" t="s">
        <v>462</v>
      </c>
      <c r="B41" s="2" t="s">
        <v>463</v>
      </c>
      <c r="C41" s="76" t="n">
        <v>1</v>
      </c>
      <c r="D41" s="2" t="s">
        <v>381</v>
      </c>
      <c r="E41" s="2" t="s">
        <v>365</v>
      </c>
      <c r="F41" s="74" t="s">
        <v>459</v>
      </c>
    </row>
    <row r="42" customFormat="false" ht="15" hidden="false" customHeight="true" outlineLevel="0" collapsed="false">
      <c r="A42" s="3" t="s">
        <v>464</v>
      </c>
      <c r="B42" s="2" t="s">
        <v>465</v>
      </c>
      <c r="C42" s="76" t="n">
        <v>2.3</v>
      </c>
      <c r="D42" s="2" t="s">
        <v>381</v>
      </c>
      <c r="E42" s="2" t="s">
        <v>365</v>
      </c>
      <c r="F42" s="74" t="s">
        <v>459</v>
      </c>
    </row>
    <row r="43" customFormat="false" ht="15" hidden="false" customHeight="true" outlineLevel="0" collapsed="false">
      <c r="A43" s="3" t="s">
        <v>466</v>
      </c>
      <c r="B43" s="2" t="s">
        <v>467</v>
      </c>
      <c r="C43" s="76" t="n">
        <v>3</v>
      </c>
      <c r="D43" s="2" t="s">
        <v>381</v>
      </c>
      <c r="E43" s="2" t="s">
        <v>365</v>
      </c>
      <c r="F43" s="74" t="s">
        <v>468</v>
      </c>
    </row>
    <row r="44" customFormat="false" ht="15" hidden="false" customHeight="true" outlineLevel="0" collapsed="false">
      <c r="A44" s="3" t="s">
        <v>469</v>
      </c>
      <c r="B44" s="2" t="s">
        <v>470</v>
      </c>
      <c r="C44" s="76" t="n">
        <v>1</v>
      </c>
      <c r="D44" s="2" t="s">
        <v>381</v>
      </c>
      <c r="E44" s="2" t="s">
        <v>365</v>
      </c>
      <c r="F44" s="74" t="s">
        <v>459</v>
      </c>
    </row>
    <row r="45" customFormat="false" ht="15" hidden="false" customHeight="true" outlineLevel="0" collapsed="false">
      <c r="A45" s="3" t="s">
        <v>471</v>
      </c>
      <c r="B45" s="2" t="s">
        <v>472</v>
      </c>
      <c r="C45" s="76" t="n">
        <v>2.07991666666667</v>
      </c>
      <c r="D45" s="2" t="s">
        <v>381</v>
      </c>
      <c r="E45" s="2" t="s">
        <v>365</v>
      </c>
      <c r="F45" s="74" t="s">
        <v>473</v>
      </c>
    </row>
    <row r="46" customFormat="false" ht="15" hidden="false" customHeight="true" outlineLevel="0" collapsed="false">
      <c r="A46" s="3" t="s">
        <v>474</v>
      </c>
      <c r="B46" s="2" t="s">
        <v>475</v>
      </c>
      <c r="C46" s="76" t="n">
        <v>5.8</v>
      </c>
      <c r="D46" s="2" t="s">
        <v>381</v>
      </c>
      <c r="E46" s="2" t="s">
        <v>365</v>
      </c>
      <c r="F46" s="74" t="s">
        <v>476</v>
      </c>
    </row>
    <row r="47" customFormat="false" ht="26.25" hidden="false" customHeight="true" outlineLevel="0" collapsed="false">
      <c r="A47" s="3" t="s">
        <v>477</v>
      </c>
      <c r="B47" s="2" t="s">
        <v>478</v>
      </c>
      <c r="C47" s="81" t="n">
        <v>1.5</v>
      </c>
      <c r="D47" s="2" t="s">
        <v>381</v>
      </c>
      <c r="E47" s="80" t="s">
        <v>411</v>
      </c>
      <c r="F47" s="74" t="s">
        <v>479</v>
      </c>
    </row>
    <row r="48" customFormat="false" ht="15" hidden="false" customHeight="true" outlineLevel="0" collapsed="false">
      <c r="A48" s="6" t="s">
        <v>480</v>
      </c>
      <c r="B48" s="7"/>
      <c r="C48" s="7"/>
      <c r="D48" s="7"/>
      <c r="E48" s="7"/>
      <c r="F48" s="7"/>
    </row>
    <row r="49" customFormat="false" ht="15" hidden="false" customHeight="true" outlineLevel="0" collapsed="false">
      <c r="A49" s="3" t="s">
        <v>481</v>
      </c>
      <c r="B49" s="2" t="s">
        <v>482</v>
      </c>
      <c r="C49" s="76" t="n">
        <v>15</v>
      </c>
      <c r="D49" s="2" t="s">
        <v>381</v>
      </c>
      <c r="E49" s="2" t="s">
        <v>365</v>
      </c>
      <c r="F49" s="74" t="s">
        <v>483</v>
      </c>
    </row>
    <row r="50" customFormat="false" ht="15" hidden="false" customHeight="true" outlineLevel="0" collapsed="false">
      <c r="A50" s="3" t="s">
        <v>484</v>
      </c>
      <c r="B50" s="2" t="s">
        <v>485</v>
      </c>
      <c r="C50" s="76" t="n">
        <v>10</v>
      </c>
      <c r="D50" s="2" t="s">
        <v>381</v>
      </c>
      <c r="E50" s="2" t="s">
        <v>365</v>
      </c>
      <c r="F50" s="74" t="s">
        <v>483</v>
      </c>
    </row>
    <row r="51" customFormat="false" ht="15" hidden="false" customHeight="true" outlineLevel="0" collapsed="false">
      <c r="A51" s="3" t="s">
        <v>486</v>
      </c>
      <c r="B51" s="2" t="s">
        <v>487</v>
      </c>
      <c r="C51" s="83" t="s">
        <v>67</v>
      </c>
      <c r="D51" s="2" t="s">
        <v>488</v>
      </c>
      <c r="E51" s="84" t="s">
        <v>489</v>
      </c>
      <c r="F51" s="74" t="s">
        <v>490</v>
      </c>
    </row>
    <row r="52" customFormat="false" ht="15" hidden="false" customHeight="true" outlineLevel="0" collapsed="false">
      <c r="A52" s="3" t="s">
        <v>491</v>
      </c>
      <c r="B52" s="2" t="s">
        <v>492</v>
      </c>
      <c r="C52" s="73" t="n">
        <v>0</v>
      </c>
      <c r="D52" s="2" t="s">
        <v>410</v>
      </c>
      <c r="E52" s="2" t="s">
        <v>365</v>
      </c>
      <c r="F52" s="74" t="s">
        <v>493</v>
      </c>
    </row>
    <row r="53" customFormat="false" ht="15" hidden="false" customHeight="true" outlineLevel="0" collapsed="false">
      <c r="A53" s="3" t="s">
        <v>494</v>
      </c>
      <c r="B53" s="2" t="s">
        <v>495</v>
      </c>
      <c r="C53" s="76" t="n">
        <v>7</v>
      </c>
      <c r="D53" s="2" t="s">
        <v>381</v>
      </c>
      <c r="E53" s="2" t="s">
        <v>365</v>
      </c>
      <c r="F53" s="74" t="s">
        <v>496</v>
      </c>
    </row>
    <row r="54" customFormat="false" ht="15" hidden="false" customHeight="true" outlineLevel="0" collapsed="false">
      <c r="A54" s="3" t="s">
        <v>497</v>
      </c>
      <c r="B54" s="2" t="s">
        <v>498</v>
      </c>
      <c r="C54" s="83" t="s">
        <v>67</v>
      </c>
      <c r="D54" s="2" t="s">
        <v>488</v>
      </c>
      <c r="E54" s="80" t="s">
        <v>411</v>
      </c>
      <c r="F54" s="74" t="s">
        <v>499</v>
      </c>
    </row>
    <row r="55" customFormat="false" ht="15" hidden="false" customHeight="true" outlineLevel="0" collapsed="false">
      <c r="A55" s="3" t="s">
        <v>500</v>
      </c>
      <c r="B55" s="2" t="s">
        <v>501</v>
      </c>
      <c r="C55" s="81" t="n">
        <v>2</v>
      </c>
      <c r="D55" s="2" t="s">
        <v>381</v>
      </c>
      <c r="E55" s="80" t="s">
        <v>411</v>
      </c>
      <c r="F55" s="74" t="s">
        <v>502</v>
      </c>
    </row>
    <row r="56" customFormat="false" ht="15" hidden="false" customHeight="true" outlineLevel="0" collapsed="false">
      <c r="A56" s="3" t="s">
        <v>503</v>
      </c>
      <c r="B56" s="2" t="s">
        <v>504</v>
      </c>
      <c r="C56" s="76" t="n">
        <v>5</v>
      </c>
      <c r="D56" s="2" t="s">
        <v>381</v>
      </c>
      <c r="E56" s="2" t="s">
        <v>365</v>
      </c>
      <c r="F56" s="74" t="s">
        <v>496</v>
      </c>
    </row>
    <row r="57" customFormat="false" ht="26.25" hidden="false" customHeight="true" outlineLevel="0" collapsed="false">
      <c r="A57" s="3" t="s">
        <v>505</v>
      </c>
      <c r="B57" s="2" t="s">
        <v>506</v>
      </c>
      <c r="C57" s="79" t="n">
        <v>4</v>
      </c>
      <c r="D57" s="2" t="s">
        <v>26</v>
      </c>
      <c r="E57" s="80" t="s">
        <v>411</v>
      </c>
      <c r="F57" s="74" t="s">
        <v>507</v>
      </c>
    </row>
    <row r="58" customFormat="false" ht="15" hidden="false" customHeight="true" outlineLevel="0" collapsed="false">
      <c r="A58" s="3" t="s">
        <v>508</v>
      </c>
      <c r="B58" s="2" t="s">
        <v>509</v>
      </c>
      <c r="C58" s="79" t="n">
        <v>12</v>
      </c>
      <c r="D58" s="2" t="s">
        <v>510</v>
      </c>
      <c r="E58" s="80" t="s">
        <v>411</v>
      </c>
      <c r="F58" s="74" t="s">
        <v>511</v>
      </c>
    </row>
    <row r="59" customFormat="false" ht="15" hidden="false" customHeight="true" outlineLevel="0" collapsed="false">
      <c r="A59" s="3" t="s">
        <v>512</v>
      </c>
      <c r="B59" s="2" t="s">
        <v>513</v>
      </c>
      <c r="C59" s="81" t="n">
        <v>1.33</v>
      </c>
      <c r="D59" s="2" t="s">
        <v>510</v>
      </c>
      <c r="E59" s="80" t="s">
        <v>411</v>
      </c>
      <c r="F59" s="74" t="s">
        <v>514</v>
      </c>
    </row>
    <row r="60" customFormat="false" ht="15" hidden="false" customHeight="true" outlineLevel="0" collapsed="false">
      <c r="A60" s="6" t="s">
        <v>515</v>
      </c>
      <c r="B60" s="7"/>
      <c r="C60" s="7"/>
      <c r="D60" s="7"/>
      <c r="E60" s="7"/>
      <c r="F60" s="7"/>
    </row>
    <row r="61" customFormat="false" ht="15" hidden="false" customHeight="true" outlineLevel="0" collapsed="false">
      <c r="A61" s="3" t="s">
        <v>516</v>
      </c>
      <c r="B61" s="2" t="s">
        <v>517</v>
      </c>
      <c r="C61" s="79" t="n">
        <v>1</v>
      </c>
      <c r="D61" s="2" t="s">
        <v>410</v>
      </c>
      <c r="E61" s="80" t="s">
        <v>411</v>
      </c>
      <c r="F61" s="74" t="s">
        <v>518</v>
      </c>
    </row>
    <row r="62" customFormat="false" ht="26.25" hidden="false" customHeight="true" outlineLevel="0" collapsed="false">
      <c r="A62" s="3" t="s">
        <v>519</v>
      </c>
      <c r="B62" s="2" t="s">
        <v>520</v>
      </c>
      <c r="C62" s="81" t="n">
        <v>0.075</v>
      </c>
      <c r="D62" s="2" t="s">
        <v>521</v>
      </c>
      <c r="E62" s="80" t="s">
        <v>411</v>
      </c>
      <c r="F62" s="74" t="s">
        <v>522</v>
      </c>
    </row>
    <row r="63" customFormat="false" ht="15" hidden="false" customHeight="true" outlineLevel="0" collapsed="false">
      <c r="A63" s="3" t="s">
        <v>523</v>
      </c>
      <c r="B63" s="2" t="s">
        <v>524</v>
      </c>
      <c r="C63" s="79" t="n">
        <v>40</v>
      </c>
      <c r="D63" s="2" t="s">
        <v>43</v>
      </c>
      <c r="E63" s="80" t="s">
        <v>411</v>
      </c>
      <c r="F63" s="74" t="s">
        <v>438</v>
      </c>
    </row>
    <row r="64" customFormat="false" ht="15" hidden="false" customHeight="true" outlineLevel="0" collapsed="false">
      <c r="A64" s="3" t="s">
        <v>525</v>
      </c>
      <c r="B64" s="2" t="s">
        <v>526</v>
      </c>
      <c r="C64" s="79" t="n">
        <v>30</v>
      </c>
      <c r="D64" s="2" t="s">
        <v>43</v>
      </c>
      <c r="E64" s="80" t="s">
        <v>411</v>
      </c>
      <c r="F64" s="74" t="s">
        <v>438</v>
      </c>
    </row>
    <row r="65" customFormat="false" ht="15" hidden="false" customHeight="true" outlineLevel="0" collapsed="false">
      <c r="A65" s="3" t="s">
        <v>527</v>
      </c>
      <c r="B65" s="2" t="s">
        <v>528</v>
      </c>
      <c r="C65" s="79" t="n">
        <v>40</v>
      </c>
      <c r="D65" s="2" t="s">
        <v>43</v>
      </c>
      <c r="E65" s="80" t="s">
        <v>411</v>
      </c>
      <c r="F65" s="74" t="s">
        <v>438</v>
      </c>
    </row>
    <row r="66" customFormat="false" ht="15" hidden="false" customHeight="true" outlineLevel="0" collapsed="false">
      <c r="A66" s="3" t="s">
        <v>529</v>
      </c>
      <c r="B66" s="2" t="s">
        <v>530</v>
      </c>
      <c r="C66" s="79" t="n">
        <v>50</v>
      </c>
      <c r="D66" s="2" t="s">
        <v>43</v>
      </c>
      <c r="E66" s="80" t="s">
        <v>411</v>
      </c>
      <c r="F66" s="74" t="s">
        <v>438</v>
      </c>
    </row>
    <row r="67" customFormat="false" ht="15" hidden="false" customHeight="true" outlineLevel="0" collapsed="false">
      <c r="A67" s="3" t="s">
        <v>531</v>
      </c>
      <c r="B67" s="2" t="s">
        <v>532</v>
      </c>
      <c r="C67" s="81" t="n">
        <v>0.05</v>
      </c>
      <c r="D67" s="2" t="s">
        <v>533</v>
      </c>
      <c r="E67" s="80" t="s">
        <v>411</v>
      </c>
      <c r="F67" s="74" t="s">
        <v>534</v>
      </c>
    </row>
    <row r="68" customFormat="false" ht="15" hidden="false" customHeight="true" outlineLevel="0" collapsed="false">
      <c r="A68" s="3" t="s">
        <v>535</v>
      </c>
      <c r="B68" s="2" t="s">
        <v>536</v>
      </c>
      <c r="C68" s="79" t="n">
        <v>10</v>
      </c>
      <c r="D68" s="2" t="s">
        <v>208</v>
      </c>
      <c r="E68" s="80" t="s">
        <v>411</v>
      </c>
      <c r="F68" s="74" t="s">
        <v>438</v>
      </c>
    </row>
    <row r="69" customFormat="false" ht="15" hidden="false" customHeight="true" outlineLevel="0" collapsed="false">
      <c r="A69" s="6" t="s">
        <v>537</v>
      </c>
      <c r="B69" s="7"/>
      <c r="C69" s="7"/>
      <c r="D69" s="7"/>
      <c r="E69" s="7"/>
      <c r="F69" s="7"/>
    </row>
    <row r="70" customFormat="false" ht="26.25" hidden="false" customHeight="true" outlineLevel="0" collapsed="false">
      <c r="A70" s="3" t="s">
        <v>538</v>
      </c>
      <c r="B70" s="2" t="s">
        <v>539</v>
      </c>
      <c r="C70" s="79" t="n">
        <v>4</v>
      </c>
      <c r="D70" s="2" t="s">
        <v>252</v>
      </c>
      <c r="E70" s="80" t="s">
        <v>411</v>
      </c>
      <c r="F70" s="74" t="s">
        <v>540</v>
      </c>
    </row>
    <row r="71" customFormat="false" ht="15" hidden="false" customHeight="true" outlineLevel="0" collapsed="false">
      <c r="A71" s="6" t="s">
        <v>541</v>
      </c>
      <c r="B71" s="7"/>
      <c r="C71" s="7"/>
      <c r="D71" s="7"/>
      <c r="E71" s="7"/>
      <c r="F71" s="7"/>
    </row>
    <row r="72" customFormat="false" ht="15" hidden="false" customHeight="true" outlineLevel="0" collapsed="false">
      <c r="A72" s="3" t="s">
        <v>542</v>
      </c>
      <c r="B72" s="2" t="s">
        <v>543</v>
      </c>
      <c r="C72" s="76" t="n">
        <v>210</v>
      </c>
      <c r="D72" s="2" t="s">
        <v>10</v>
      </c>
      <c r="E72" s="2" t="s">
        <v>365</v>
      </c>
      <c r="F72" s="74" t="s">
        <v>544</v>
      </c>
    </row>
    <row r="73" customFormat="false" ht="15" hidden="false" customHeight="true" outlineLevel="0" collapsed="false">
      <c r="A73" s="3" t="s">
        <v>545</v>
      </c>
      <c r="B73" s="2" t="s">
        <v>546</v>
      </c>
      <c r="C73" s="82" t="n">
        <v>0.6</v>
      </c>
      <c r="D73" s="2" t="s">
        <v>21</v>
      </c>
      <c r="E73" s="80" t="s">
        <v>411</v>
      </c>
      <c r="F73" s="74" t="s">
        <v>547</v>
      </c>
    </row>
    <row r="74" customFormat="false" ht="15" hidden="false" customHeight="true" outlineLevel="0" collapsed="false">
      <c r="A74" s="3" t="s">
        <v>548</v>
      </c>
      <c r="B74" s="2" t="s">
        <v>549</v>
      </c>
      <c r="C74" s="82" t="n">
        <v>0.3</v>
      </c>
      <c r="D74" s="2" t="s">
        <v>21</v>
      </c>
      <c r="E74" s="80" t="s">
        <v>411</v>
      </c>
      <c r="F74" s="74" t="s">
        <v>550</v>
      </c>
    </row>
    <row r="75" customFormat="false" ht="15" hidden="false" customHeight="true" outlineLevel="0" collapsed="false">
      <c r="A75" s="3" t="s">
        <v>551</v>
      </c>
      <c r="B75" s="2" t="s">
        <v>552</v>
      </c>
      <c r="C75" s="82" t="n">
        <v>0.1</v>
      </c>
      <c r="D75" s="2" t="s">
        <v>21</v>
      </c>
      <c r="E75" s="80" t="s">
        <v>411</v>
      </c>
      <c r="F75" s="74" t="s">
        <v>550</v>
      </c>
    </row>
    <row r="76" customFormat="false" ht="26.25" hidden="false" customHeight="true" outlineLevel="0" collapsed="false">
      <c r="A76" s="3" t="s">
        <v>553</v>
      </c>
      <c r="B76" s="2" t="s">
        <v>554</v>
      </c>
      <c r="C76" s="82" t="n">
        <v>0.8</v>
      </c>
      <c r="D76" s="2" t="s">
        <v>21</v>
      </c>
      <c r="E76" s="80" t="s">
        <v>411</v>
      </c>
      <c r="F76" s="74" t="s">
        <v>555</v>
      </c>
    </row>
    <row r="77" customFormat="false" ht="15" hidden="false" customHeight="true" outlineLevel="0" collapsed="false">
      <c r="A77" s="3" t="s">
        <v>556</v>
      </c>
      <c r="B77" s="2" t="s">
        <v>557</v>
      </c>
      <c r="C77" s="82" t="n">
        <v>0.2</v>
      </c>
      <c r="D77" s="2" t="s">
        <v>21</v>
      </c>
      <c r="E77" s="80" t="s">
        <v>411</v>
      </c>
      <c r="F77" s="74" t="s">
        <v>558</v>
      </c>
    </row>
    <row r="78" customFormat="false" ht="15" hidden="false" customHeight="true" outlineLevel="0" collapsed="false">
      <c r="A78" s="3" t="s">
        <v>559</v>
      </c>
      <c r="B78" s="2" t="s">
        <v>560</v>
      </c>
      <c r="C78" s="82" t="n">
        <v>0.5</v>
      </c>
      <c r="D78" s="2" t="s">
        <v>21</v>
      </c>
      <c r="E78" s="80" t="s">
        <v>411</v>
      </c>
      <c r="F78" s="74" t="s">
        <v>550</v>
      </c>
    </row>
    <row r="79" customFormat="false" ht="15" hidden="false" customHeight="true" outlineLevel="0" collapsed="false">
      <c r="A79" s="3" t="s">
        <v>561</v>
      </c>
      <c r="B79" s="2" t="s">
        <v>562</v>
      </c>
      <c r="C79" s="82" t="n">
        <v>0.3</v>
      </c>
      <c r="D79" s="2" t="s">
        <v>21</v>
      </c>
      <c r="E79" s="80" t="s">
        <v>411</v>
      </c>
      <c r="F79" s="74" t="s">
        <v>550</v>
      </c>
    </row>
    <row r="80" customFormat="false" ht="26.25" hidden="false" customHeight="true" outlineLevel="0" collapsed="false">
      <c r="A80" s="3" t="s">
        <v>563</v>
      </c>
      <c r="B80" s="2" t="s">
        <v>564</v>
      </c>
      <c r="C80" s="82" t="n">
        <v>0.005</v>
      </c>
      <c r="D80" s="2" t="s">
        <v>565</v>
      </c>
      <c r="E80" s="80" t="s">
        <v>411</v>
      </c>
      <c r="F80" s="74" t="s">
        <v>566</v>
      </c>
    </row>
    <row r="81" customFormat="false" ht="15" hidden="false" customHeight="true" outlineLevel="0" collapsed="false">
      <c r="A81" s="6" t="s">
        <v>567</v>
      </c>
      <c r="B81" s="7"/>
      <c r="C81" s="7"/>
      <c r="D81" s="7"/>
      <c r="E81" s="7"/>
      <c r="F81" s="7"/>
    </row>
    <row r="82" customFormat="false" ht="15" hidden="false" customHeight="true" outlineLevel="0" collapsed="false">
      <c r="A82" s="3" t="s">
        <v>568</v>
      </c>
      <c r="B82" s="2" t="s">
        <v>569</v>
      </c>
      <c r="C82" s="82" t="n">
        <v>0.15</v>
      </c>
      <c r="D82" s="2" t="s">
        <v>21</v>
      </c>
      <c r="E82" s="80" t="s">
        <v>411</v>
      </c>
      <c r="F82" s="74" t="s">
        <v>570</v>
      </c>
    </row>
    <row r="83" customFormat="false" ht="15" hidden="false" customHeight="true" outlineLevel="0" collapsed="false">
      <c r="A83" s="3" t="s">
        <v>571</v>
      </c>
      <c r="B83" s="2" t="s">
        <v>572</v>
      </c>
      <c r="C83" s="82" t="n">
        <v>0.85</v>
      </c>
      <c r="D83" s="2" t="s">
        <v>21</v>
      </c>
      <c r="E83" s="80" t="s">
        <v>411</v>
      </c>
      <c r="F83" s="74" t="s">
        <v>573</v>
      </c>
    </row>
    <row r="84" customFormat="false" ht="15" hidden="false" customHeight="true" outlineLevel="0" collapsed="false">
      <c r="A84" s="6" t="s">
        <v>574</v>
      </c>
      <c r="B84" s="7"/>
      <c r="C84" s="7"/>
      <c r="D84" s="7"/>
      <c r="E84" s="7"/>
      <c r="F84" s="7"/>
    </row>
    <row r="85" customFormat="false" ht="15" hidden="false" customHeight="true" outlineLevel="0" collapsed="false">
      <c r="A85" s="3" t="s">
        <v>575</v>
      </c>
      <c r="B85" s="2" t="s">
        <v>576</v>
      </c>
      <c r="C85" s="73" t="n">
        <v>2</v>
      </c>
      <c r="D85" s="2" t="s">
        <v>364</v>
      </c>
      <c r="E85" s="2" t="s">
        <v>365</v>
      </c>
      <c r="F85" s="74" t="s">
        <v>577</v>
      </c>
    </row>
    <row r="86" customFormat="false" ht="15" hidden="false" customHeight="true" outlineLevel="0" collapsed="false">
      <c r="A86" s="3" t="s">
        <v>578</v>
      </c>
      <c r="B86" s="2" t="s">
        <v>579</v>
      </c>
      <c r="C86" s="83" t="s">
        <v>67</v>
      </c>
      <c r="D86" s="2" t="s">
        <v>488</v>
      </c>
      <c r="E86" s="84" t="s">
        <v>489</v>
      </c>
      <c r="F86" s="74" t="s">
        <v>580</v>
      </c>
    </row>
    <row r="87" customFormat="false" ht="26.25" hidden="false" customHeight="true" outlineLevel="0" collapsed="false">
      <c r="A87" s="3" t="s">
        <v>581</v>
      </c>
      <c r="B87" s="2" t="s">
        <v>582</v>
      </c>
      <c r="C87" s="81" t="n">
        <v>94</v>
      </c>
      <c r="D87" s="2" t="s">
        <v>583</v>
      </c>
      <c r="E87" s="84" t="s">
        <v>489</v>
      </c>
      <c r="F87" s="74" t="s">
        <v>584</v>
      </c>
    </row>
    <row r="88" customFormat="false" ht="15" hidden="false" customHeight="true" outlineLevel="0" collapsed="false">
      <c r="A88" s="3" t="s">
        <v>585</v>
      </c>
      <c r="B88" s="2" t="s">
        <v>586</v>
      </c>
      <c r="C88" s="81" t="n">
        <v>24</v>
      </c>
      <c r="D88" s="2" t="s">
        <v>373</v>
      </c>
      <c r="E88" s="84" t="s">
        <v>489</v>
      </c>
      <c r="F88" s="74" t="s">
        <v>587</v>
      </c>
    </row>
    <row r="89" customFormat="false" ht="26.25" hidden="false" customHeight="true" outlineLevel="0" collapsed="false">
      <c r="A89" s="3" t="s">
        <v>588</v>
      </c>
      <c r="B89" s="2" t="s">
        <v>589</v>
      </c>
      <c r="C89" s="81" t="n">
        <v>45</v>
      </c>
      <c r="D89" s="2" t="s">
        <v>590</v>
      </c>
      <c r="E89" s="84" t="s">
        <v>489</v>
      </c>
      <c r="F89" s="74" t="s">
        <v>591</v>
      </c>
    </row>
    <row r="90" customFormat="false" ht="26.25" hidden="false" customHeight="true" outlineLevel="0" collapsed="false">
      <c r="A90" s="3" t="s">
        <v>592</v>
      </c>
      <c r="B90" s="2" t="s">
        <v>593</v>
      </c>
      <c r="C90" s="81" t="n">
        <v>55</v>
      </c>
      <c r="D90" s="2" t="s">
        <v>590</v>
      </c>
      <c r="E90" s="84" t="s">
        <v>489</v>
      </c>
      <c r="F90" s="74" t="s">
        <v>594</v>
      </c>
    </row>
    <row r="91" customFormat="false" ht="15" hidden="false" customHeight="true" outlineLevel="0" collapsed="false">
      <c r="A91" s="3" t="s">
        <v>595</v>
      </c>
      <c r="B91" s="2" t="s">
        <v>596</v>
      </c>
      <c r="C91" s="82" t="n">
        <v>0.25</v>
      </c>
      <c r="D91" s="2" t="s">
        <v>21</v>
      </c>
      <c r="E91" s="80" t="s">
        <v>411</v>
      </c>
      <c r="F91" s="74" t="s">
        <v>597</v>
      </c>
    </row>
    <row r="92" customFormat="false" ht="26.25" hidden="false" customHeight="true" outlineLevel="0" collapsed="false">
      <c r="A92" s="3" t="s">
        <v>598</v>
      </c>
      <c r="B92" s="2" t="s">
        <v>599</v>
      </c>
      <c r="C92" s="81" t="n">
        <v>0.15</v>
      </c>
      <c r="D92" s="2" t="s">
        <v>415</v>
      </c>
      <c r="E92" s="84" t="s">
        <v>489</v>
      </c>
      <c r="F92" s="74" t="s">
        <v>600</v>
      </c>
    </row>
    <row r="93" customFormat="false" ht="15" hidden="false" customHeight="true" outlineLevel="0" collapsed="false">
      <c r="A93" s="3" t="s">
        <v>601</v>
      </c>
      <c r="B93" s="2" t="s">
        <v>602</v>
      </c>
      <c r="C93" s="73" t="n">
        <v>1</v>
      </c>
      <c r="D93" s="2" t="s">
        <v>410</v>
      </c>
      <c r="E93" s="2" t="s">
        <v>365</v>
      </c>
      <c r="F93" s="74" t="s">
        <v>603</v>
      </c>
    </row>
    <row r="94" customFormat="false" ht="15" hidden="false" customHeight="true" outlineLevel="0" collapsed="false">
      <c r="A94" s="3" t="s">
        <v>604</v>
      </c>
      <c r="B94" s="2" t="s">
        <v>605</v>
      </c>
      <c r="C94" s="73" t="n">
        <v>1</v>
      </c>
      <c r="D94" s="2" t="s">
        <v>410</v>
      </c>
      <c r="E94" s="2" t="s">
        <v>365</v>
      </c>
      <c r="F94" s="74" t="s">
        <v>603</v>
      </c>
    </row>
    <row r="95" customFormat="false" ht="15" hidden="false" customHeight="true" outlineLevel="0" collapsed="false">
      <c r="A95" s="3" t="s">
        <v>606</v>
      </c>
      <c r="B95" s="2" t="s">
        <v>607</v>
      </c>
      <c r="C95" s="79" t="n">
        <v>1</v>
      </c>
      <c r="D95" s="2" t="s">
        <v>410</v>
      </c>
      <c r="E95" s="84" t="s">
        <v>489</v>
      </c>
      <c r="F95" s="74" t="s">
        <v>608</v>
      </c>
    </row>
    <row r="96" customFormat="false" ht="15" hidden="false" customHeight="true" outlineLevel="0" collapsed="false">
      <c r="A96" s="3" t="s">
        <v>609</v>
      </c>
      <c r="B96" s="2" t="s">
        <v>610</v>
      </c>
      <c r="C96" s="85" t="n">
        <v>2.5</v>
      </c>
      <c r="D96" s="2" t="s">
        <v>250</v>
      </c>
      <c r="E96" s="2" t="s">
        <v>365</v>
      </c>
      <c r="F96" s="74" t="s">
        <v>611</v>
      </c>
    </row>
    <row r="97" customFormat="false" ht="15" hidden="false" customHeight="true" outlineLevel="0" collapsed="false">
      <c r="A97" s="3" t="s">
        <v>612</v>
      </c>
      <c r="B97" s="2" t="s">
        <v>613</v>
      </c>
      <c r="C97" s="82" t="n">
        <v>0.3</v>
      </c>
      <c r="D97" s="2" t="s">
        <v>21</v>
      </c>
      <c r="E97" s="80" t="s">
        <v>411</v>
      </c>
      <c r="F97" s="74" t="s">
        <v>614</v>
      </c>
    </row>
    <row r="98" customFormat="false" ht="26.25" hidden="false" customHeight="true" outlineLevel="0" collapsed="false">
      <c r="A98" s="3" t="s">
        <v>615</v>
      </c>
      <c r="B98" s="2" t="s">
        <v>616</v>
      </c>
      <c r="C98" s="82" t="n">
        <v>1</v>
      </c>
      <c r="D98" s="2" t="s">
        <v>21</v>
      </c>
      <c r="E98" s="80" t="s">
        <v>411</v>
      </c>
      <c r="F98" s="74" t="s">
        <v>617</v>
      </c>
    </row>
    <row r="100" customFormat="false" ht="15" hidden="false" customHeight="false" outlineLevel="0" collapsed="false">
      <c r="A100" s="6" t="s">
        <v>618</v>
      </c>
    </row>
    <row r="101" customFormat="false" ht="26.85" hidden="false" customHeight="false" outlineLevel="0" collapsed="false">
      <c r="A101" s="3" t="s">
        <v>619</v>
      </c>
      <c r="B101" s="2" t="s">
        <v>620</v>
      </c>
      <c r="C101" s="86" t="n">
        <v>1</v>
      </c>
      <c r="D101" s="2" t="s">
        <v>410</v>
      </c>
      <c r="E101" s="80" t="s">
        <v>489</v>
      </c>
      <c r="F101" s="74" t="s">
        <v>621</v>
      </c>
    </row>
    <row r="102" customFormat="false" ht="15" hidden="false" customHeight="false" outlineLevel="0" collapsed="false">
      <c r="A102" s="3" t="s">
        <v>622</v>
      </c>
      <c r="B102" s="2" t="s">
        <v>623</v>
      </c>
      <c r="C102" s="83" t="s">
        <v>624</v>
      </c>
      <c r="D102" s="2" t="s">
        <v>488</v>
      </c>
      <c r="E102" s="84" t="s">
        <v>489</v>
      </c>
      <c r="F102" s="74" t="s">
        <v>625</v>
      </c>
    </row>
    <row r="103" customFormat="false" ht="15" hidden="false" customHeight="false" outlineLevel="0" collapsed="false">
      <c r="A103" s="3" t="s">
        <v>626</v>
      </c>
      <c r="B103" s="2" t="s">
        <v>627</v>
      </c>
      <c r="C103" s="86" t="n">
        <v>1</v>
      </c>
      <c r="D103" s="2" t="s">
        <v>410</v>
      </c>
      <c r="E103" s="80" t="s">
        <v>489</v>
      </c>
      <c r="F103" s="74" t="s">
        <v>628</v>
      </c>
    </row>
    <row r="104" customFormat="false" ht="15" hidden="false" customHeight="false" outlineLevel="0" collapsed="false">
      <c r="A104" s="6" t="s">
        <v>629</v>
      </c>
    </row>
    <row r="105" customFormat="false" ht="15" hidden="false" customHeight="false" outlineLevel="0" collapsed="false">
      <c r="A105" s="3" t="s">
        <v>630</v>
      </c>
      <c r="B105" s="2" t="s">
        <v>631</v>
      </c>
      <c r="C105" s="86" t="n">
        <v>1</v>
      </c>
      <c r="D105" s="2" t="s">
        <v>410</v>
      </c>
      <c r="E105" s="80" t="s">
        <v>489</v>
      </c>
      <c r="F105" s="74" t="s">
        <v>632</v>
      </c>
    </row>
    <row r="106" customFormat="false" ht="30" hidden="false" customHeight="true" outlineLevel="0" collapsed="false">
      <c r="A106" s="3" t="s">
        <v>633</v>
      </c>
      <c r="B106" s="2" t="s">
        <v>634</v>
      </c>
      <c r="C106" s="87" t="n">
        <v>0.18</v>
      </c>
      <c r="D106" s="2" t="s">
        <v>21</v>
      </c>
      <c r="E106" s="80" t="s">
        <v>411</v>
      </c>
      <c r="F106" s="74" t="s">
        <v>635</v>
      </c>
    </row>
    <row r="107" customFormat="false" ht="15" hidden="false" customHeight="false" outlineLevel="0" collapsed="false">
      <c r="A107" s="3" t="s">
        <v>636</v>
      </c>
      <c r="B107" s="2" t="s">
        <v>637</v>
      </c>
      <c r="C107" s="83" t="s">
        <v>66</v>
      </c>
      <c r="D107" s="2" t="s">
        <v>488</v>
      </c>
      <c r="E107" s="84" t="s">
        <v>489</v>
      </c>
      <c r="F107" s="74" t="s">
        <v>638</v>
      </c>
    </row>
    <row r="108" customFormat="false" ht="15" hidden="false" customHeight="false" outlineLevel="0" collapsed="false">
      <c r="A108" s="3" t="s">
        <v>639</v>
      </c>
      <c r="B108" s="2" t="s">
        <v>640</v>
      </c>
      <c r="C108" s="83" t="s">
        <v>641</v>
      </c>
      <c r="D108" s="2" t="s">
        <v>488</v>
      </c>
      <c r="E108" s="84" t="s">
        <v>489</v>
      </c>
      <c r="F108" s="74" t="s">
        <v>642</v>
      </c>
    </row>
    <row r="109" customFormat="false" ht="15" hidden="false" customHeight="false" outlineLevel="0" collapsed="false">
      <c r="A109" s="3" t="s">
        <v>643</v>
      </c>
      <c r="B109" s="2" t="s">
        <v>644</v>
      </c>
      <c r="C109" s="88" t="n">
        <v>8</v>
      </c>
      <c r="D109" s="2" t="s">
        <v>381</v>
      </c>
      <c r="E109" s="80" t="s">
        <v>411</v>
      </c>
      <c r="F109" s="74" t="s">
        <v>645</v>
      </c>
    </row>
    <row r="110" customFormat="false" ht="15" hidden="false" customHeight="false" outlineLevel="0" collapsed="false">
      <c r="A110" s="3" t="s">
        <v>646</v>
      </c>
      <c r="B110" s="2" t="s">
        <v>647</v>
      </c>
      <c r="C110" s="83" t="s">
        <v>641</v>
      </c>
      <c r="D110" s="2" t="s">
        <v>488</v>
      </c>
      <c r="E110" s="84" t="s">
        <v>489</v>
      </c>
      <c r="F110" s="74" t="s">
        <v>648</v>
      </c>
    </row>
    <row r="111" customFormat="false" ht="15" hidden="false" customHeight="false" outlineLevel="0" collapsed="false">
      <c r="A111" s="3" t="s">
        <v>649</v>
      </c>
      <c r="B111" s="2" t="s">
        <v>650</v>
      </c>
      <c r="C111" s="83" t="s">
        <v>651</v>
      </c>
      <c r="D111" s="2" t="s">
        <v>488</v>
      </c>
      <c r="E111" s="84" t="s">
        <v>489</v>
      </c>
      <c r="F111" s="74" t="s">
        <v>652</v>
      </c>
    </row>
    <row r="112" customFormat="false" ht="15" hidden="false" customHeight="false" outlineLevel="0" collapsed="false">
      <c r="A112" s="3" t="s">
        <v>653</v>
      </c>
      <c r="B112" s="2" t="s">
        <v>654</v>
      </c>
      <c r="C112" s="86" t="n">
        <v>1</v>
      </c>
      <c r="D112" s="2" t="s">
        <v>434</v>
      </c>
      <c r="E112" s="80" t="s">
        <v>489</v>
      </c>
      <c r="F112" s="74" t="s">
        <v>655</v>
      </c>
    </row>
    <row r="113" customFormat="false" ht="15" hidden="false" customHeight="false" outlineLevel="0" collapsed="false">
      <c r="A113" s="6" t="s">
        <v>656</v>
      </c>
    </row>
    <row r="114" customFormat="false" ht="15" hidden="false" customHeight="false" outlineLevel="0" collapsed="false">
      <c r="A114" s="3" t="s">
        <v>657</v>
      </c>
      <c r="B114" s="2" t="s">
        <v>658</v>
      </c>
      <c r="C114" s="88" t="n">
        <v>2</v>
      </c>
      <c r="D114" s="2" t="s">
        <v>659</v>
      </c>
      <c r="E114" s="80" t="s">
        <v>365</v>
      </c>
      <c r="F114" s="74" t="s">
        <v>660</v>
      </c>
    </row>
    <row r="115" customFormat="false" ht="30" hidden="false" customHeight="true" outlineLevel="0" collapsed="false">
      <c r="A115" s="3" t="s">
        <v>661</v>
      </c>
      <c r="B115" s="2" t="s">
        <v>662</v>
      </c>
      <c r="C115" s="86" t="n">
        <v>2</v>
      </c>
      <c r="D115" s="2" t="s">
        <v>663</v>
      </c>
      <c r="E115" s="80" t="s">
        <v>365</v>
      </c>
      <c r="F115" s="74" t="s">
        <v>664</v>
      </c>
    </row>
    <row r="116" customFormat="false" ht="30" hidden="false" customHeight="true" outlineLevel="0" collapsed="false">
      <c r="A116" s="3" t="s">
        <v>665</v>
      </c>
      <c r="B116" s="2" t="s">
        <v>666</v>
      </c>
      <c r="C116" s="86" t="n">
        <v>2</v>
      </c>
      <c r="D116" s="2" t="s">
        <v>34</v>
      </c>
      <c r="E116" s="80" t="s">
        <v>411</v>
      </c>
      <c r="F116" s="74" t="s">
        <v>667</v>
      </c>
    </row>
    <row r="117" customFormat="false" ht="30" hidden="false" customHeight="true" outlineLevel="0" collapsed="false">
      <c r="A117" s="3" t="s">
        <v>668</v>
      </c>
      <c r="B117" s="2" t="s">
        <v>669</v>
      </c>
      <c r="C117" s="87" t="n">
        <v>0</v>
      </c>
      <c r="D117" s="2" t="s">
        <v>21</v>
      </c>
      <c r="E117" s="80" t="s">
        <v>489</v>
      </c>
      <c r="F117" s="74" t="s">
        <v>670</v>
      </c>
    </row>
    <row r="118" customFormat="false" ht="15" hidden="false" customHeight="false" outlineLevel="0" collapsed="false">
      <c r="A118" s="3" t="s">
        <v>671</v>
      </c>
      <c r="B118" s="2" t="s">
        <v>672</v>
      </c>
      <c r="C118" s="88" t="n">
        <v>1.8</v>
      </c>
      <c r="D118" s="2" t="s">
        <v>381</v>
      </c>
      <c r="E118" s="80" t="s">
        <v>365</v>
      </c>
      <c r="F118" s="74" t="s">
        <v>673</v>
      </c>
    </row>
    <row r="119" customFormat="false" ht="15" hidden="false" customHeight="false" outlineLevel="0" collapsed="false">
      <c r="A119" s="3" t="s">
        <v>674</v>
      </c>
      <c r="B119" s="2" t="s">
        <v>675</v>
      </c>
      <c r="C119" s="89" t="n">
        <v>0.017</v>
      </c>
      <c r="D119" s="2" t="s">
        <v>387</v>
      </c>
      <c r="E119" s="80" t="s">
        <v>365</v>
      </c>
      <c r="F119" s="74" t="s">
        <v>676</v>
      </c>
    </row>
    <row r="120" customFormat="false" ht="15" hidden="false" customHeight="false" outlineLevel="0" collapsed="false">
      <c r="A120" s="3" t="s">
        <v>677</v>
      </c>
      <c r="B120" s="2" t="s">
        <v>678</v>
      </c>
      <c r="C120" s="88" t="n">
        <v>0.62</v>
      </c>
      <c r="D120" s="2" t="s">
        <v>381</v>
      </c>
      <c r="E120" s="80" t="s">
        <v>365</v>
      </c>
      <c r="F120" s="74" t="s">
        <v>679</v>
      </c>
    </row>
    <row r="121" customFormat="false" ht="15" hidden="false" customHeight="false" outlineLevel="0" collapsed="false">
      <c r="A121" s="3" t="s">
        <v>680</v>
      </c>
      <c r="B121" s="2" t="s">
        <v>681</v>
      </c>
      <c r="C121" s="86" t="n">
        <v>20</v>
      </c>
      <c r="D121" s="2" t="s">
        <v>252</v>
      </c>
      <c r="E121" s="80" t="s">
        <v>411</v>
      </c>
      <c r="F121" s="74" t="s">
        <v>682</v>
      </c>
    </row>
    <row r="122" customFormat="false" ht="15" hidden="false" customHeight="false" outlineLevel="0" collapsed="false">
      <c r="A122" s="3" t="s">
        <v>683</v>
      </c>
      <c r="B122" s="2" t="s">
        <v>684</v>
      </c>
      <c r="C122" s="88" t="n">
        <v>5.73</v>
      </c>
      <c r="D122" s="2" t="s">
        <v>381</v>
      </c>
      <c r="E122" s="80" t="s">
        <v>365</v>
      </c>
      <c r="F122" s="74" t="s">
        <v>685</v>
      </c>
    </row>
    <row r="123" customFormat="false" ht="30" hidden="false" customHeight="true" outlineLevel="0" collapsed="false">
      <c r="A123" s="3" t="s">
        <v>686</v>
      </c>
      <c r="B123" s="2" t="s">
        <v>687</v>
      </c>
      <c r="C123" s="88" t="n">
        <v>100</v>
      </c>
      <c r="D123" s="2" t="s">
        <v>381</v>
      </c>
      <c r="E123" s="80" t="s">
        <v>489</v>
      </c>
      <c r="F123" s="74" t="s">
        <v>688</v>
      </c>
    </row>
    <row r="124" customFormat="false" ht="30" hidden="false" customHeight="true" outlineLevel="0" collapsed="false">
      <c r="A124" s="3" t="s">
        <v>689</v>
      </c>
      <c r="B124" s="2" t="s">
        <v>690</v>
      </c>
      <c r="C124" s="88" t="n">
        <v>6</v>
      </c>
      <c r="D124" s="2" t="s">
        <v>381</v>
      </c>
      <c r="E124" s="80" t="s">
        <v>411</v>
      </c>
      <c r="F124" s="74" t="s">
        <v>691</v>
      </c>
    </row>
    <row r="125" customFormat="false" ht="15" hidden="false" customHeight="false" outlineLevel="0" collapsed="false">
      <c r="A125" s="3" t="s">
        <v>692</v>
      </c>
      <c r="B125" s="2" t="s">
        <v>693</v>
      </c>
      <c r="C125" s="83" t="s">
        <v>651</v>
      </c>
      <c r="D125" s="2" t="s">
        <v>488</v>
      </c>
      <c r="E125" s="84" t="s">
        <v>489</v>
      </c>
      <c r="F125" s="74" t="s">
        <v>694</v>
      </c>
    </row>
    <row r="126" customFormat="false" ht="15" hidden="false" customHeight="false" outlineLevel="0" collapsed="false">
      <c r="A126" s="3" t="s">
        <v>695</v>
      </c>
      <c r="B126" s="2" t="s">
        <v>696</v>
      </c>
      <c r="C126" s="88" t="n">
        <v>150</v>
      </c>
      <c r="D126" s="2" t="s">
        <v>381</v>
      </c>
      <c r="E126" s="80" t="s">
        <v>489</v>
      </c>
      <c r="F126" s="74" t="s">
        <v>697</v>
      </c>
    </row>
    <row r="127" customFormat="false" ht="15" hidden="false" customHeight="false" outlineLevel="0" collapsed="false">
      <c r="A127" s="3" t="s">
        <v>698</v>
      </c>
      <c r="B127" s="2" t="s">
        <v>699</v>
      </c>
      <c r="C127" s="88" t="n">
        <v>200</v>
      </c>
      <c r="D127" s="2" t="s">
        <v>381</v>
      </c>
      <c r="E127" s="80" t="s">
        <v>489</v>
      </c>
      <c r="F127" s="74" t="s">
        <v>700</v>
      </c>
    </row>
    <row r="128" customFormat="false" ht="15" hidden="false" customHeight="false" outlineLevel="0" collapsed="false">
      <c r="A128" s="3" t="s">
        <v>701</v>
      </c>
      <c r="B128" s="2" t="s">
        <v>702</v>
      </c>
      <c r="C128" s="83" t="s">
        <v>66</v>
      </c>
      <c r="D128" s="2" t="s">
        <v>488</v>
      </c>
      <c r="E128" s="84" t="s">
        <v>489</v>
      </c>
      <c r="F128" s="74" t="s">
        <v>703</v>
      </c>
    </row>
    <row r="130" customFormat="false" ht="15" hidden="false" customHeight="false" outlineLevel="0" collapsed="false">
      <c r="A130" s="6" t="s">
        <v>704</v>
      </c>
    </row>
    <row r="131" customFormat="false" ht="15" hidden="false" customHeight="false" outlineLevel="0" collapsed="false">
      <c r="A131" s="3" t="s">
        <v>705</v>
      </c>
      <c r="B131" s="2" t="s">
        <v>706</v>
      </c>
      <c r="C131" s="86" t="n">
        <v>1</v>
      </c>
      <c r="D131" s="2" t="s">
        <v>410</v>
      </c>
      <c r="E131" s="80" t="s">
        <v>489</v>
      </c>
      <c r="F131" s="74" t="s">
        <v>707</v>
      </c>
    </row>
    <row r="132" customFormat="false" ht="15" hidden="false" customHeight="false" outlineLevel="0" collapsed="false">
      <c r="A132" s="3" t="s">
        <v>708</v>
      </c>
      <c r="B132" s="2" t="s">
        <v>709</v>
      </c>
      <c r="C132" s="90" t="n">
        <f aca="false">B2C_Pricing!$B$18</f>
        <v>0.614725</v>
      </c>
      <c r="D132" s="2" t="s">
        <v>533</v>
      </c>
      <c r="E132" s="80" t="s">
        <v>365</v>
      </c>
      <c r="F132" s="74" t="s">
        <v>710</v>
      </c>
    </row>
    <row r="133" customFormat="false" ht="15" hidden="false" customHeight="false" outlineLevel="0" collapsed="false">
      <c r="A133" s="3" t="s">
        <v>711</v>
      </c>
      <c r="B133" s="2" t="s">
        <v>712</v>
      </c>
      <c r="C133" s="91" t="n">
        <f aca="false">B2C_Pricing!$B$21</f>
        <v>0.725647647321973</v>
      </c>
      <c r="D133" s="2" t="s">
        <v>21</v>
      </c>
      <c r="E133" s="80" t="s">
        <v>365</v>
      </c>
      <c r="F133" s="74" t="s">
        <v>713</v>
      </c>
    </row>
    <row r="134" customFormat="false" ht="15" hidden="false" customHeight="false" outlineLevel="0" collapsed="false">
      <c r="A134" s="3" t="s">
        <v>714</v>
      </c>
      <c r="B134" s="2" t="s">
        <v>715</v>
      </c>
      <c r="C134" s="89" t="n">
        <v>1</v>
      </c>
      <c r="D134" s="2" t="s">
        <v>533</v>
      </c>
      <c r="E134" s="80" t="s">
        <v>365</v>
      </c>
      <c r="F134" s="74" t="s">
        <v>716</v>
      </c>
    </row>
    <row r="135" customFormat="false" ht="15" hidden="false" customHeight="false" outlineLevel="0" collapsed="false">
      <c r="A135" s="3" t="s">
        <v>717</v>
      </c>
      <c r="B135" s="2" t="s">
        <v>718</v>
      </c>
      <c r="C135" s="87" t="n">
        <v>0.4</v>
      </c>
      <c r="D135" s="2" t="s">
        <v>21</v>
      </c>
      <c r="E135" s="80" t="s">
        <v>365</v>
      </c>
      <c r="F135" s="74" t="s">
        <v>716</v>
      </c>
    </row>
    <row r="136" customFormat="false" ht="15" hidden="false" customHeight="false" outlineLevel="0" collapsed="false">
      <c r="A136" s="3" t="s">
        <v>719</v>
      </c>
      <c r="B136" s="2" t="s">
        <v>720</v>
      </c>
      <c r="C136" s="87" t="n">
        <v>0</v>
      </c>
      <c r="D136" s="2" t="s">
        <v>21</v>
      </c>
      <c r="E136" s="80" t="s">
        <v>489</v>
      </c>
      <c r="F136" s="74" t="s">
        <v>721</v>
      </c>
    </row>
    <row r="137" customFormat="false" ht="15" hidden="false" customHeight="false" outlineLevel="0" collapsed="false">
      <c r="A137" s="3" t="s">
        <v>722</v>
      </c>
      <c r="B137" s="2" t="s">
        <v>723</v>
      </c>
      <c r="C137" s="89" t="n">
        <v>4.144</v>
      </c>
      <c r="D137" s="2" t="s">
        <v>373</v>
      </c>
      <c r="E137" s="80" t="s">
        <v>411</v>
      </c>
      <c r="F137" s="74" t="s">
        <v>724</v>
      </c>
    </row>
    <row r="138" customFormat="false" ht="15" hidden="false" customHeight="false" outlineLevel="0" collapsed="false">
      <c r="A138" s="3" t="s">
        <v>725</v>
      </c>
      <c r="B138" s="2" t="s">
        <v>726</v>
      </c>
      <c r="C138" s="89" t="n">
        <v>2.73</v>
      </c>
      <c r="D138" s="2" t="s">
        <v>373</v>
      </c>
      <c r="E138" s="80" t="s">
        <v>411</v>
      </c>
      <c r="F138" s="74" t="s">
        <v>727</v>
      </c>
    </row>
    <row r="139" customFormat="false" ht="15" hidden="false" customHeight="false" outlineLevel="0" collapsed="false">
      <c r="A139" s="3" t="s">
        <v>728</v>
      </c>
      <c r="B139" s="2" t="s">
        <v>729</v>
      </c>
      <c r="C139" s="89" t="n">
        <v>20</v>
      </c>
      <c r="D139" s="2" t="s">
        <v>373</v>
      </c>
      <c r="E139" s="80" t="s">
        <v>365</v>
      </c>
      <c r="F139" s="74" t="s">
        <v>730</v>
      </c>
    </row>
    <row r="140" customFormat="false" ht="15" hidden="false" customHeight="false" outlineLevel="0" collapsed="false">
      <c r="A140" s="3" t="s">
        <v>731</v>
      </c>
      <c r="B140" s="2" t="s">
        <v>732</v>
      </c>
      <c r="C140" s="89" t="n">
        <v>8</v>
      </c>
      <c r="D140" s="2" t="s">
        <v>373</v>
      </c>
      <c r="E140" s="80" t="s">
        <v>365</v>
      </c>
      <c r="F140" s="74" t="s">
        <v>716</v>
      </c>
    </row>
    <row r="141" customFormat="false" ht="15" hidden="false" customHeight="false" outlineLevel="0" collapsed="false">
      <c r="A141" s="3" t="s">
        <v>733</v>
      </c>
      <c r="B141" s="2" t="s">
        <v>734</v>
      </c>
      <c r="C141" s="83" t="s">
        <v>735</v>
      </c>
      <c r="D141" s="2" t="s">
        <v>488</v>
      </c>
      <c r="E141" s="84" t="s">
        <v>365</v>
      </c>
      <c r="F141" s="74" t="s">
        <v>736</v>
      </c>
    </row>
    <row r="142" customFormat="false" ht="15" hidden="false" customHeight="false" outlineLevel="0" collapsed="false">
      <c r="A142" s="3" t="s">
        <v>737</v>
      </c>
      <c r="B142" s="2" t="s">
        <v>738</v>
      </c>
      <c r="C142" s="90" t="n">
        <f aca="false">Channels!$B$10</f>
        <v>15.525</v>
      </c>
      <c r="D142" s="2" t="s">
        <v>739</v>
      </c>
      <c r="E142" s="80" t="s">
        <v>411</v>
      </c>
      <c r="F142" s="74" t="s">
        <v>740</v>
      </c>
    </row>
    <row r="143" customFormat="false" ht="15" hidden="false" customHeight="false" outlineLevel="0" collapsed="false">
      <c r="A143" s="3" t="s">
        <v>741</v>
      </c>
      <c r="B143" s="2" t="s">
        <v>742</v>
      </c>
      <c r="C143" s="90" t="n">
        <f aca="false">Channels!$C$10</f>
        <v>11.98725</v>
      </c>
      <c r="D143" s="2" t="s">
        <v>739</v>
      </c>
      <c r="E143" s="80" t="s">
        <v>411</v>
      </c>
      <c r="F143" s="74" t="s">
        <v>743</v>
      </c>
    </row>
    <row r="144" customFormat="false" ht="15" hidden="false" customHeight="false" outlineLevel="0" collapsed="false">
      <c r="A144" s="3" t="s">
        <v>744</v>
      </c>
      <c r="B144" s="2" t="s">
        <v>745</v>
      </c>
      <c r="C144" s="90" t="n">
        <f aca="false">Channels!$D$10</f>
        <v>26.55</v>
      </c>
      <c r="D144" s="2" t="s">
        <v>208</v>
      </c>
      <c r="E144" s="80" t="s">
        <v>411</v>
      </c>
      <c r="F144" s="74" t="s">
        <v>746</v>
      </c>
    </row>
    <row r="145" customFormat="false" ht="15" hidden="false" customHeight="false" outlineLevel="0" collapsed="false">
      <c r="A145" s="3" t="s">
        <v>747</v>
      </c>
      <c r="B145" s="2" t="s">
        <v>748</v>
      </c>
      <c r="C145" s="87" t="n">
        <v>0.4</v>
      </c>
      <c r="D145" s="2" t="s">
        <v>21</v>
      </c>
      <c r="E145" s="80" t="s">
        <v>411</v>
      </c>
      <c r="F145" s="74" t="s">
        <v>749</v>
      </c>
    </row>
    <row r="146" customFormat="false" ht="26.85" hidden="false" customHeight="false" outlineLevel="0" collapsed="false">
      <c r="A146" s="3" t="s">
        <v>750</v>
      </c>
      <c r="B146" s="2" t="s">
        <v>751</v>
      </c>
      <c r="C146" s="87" t="n">
        <v>0.05</v>
      </c>
      <c r="D146" s="2" t="s">
        <v>21</v>
      </c>
      <c r="E146" s="80" t="s">
        <v>489</v>
      </c>
      <c r="F146" s="74" t="s">
        <v>752</v>
      </c>
    </row>
    <row r="147" customFormat="false" ht="15" hidden="false" customHeight="false" outlineLevel="0" collapsed="false">
      <c r="A147" s="3" t="s">
        <v>753</v>
      </c>
      <c r="B147" s="2" t="s">
        <v>754</v>
      </c>
      <c r="C147" s="89" t="n">
        <v>0.2</v>
      </c>
      <c r="D147" s="2" t="s">
        <v>755</v>
      </c>
      <c r="E147" s="80" t="s">
        <v>411</v>
      </c>
      <c r="F147" s="74" t="s">
        <v>756</v>
      </c>
    </row>
    <row r="148" customFormat="false" ht="15" hidden="false" customHeight="false" outlineLevel="0" collapsed="false">
      <c r="A148" s="3" t="s">
        <v>757</v>
      </c>
      <c r="B148" s="2" t="s">
        <v>758</v>
      </c>
      <c r="C148" s="89" t="n">
        <v>2</v>
      </c>
      <c r="D148" s="2" t="s">
        <v>755</v>
      </c>
      <c r="E148" s="80" t="s">
        <v>411</v>
      </c>
      <c r="F148" s="74" t="s">
        <v>759</v>
      </c>
    </row>
    <row r="149" customFormat="false" ht="15" hidden="false" customHeight="false" outlineLevel="0" collapsed="false">
      <c r="A149" s="3" t="s">
        <v>760</v>
      </c>
      <c r="B149" s="2" t="s">
        <v>761</v>
      </c>
      <c r="C149" s="87" t="n">
        <v>0.3</v>
      </c>
      <c r="D149" s="2" t="s">
        <v>21</v>
      </c>
      <c r="E149" s="80" t="s">
        <v>411</v>
      </c>
      <c r="F149" s="74" t="s">
        <v>762</v>
      </c>
    </row>
    <row r="150" customFormat="false" ht="15" hidden="false" customHeight="false" outlineLevel="0" collapsed="false">
      <c r="A150" s="3" t="s">
        <v>763</v>
      </c>
      <c r="B150" s="2" t="s">
        <v>764</v>
      </c>
      <c r="C150" s="89" t="n">
        <v>1</v>
      </c>
      <c r="D150" s="2" t="s">
        <v>208</v>
      </c>
      <c r="E150" s="80" t="s">
        <v>411</v>
      </c>
      <c r="F150" s="74" t="s">
        <v>765</v>
      </c>
    </row>
    <row r="151" customFormat="false" ht="15" hidden="false" customHeight="false" outlineLevel="0" collapsed="false">
      <c r="A151" s="3" t="s">
        <v>766</v>
      </c>
      <c r="B151" s="2" t="s">
        <v>767</v>
      </c>
      <c r="C151" s="87" t="n">
        <v>0.25</v>
      </c>
      <c r="D151" s="2" t="s">
        <v>21</v>
      </c>
      <c r="E151" s="80" t="s">
        <v>411</v>
      </c>
      <c r="F151" s="74" t="s">
        <v>768</v>
      </c>
    </row>
    <row r="152" customFormat="false" ht="15" hidden="false" customHeight="false" outlineLevel="0" collapsed="false">
      <c r="A152" s="3" t="s">
        <v>769</v>
      </c>
      <c r="B152" s="2" t="s">
        <v>770</v>
      </c>
      <c r="C152" s="86" t="n">
        <v>1</v>
      </c>
      <c r="D152" s="2" t="s">
        <v>410</v>
      </c>
      <c r="E152" s="80" t="s">
        <v>489</v>
      </c>
      <c r="F152" s="74" t="s">
        <v>771</v>
      </c>
    </row>
    <row r="153" customFormat="false" ht="15" hidden="false" customHeight="false" outlineLevel="0" collapsed="false">
      <c r="A153" s="3" t="s">
        <v>772</v>
      </c>
      <c r="B153" s="2" t="s">
        <v>773</v>
      </c>
      <c r="C153" s="83" t="s">
        <v>641</v>
      </c>
      <c r="D153" s="2" t="s">
        <v>488</v>
      </c>
      <c r="E153" s="84" t="s">
        <v>489</v>
      </c>
      <c r="F153" s="74" t="s">
        <v>774</v>
      </c>
    </row>
    <row r="154" customFormat="false" ht="15" hidden="false" customHeight="false" outlineLevel="0" collapsed="false">
      <c r="A154" s="3" t="s">
        <v>775</v>
      </c>
      <c r="B154" s="2" t="s">
        <v>776</v>
      </c>
      <c r="C154" s="89" t="n">
        <v>0.34</v>
      </c>
      <c r="D154" s="2" t="s">
        <v>26</v>
      </c>
      <c r="E154" s="80" t="s">
        <v>411</v>
      </c>
      <c r="F154" s="74" t="s">
        <v>777</v>
      </c>
    </row>
    <row r="155" customFormat="false" ht="15" hidden="false" customHeight="false" outlineLevel="0" collapsed="false">
      <c r="A155" s="3" t="s">
        <v>778</v>
      </c>
      <c r="B155" s="2" t="s">
        <v>779</v>
      </c>
      <c r="C155" s="89" t="n">
        <v>0.3</v>
      </c>
      <c r="D155" s="2" t="s">
        <v>780</v>
      </c>
      <c r="E155" s="80" t="s">
        <v>411</v>
      </c>
      <c r="F155" s="74" t="s">
        <v>781</v>
      </c>
    </row>
    <row r="156" customFormat="false" ht="15" hidden="false" customHeight="false" outlineLevel="0" collapsed="false">
      <c r="A156" s="3" t="s">
        <v>782</v>
      </c>
      <c r="B156" s="2" t="s">
        <v>783</v>
      </c>
      <c r="C156" s="89" t="n">
        <v>0.07</v>
      </c>
      <c r="D156" s="2" t="s">
        <v>780</v>
      </c>
      <c r="E156" s="80" t="s">
        <v>411</v>
      </c>
      <c r="F156" s="74" t="s">
        <v>784</v>
      </c>
    </row>
    <row r="157" customFormat="false" ht="15" hidden="false" customHeight="false" outlineLevel="0" collapsed="false">
      <c r="A157" s="3" t="s">
        <v>785</v>
      </c>
      <c r="B157" s="2" t="s">
        <v>786</v>
      </c>
      <c r="C157" s="87" t="n">
        <v>0.5</v>
      </c>
      <c r="D157" s="2" t="s">
        <v>21</v>
      </c>
      <c r="E157" s="80" t="s">
        <v>365</v>
      </c>
      <c r="F157" s="74" t="s">
        <v>787</v>
      </c>
    </row>
    <row r="158" customFormat="false" ht="15" hidden="false" customHeight="false" outlineLevel="0" collapsed="false">
      <c r="A158" s="3" t="s">
        <v>788</v>
      </c>
      <c r="B158" s="2" t="s">
        <v>789</v>
      </c>
      <c r="C158" s="86" t="n">
        <v>80</v>
      </c>
      <c r="D158" s="2" t="s">
        <v>219</v>
      </c>
      <c r="E158" s="80" t="s">
        <v>411</v>
      </c>
      <c r="F158" s="74" t="s">
        <v>790</v>
      </c>
    </row>
    <row r="159" customFormat="false" ht="15" hidden="false" customHeight="false" outlineLevel="0" collapsed="false">
      <c r="A159" s="3" t="s">
        <v>791</v>
      </c>
      <c r="B159" s="2" t="s">
        <v>792</v>
      </c>
      <c r="C159" s="87" t="n">
        <v>0.05</v>
      </c>
      <c r="D159" s="2" t="s">
        <v>21</v>
      </c>
      <c r="E159" s="80" t="s">
        <v>411</v>
      </c>
      <c r="F159" s="74" t="s">
        <v>793</v>
      </c>
    </row>
    <row r="160" customFormat="false" ht="15" hidden="false" customHeight="false" outlineLevel="0" collapsed="false">
      <c r="A160" s="3" t="s">
        <v>794</v>
      </c>
      <c r="B160" s="2" t="s">
        <v>795</v>
      </c>
      <c r="C160" s="87" t="n">
        <v>0.5</v>
      </c>
      <c r="D160" s="2" t="s">
        <v>21</v>
      </c>
      <c r="E160" s="80" t="s">
        <v>411</v>
      </c>
      <c r="F160" s="74" t="s">
        <v>796</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203125" defaultRowHeight="15" zeroHeight="false" outlineLevelRow="0" outlineLevelCol="0"/>
  <cols>
    <col collapsed="false" customWidth="true" hidden="false" outlineLevel="0" max="1" min="1" style="0" width="58"/>
    <col collapsed="false" customWidth="true" hidden="false" outlineLevel="0" max="19" min="2" style="0" width="8"/>
  </cols>
  <sheetData>
    <row r="1" customFormat="false" ht="16.5" hidden="false" customHeight="true" outlineLevel="0" collapsed="false">
      <c r="A1" s="23" t="s">
        <v>797</v>
      </c>
    </row>
    <row r="2" customFormat="false" ht="15" hidden="false" customHeight="false" outlineLevel="0" collapsed="false">
      <c r="A2" s="17" t="s">
        <v>798</v>
      </c>
    </row>
    <row r="4" customFormat="false" ht="15" hidden="false" customHeight="false" outlineLevel="0" collapsed="false">
      <c r="A4" s="35" t="s">
        <v>176</v>
      </c>
      <c r="B4" s="35" t="s">
        <v>6</v>
      </c>
      <c r="C4" s="35" t="s">
        <v>177</v>
      </c>
      <c r="D4" s="35" t="s">
        <v>178</v>
      </c>
      <c r="E4" s="35" t="str">
        <f aca="false">Volume!E4</f>
        <v>Oct-26</v>
      </c>
      <c r="F4" s="35" t="str">
        <f aca="false">Volume!F4</f>
        <v>Nov-26</v>
      </c>
      <c r="G4" s="35" t="str">
        <f aca="false">Volume!G4</f>
        <v>Dec-26</v>
      </c>
      <c r="H4" s="35" t="str">
        <f aca="false">Volume!H4</f>
        <v>Jan-27</v>
      </c>
      <c r="I4" s="35" t="str">
        <f aca="false">Volume!I4</f>
        <v>Feb-27</v>
      </c>
      <c r="J4" s="35" t="str">
        <f aca="false">Volume!J4</f>
        <v>Mar-27</v>
      </c>
      <c r="K4" s="35" t="str">
        <f aca="false">Volume!K4</f>
        <v>Apr-27</v>
      </c>
      <c r="L4" s="35" t="str">
        <f aca="false">Volume!L4</f>
        <v>May-27</v>
      </c>
      <c r="M4" s="35" t="str">
        <f aca="false">Volume!M4</f>
        <v>Jun-27</v>
      </c>
      <c r="N4" s="35" t="str">
        <f aca="false">Volume!N4</f>
        <v>Jul-27</v>
      </c>
      <c r="O4" s="35" t="str">
        <f aca="false">Volume!O4</f>
        <v>Aug-27</v>
      </c>
      <c r="P4" s="35" t="str">
        <f aca="false">Volume!P4</f>
        <v>Sep-27</v>
      </c>
      <c r="Q4" s="35" t="str">
        <f aca="false">Volume!Q4</f>
        <v>Oct-27</v>
      </c>
      <c r="R4" s="35" t="str">
        <f aca="false">Volume!R4</f>
        <v>Nov-27</v>
      </c>
      <c r="S4" s="35" t="str">
        <f aca="false">Volume!S4</f>
        <v>Dec-27</v>
      </c>
    </row>
    <row r="5" customFormat="false" ht="15" hidden="false" customHeight="false" outlineLevel="0" collapsed="false">
      <c r="A5" s="6" t="s">
        <v>799</v>
      </c>
    </row>
    <row r="6" customFormat="false" ht="15" hidden="false" customHeight="false" outlineLevel="0" collapsed="false">
      <c r="A6" s="51" t="s">
        <v>800</v>
      </c>
      <c r="B6" s="3" t="s">
        <v>10</v>
      </c>
      <c r="C6" s="92" t="n">
        <f aca="false">SUM(E6:G6)</f>
        <v>7.5966402683354</v>
      </c>
      <c r="D6" s="92" t="n">
        <f aca="false">SUM(H6:S6)</f>
        <v>56.4217238609256</v>
      </c>
      <c r="E6" s="93" t="n">
        <f aca="false">IF(E30&gt;=2,MAX(Inputs!$C$122,Inputs!$C$118+Inputs!$C$119*(Volume!E28+Volume!E26*Inputs!$C$68+Volume!E43)+IF((Volume!E28+Volume!E26*Inputs!$C$68+Volume!E43)&gt;=Inputs!$C$121,Inputs!$C$120,0)),Inputs!$C$118+Inputs!$C$119*(Volume!E28+Volume!E26*Inputs!$C$68+Volume!E43)+IF((Volume!E28+Volume!E26*Inputs!$C$68+Volume!E43)&gt;=Inputs!$C$121,Inputs!$C$120,0))</f>
        <v>2.0055256231213</v>
      </c>
      <c r="F6" s="93" t="n">
        <f aca="false">IF(F30&gt;=2,MAX(Inputs!$C$122,Inputs!$C$118+Inputs!$C$119*(Volume!F28+Volume!F26*Inputs!$C$68+Volume!F43)+IF((Volume!F28+Volume!F26*Inputs!$C$68+Volume!F43)&gt;=Inputs!$C$121,Inputs!$C$120,0)),Inputs!$C$118+Inputs!$C$119*(Volume!F28+Volume!F26*Inputs!$C$68+Volume!F43)+IF((Volume!F28+Volume!F26*Inputs!$C$68+Volume!F43)&gt;=Inputs!$C$121,Inputs!$C$120,0))</f>
        <v>2.7946698242141</v>
      </c>
      <c r="G6" s="93" t="n">
        <f aca="false">IF(G30&gt;=2,MAX(Inputs!$C$122,Inputs!$C$118+Inputs!$C$119*(Volume!G28+Volume!G26*Inputs!$C$68+Volume!G43)+IF((Volume!G28+Volume!G26*Inputs!$C$68+Volume!G43)&gt;=Inputs!$C$121,Inputs!$C$120,0)),Inputs!$C$118+Inputs!$C$119*(Volume!G28+Volume!G26*Inputs!$C$68+Volume!G43)+IF((Volume!G28+Volume!G26*Inputs!$C$68+Volume!G43)&gt;=Inputs!$C$121,Inputs!$C$120,0))</f>
        <v>2.796444821</v>
      </c>
      <c r="H6" s="93" t="n">
        <f aca="false">IF(H30&gt;=2,MAX(Inputs!$C$122,Inputs!$C$118+Inputs!$C$119*(Volume!H28+Volume!H26*Inputs!$C$68+Volume!H43)+IF((Volume!H28+Volume!H26*Inputs!$C$68+Volume!H43)&gt;=Inputs!$C$121,Inputs!$C$120,0)),Inputs!$C$118+Inputs!$C$119*(Volume!H28+Volume!H26*Inputs!$C$68+Volume!H43)+IF((Volume!H28+Volume!H26*Inputs!$C$68+Volume!H43)&gt;=Inputs!$C$121,Inputs!$C$120,0))</f>
        <v>2.81615152651758</v>
      </c>
      <c r="I6" s="93" t="n">
        <f aca="false">IF(I30&gt;=2,MAX(Inputs!$C$122,Inputs!$C$118+Inputs!$C$119*(Volume!I28+Volume!I26*Inputs!$C$68+Volume!I43)+IF((Volume!I28+Volume!I26*Inputs!$C$68+Volume!I43)&gt;=Inputs!$C$121,Inputs!$C$120,0)),Inputs!$C$118+Inputs!$C$119*(Volume!I28+Volume!I26*Inputs!$C$68+Volume!I43)+IF((Volume!I28+Volume!I26*Inputs!$C$68+Volume!I43)&gt;=Inputs!$C$121,Inputs!$C$120,0))</f>
        <v>3.15580530254365</v>
      </c>
      <c r="J6" s="93" t="n">
        <f aca="false">IF(J30&gt;=2,MAX(Inputs!$C$122,Inputs!$C$118+Inputs!$C$119*(Volume!J28+Volume!J26*Inputs!$C$68+Volume!J43)+IF((Volume!J28+Volume!J26*Inputs!$C$68+Volume!J43)&gt;=Inputs!$C$121,Inputs!$C$120,0)),Inputs!$C$118+Inputs!$C$119*(Volume!J28+Volume!J26*Inputs!$C$68+Volume!J43)+IF((Volume!J28+Volume!J26*Inputs!$C$68+Volume!J43)&gt;=Inputs!$C$121,Inputs!$C$120,0))</f>
        <v>3.2601380875</v>
      </c>
      <c r="K6" s="93" t="n">
        <f aca="false">IF(K30&gt;=2,MAX(Inputs!$C$122,Inputs!$C$118+Inputs!$C$119*(Volume!K28+Volume!K26*Inputs!$C$68+Volume!K43)+IF((Volume!K28+Volume!K26*Inputs!$C$68+Volume!K43)&gt;=Inputs!$C$121,Inputs!$C$120,0)),Inputs!$C$118+Inputs!$C$119*(Volume!K28+Volume!K26*Inputs!$C$68+Volume!K43)+IF((Volume!K28+Volume!K26*Inputs!$C$68+Volume!K43)&gt;=Inputs!$C$121,Inputs!$C$120,0))</f>
        <v>3.53519489214154</v>
      </c>
      <c r="L6" s="93" t="n">
        <f aca="false">IF(L30&gt;=2,MAX(Inputs!$C$122,Inputs!$C$118+Inputs!$C$119*(Volume!L28+Volume!L26*Inputs!$C$68+Volume!L43)+IF((Volume!L28+Volume!L26*Inputs!$C$68+Volume!L43)&gt;=Inputs!$C$121,Inputs!$C$120,0)),Inputs!$C$118+Inputs!$C$119*(Volume!L28+Volume!L26*Inputs!$C$68+Volume!L43)+IF((Volume!L28+Volume!L26*Inputs!$C$68+Volume!L43)&gt;=Inputs!$C$121,Inputs!$C$120,0))</f>
        <v>3.54443405222286</v>
      </c>
      <c r="M6" s="93" t="n">
        <f aca="false">IF(M30&gt;=2,MAX(Inputs!$C$122,Inputs!$C$118+Inputs!$C$119*(Volume!M28+Volume!M26*Inputs!$C$68+Volume!M43)+IF((Volume!M28+Volume!M26*Inputs!$C$68+Volume!M43)&gt;=Inputs!$C$121,Inputs!$C$120,0)),Inputs!$C$118+Inputs!$C$119*(Volume!M28+Volume!M26*Inputs!$C$68+Volume!M43)+IF((Volume!M28+Volume!M26*Inputs!$C$68+Volume!M43)&gt;=Inputs!$C$121,Inputs!$C$120,0))</f>
        <v>5.73</v>
      </c>
      <c r="N6" s="93" t="n">
        <f aca="false">IF(N30&gt;=2,MAX(Inputs!$C$122,Inputs!$C$118+Inputs!$C$119*(Volume!N28+Volume!N26*Inputs!$C$68+Volume!N43)+IF((Volume!N28+Volume!N26*Inputs!$C$68+Volume!N43)&gt;=Inputs!$C$121,Inputs!$C$120,0)),Inputs!$C$118+Inputs!$C$119*(Volume!N28+Volume!N26*Inputs!$C$68+Volume!N43)+IF((Volume!N28+Volume!N26*Inputs!$C$68+Volume!N43)&gt;=Inputs!$C$121,Inputs!$C$120,0))</f>
        <v>5.73</v>
      </c>
      <c r="O6" s="93" t="n">
        <f aca="false">IF(O30&gt;=2,MAX(Inputs!$C$122,Inputs!$C$118+Inputs!$C$119*(Volume!O28+Volume!O26*Inputs!$C$68+Volume!O43)+IF((Volume!O28+Volume!O26*Inputs!$C$68+Volume!O43)&gt;=Inputs!$C$121,Inputs!$C$120,0)),Inputs!$C$118+Inputs!$C$119*(Volume!O28+Volume!O26*Inputs!$C$68+Volume!O43)+IF((Volume!O28+Volume!O26*Inputs!$C$68+Volume!O43)&gt;=Inputs!$C$121,Inputs!$C$120,0))</f>
        <v>5.73</v>
      </c>
      <c r="P6" s="93" t="n">
        <f aca="false">IF(P30&gt;=2,MAX(Inputs!$C$122,Inputs!$C$118+Inputs!$C$119*(Volume!P28+Volume!P26*Inputs!$C$68+Volume!P43)+IF((Volume!P28+Volume!P26*Inputs!$C$68+Volume!P43)&gt;=Inputs!$C$121,Inputs!$C$120,0)),Inputs!$C$118+Inputs!$C$119*(Volume!P28+Volume!P26*Inputs!$C$68+Volume!P43)+IF((Volume!P28+Volume!P26*Inputs!$C$68+Volume!P43)&gt;=Inputs!$C$121,Inputs!$C$120,0))</f>
        <v>5.73</v>
      </c>
      <c r="Q6" s="93" t="n">
        <f aca="false">IF(Q30&gt;=2,MAX(Inputs!$C$122,Inputs!$C$118+Inputs!$C$119*(Volume!Q28+Volume!Q26*Inputs!$C$68+Volume!Q43)+IF((Volume!Q28+Volume!Q26*Inputs!$C$68+Volume!Q43)&gt;=Inputs!$C$121,Inputs!$C$120,0)),Inputs!$C$118+Inputs!$C$119*(Volume!Q28+Volume!Q26*Inputs!$C$68+Volume!Q43)+IF((Volume!Q28+Volume!Q26*Inputs!$C$68+Volume!Q43)&gt;=Inputs!$C$121,Inputs!$C$120,0))</f>
        <v>5.73</v>
      </c>
      <c r="R6" s="93" t="n">
        <f aca="false">IF(R30&gt;=2,MAX(Inputs!$C$122,Inputs!$C$118+Inputs!$C$119*(Volume!R28+Volume!R26*Inputs!$C$68+Volume!R43)+IF((Volume!R28+Volume!R26*Inputs!$C$68+Volume!R43)&gt;=Inputs!$C$121,Inputs!$C$120,0)),Inputs!$C$118+Inputs!$C$119*(Volume!R28+Volume!R26*Inputs!$C$68+Volume!R43)+IF((Volume!R28+Volume!R26*Inputs!$C$68+Volume!R43)&gt;=Inputs!$C$121,Inputs!$C$120,0))</f>
        <v>5.73</v>
      </c>
      <c r="S6" s="93" t="n">
        <f aca="false">IF(S30&gt;=2,MAX(Inputs!$C$122,Inputs!$C$118+Inputs!$C$119*(Volume!S28+Volume!S26*Inputs!$C$68+Volume!S43)+IF((Volume!S28+Volume!S26*Inputs!$C$68+Volume!S43)&gt;=Inputs!$C$121,Inputs!$C$120,0)),Inputs!$C$118+Inputs!$C$119*(Volume!S28+Volume!S26*Inputs!$C$68+Volume!S43)+IF((Volume!S28+Volume!S26*Inputs!$C$68+Volume!S43)&gt;=Inputs!$C$121,Inputs!$C$120,0))</f>
        <v>5.73</v>
      </c>
    </row>
    <row r="7" customFormat="false" ht="15" hidden="false" customHeight="false" outlineLevel="0" collapsed="false">
      <c r="A7" s="51" t="s">
        <v>801</v>
      </c>
      <c r="B7" s="3" t="s">
        <v>10</v>
      </c>
      <c r="C7" s="92" t="n">
        <f aca="false">SUM(E7:G7)</f>
        <v>4.5</v>
      </c>
      <c r="D7" s="92" t="n">
        <f aca="false">SUM(H7:S7)</f>
        <v>44.19</v>
      </c>
      <c r="E7" s="93" t="n">
        <f aca="false">CHOOSE(E30+1,1.5,3,4.5,Inputs!$C$122)</f>
        <v>1.5</v>
      </c>
      <c r="F7" s="93" t="n">
        <f aca="false">CHOOSE(F30+1,1.5,3,4.5,Inputs!$C$122)</f>
        <v>1.5</v>
      </c>
      <c r="G7" s="93" t="n">
        <f aca="false">CHOOSE(G30+1,1.5,3,4.5,Inputs!$C$122)</f>
        <v>1.5</v>
      </c>
      <c r="H7" s="93" t="n">
        <f aca="false">CHOOSE(H30+1,1.5,3,4.5,Inputs!$C$122)</f>
        <v>1.5</v>
      </c>
      <c r="I7" s="93" t="n">
        <f aca="false">CHOOSE(I30+1,1.5,3,4.5,Inputs!$C$122)</f>
        <v>1.5</v>
      </c>
      <c r="J7" s="93" t="n">
        <f aca="false">CHOOSE(J30+1,1.5,3,4.5,Inputs!$C$122)</f>
        <v>1.5</v>
      </c>
      <c r="K7" s="93" t="n">
        <f aca="false">CHOOSE(K30+1,1.5,3,4.5,Inputs!$C$122)</f>
        <v>1.5</v>
      </c>
      <c r="L7" s="93" t="n">
        <f aca="false">CHOOSE(L30+1,1.5,3,4.5,Inputs!$C$122)</f>
        <v>3</v>
      </c>
      <c r="M7" s="93" t="n">
        <f aca="false">CHOOSE(M30+1,1.5,3,4.5,Inputs!$C$122)</f>
        <v>4.5</v>
      </c>
      <c r="N7" s="93" t="n">
        <f aca="false">CHOOSE(N30+1,1.5,3,4.5,Inputs!$C$122)</f>
        <v>4.5</v>
      </c>
      <c r="O7" s="93" t="n">
        <f aca="false">CHOOSE(O30+1,1.5,3,4.5,Inputs!$C$122)</f>
        <v>4.5</v>
      </c>
      <c r="P7" s="93" t="n">
        <f aca="false">CHOOSE(P30+1,1.5,3,4.5,Inputs!$C$122)</f>
        <v>4.5</v>
      </c>
      <c r="Q7" s="93" t="n">
        <f aca="false">CHOOSE(Q30+1,1.5,3,4.5,Inputs!$C$122)</f>
        <v>5.73</v>
      </c>
      <c r="R7" s="93" t="n">
        <f aca="false">CHOOSE(R30+1,1.5,3,4.5,Inputs!$C$122)</f>
        <v>5.73</v>
      </c>
      <c r="S7" s="93" t="n">
        <f aca="false">CHOOSE(S30+1,1.5,3,4.5,Inputs!$C$122)</f>
        <v>5.73</v>
      </c>
    </row>
    <row r="8" customFormat="false" ht="15" hidden="false" customHeight="false" outlineLevel="0" collapsed="false">
      <c r="A8" s="51" t="s">
        <v>802</v>
      </c>
      <c r="B8" s="3" t="s">
        <v>10</v>
      </c>
      <c r="C8" s="92" t="n">
        <f aca="false">SUM(E8:G8)</f>
        <v>7.5</v>
      </c>
      <c r="D8" s="92" t="n">
        <f aca="false">SUM(H8:S8)</f>
        <v>42</v>
      </c>
      <c r="E8" s="93" t="n">
        <f aca="false">IF(E30&gt;=1,4,2.5)</f>
        <v>2.5</v>
      </c>
      <c r="F8" s="93" t="n">
        <f aca="false">IF(F30&gt;=1,4,2.5)</f>
        <v>2.5</v>
      </c>
      <c r="G8" s="93" t="n">
        <f aca="false">IF(G30&gt;=1,4,2.5)</f>
        <v>2.5</v>
      </c>
      <c r="H8" s="93" t="n">
        <f aca="false">IF(H30&gt;=1,4,2.5)</f>
        <v>2.5</v>
      </c>
      <c r="I8" s="93" t="n">
        <f aca="false">IF(I30&gt;=1,4,2.5)</f>
        <v>2.5</v>
      </c>
      <c r="J8" s="93" t="n">
        <f aca="false">IF(J30&gt;=1,4,2.5)</f>
        <v>2.5</v>
      </c>
      <c r="K8" s="93" t="n">
        <f aca="false">IF(K30&gt;=1,4,2.5)</f>
        <v>2.5</v>
      </c>
      <c r="L8" s="93" t="n">
        <f aca="false">IF(L30&gt;=1,4,2.5)</f>
        <v>4</v>
      </c>
      <c r="M8" s="93" t="n">
        <f aca="false">IF(M30&gt;=1,4,2.5)</f>
        <v>4</v>
      </c>
      <c r="N8" s="93" t="n">
        <f aca="false">IF(N30&gt;=1,4,2.5)</f>
        <v>4</v>
      </c>
      <c r="O8" s="93" t="n">
        <f aca="false">IF(O30&gt;=1,4,2.5)</f>
        <v>4</v>
      </c>
      <c r="P8" s="93" t="n">
        <f aca="false">IF(P30&gt;=1,4,2.5)</f>
        <v>4</v>
      </c>
      <c r="Q8" s="93" t="n">
        <f aca="false">IF(Q30&gt;=1,4,2.5)</f>
        <v>4</v>
      </c>
      <c r="R8" s="93" t="n">
        <f aca="false">IF(R30&gt;=1,4,2.5)</f>
        <v>4</v>
      </c>
      <c r="S8" s="93" t="n">
        <f aca="false">IF(S30&gt;=1,4,2.5)</f>
        <v>4</v>
      </c>
    </row>
    <row r="9" customFormat="false" ht="15" hidden="false" customHeight="false" outlineLevel="0" collapsed="false">
      <c r="A9" s="51" t="s">
        <v>803</v>
      </c>
      <c r="B9" s="3" t="s">
        <v>10</v>
      </c>
      <c r="C9" s="92" t="n">
        <f aca="false">SUM(E9:G9)</f>
        <v>6.9</v>
      </c>
      <c r="D9" s="92" t="n">
        <f aca="false">SUM(H9:S9)</f>
        <v>55.2</v>
      </c>
      <c r="E9" s="94" t="n">
        <v>2.3</v>
      </c>
      <c r="F9" s="94" t="n">
        <v>2.3</v>
      </c>
      <c r="G9" s="94" t="n">
        <v>2.3</v>
      </c>
      <c r="H9" s="94" t="n">
        <v>4.6</v>
      </c>
      <c r="I9" s="94" t="n">
        <v>4.6</v>
      </c>
      <c r="J9" s="94" t="n">
        <v>4.6</v>
      </c>
      <c r="K9" s="94" t="n">
        <v>4.6</v>
      </c>
      <c r="L9" s="94" t="n">
        <v>4.6</v>
      </c>
      <c r="M9" s="94" t="n">
        <v>4.6</v>
      </c>
      <c r="N9" s="94" t="n">
        <v>4.6</v>
      </c>
      <c r="O9" s="94" t="n">
        <v>4.6</v>
      </c>
      <c r="P9" s="94" t="n">
        <v>4.6</v>
      </c>
      <c r="Q9" s="94" t="n">
        <v>4.6</v>
      </c>
      <c r="R9" s="94" t="n">
        <v>4.6</v>
      </c>
      <c r="S9" s="94" t="n">
        <v>4.6</v>
      </c>
    </row>
    <row r="10" customFormat="false" ht="15" hidden="false" customHeight="false" outlineLevel="0" collapsed="false">
      <c r="A10" s="51" t="s">
        <v>804</v>
      </c>
      <c r="B10" s="3" t="s">
        <v>10</v>
      </c>
      <c r="C10" s="92" t="n">
        <f aca="false">SUM(E10:G10)</f>
        <v>6</v>
      </c>
      <c r="D10" s="92" t="n">
        <f aca="false">SUM(H10:S10)</f>
        <v>24</v>
      </c>
      <c r="E10" s="94" t="n">
        <v>2</v>
      </c>
      <c r="F10" s="94" t="n">
        <v>2</v>
      </c>
      <c r="G10" s="94" t="n">
        <v>2</v>
      </c>
      <c r="H10" s="94" t="n">
        <v>2</v>
      </c>
      <c r="I10" s="94" t="n">
        <v>2</v>
      </c>
      <c r="J10" s="94" t="n">
        <v>2</v>
      </c>
      <c r="K10" s="94" t="n">
        <v>2</v>
      </c>
      <c r="L10" s="94" t="n">
        <v>2</v>
      </c>
      <c r="M10" s="94" t="n">
        <v>2</v>
      </c>
      <c r="N10" s="94" t="n">
        <v>2</v>
      </c>
      <c r="O10" s="94" t="n">
        <v>2</v>
      </c>
      <c r="P10" s="94" t="n">
        <v>2</v>
      </c>
      <c r="Q10" s="94" t="n">
        <v>2</v>
      </c>
      <c r="R10" s="94" t="n">
        <v>2</v>
      </c>
      <c r="S10" s="94" t="n">
        <v>2</v>
      </c>
    </row>
    <row r="11" customFormat="false" ht="15" hidden="false" customHeight="false" outlineLevel="0" collapsed="false">
      <c r="A11" s="51" t="s">
        <v>805</v>
      </c>
      <c r="B11" s="3" t="s">
        <v>10</v>
      </c>
      <c r="C11" s="92" t="n">
        <f aca="false">SUM(E11:G11)</f>
        <v>30</v>
      </c>
      <c r="D11" s="92" t="n">
        <f aca="false">SUM(H11:S11)</f>
        <v>270</v>
      </c>
      <c r="E11" s="94" t="n">
        <v>10</v>
      </c>
      <c r="F11" s="94" t="n">
        <v>10</v>
      </c>
      <c r="G11" s="94" t="n">
        <v>10</v>
      </c>
      <c r="H11" s="94" t="n">
        <v>10</v>
      </c>
      <c r="I11" s="94" t="n">
        <v>10</v>
      </c>
      <c r="J11" s="94" t="n">
        <v>25</v>
      </c>
      <c r="K11" s="94" t="n">
        <v>25</v>
      </c>
      <c r="L11" s="94" t="n">
        <v>25</v>
      </c>
      <c r="M11" s="94" t="n">
        <v>25</v>
      </c>
      <c r="N11" s="94" t="n">
        <v>25</v>
      </c>
      <c r="O11" s="94" t="n">
        <v>25</v>
      </c>
      <c r="P11" s="94" t="n">
        <v>25</v>
      </c>
      <c r="Q11" s="94" t="n">
        <v>25</v>
      </c>
      <c r="R11" s="94" t="n">
        <v>25</v>
      </c>
      <c r="S11" s="94" t="n">
        <v>25</v>
      </c>
    </row>
    <row r="12" customFormat="false" ht="15" hidden="false" customHeight="false" outlineLevel="0" collapsed="false">
      <c r="A12" s="51" t="s">
        <v>806</v>
      </c>
      <c r="B12" s="3" t="s">
        <v>10</v>
      </c>
      <c r="C12" s="92" t="n">
        <f aca="false">SUM(E12:G12)</f>
        <v>0</v>
      </c>
      <c r="D12" s="92" t="n">
        <f aca="false">SUM(H12:S12)</f>
        <v>42</v>
      </c>
      <c r="E12" s="94" t="n">
        <v>0</v>
      </c>
      <c r="F12" s="94" t="n">
        <v>0</v>
      </c>
      <c r="G12" s="94" t="n">
        <v>0</v>
      </c>
      <c r="H12" s="94" t="n">
        <v>3.5</v>
      </c>
      <c r="I12" s="94" t="n">
        <v>3.5</v>
      </c>
      <c r="J12" s="94" t="n">
        <v>3.5</v>
      </c>
      <c r="K12" s="94" t="n">
        <v>3.5</v>
      </c>
      <c r="L12" s="94" t="n">
        <v>3.5</v>
      </c>
      <c r="M12" s="94" t="n">
        <v>3.5</v>
      </c>
      <c r="N12" s="94" t="n">
        <v>3.5</v>
      </c>
      <c r="O12" s="94" t="n">
        <v>3.5</v>
      </c>
      <c r="P12" s="94" t="n">
        <v>3.5</v>
      </c>
      <c r="Q12" s="94" t="n">
        <v>3.5</v>
      </c>
      <c r="R12" s="94" t="n">
        <v>3.5</v>
      </c>
      <c r="S12" s="94" t="n">
        <v>3.5</v>
      </c>
    </row>
    <row r="13" customFormat="false" ht="15" hidden="false" customHeight="false" outlineLevel="0" collapsed="false">
      <c r="A13" s="51" t="s">
        <v>807</v>
      </c>
      <c r="B13" s="3" t="s">
        <v>10</v>
      </c>
      <c r="C13" s="92" t="n">
        <f aca="false">SUM(E13:G13)</f>
        <v>0</v>
      </c>
      <c r="D13" s="92" t="n">
        <f aca="false">SUM(H13:S13)</f>
        <v>18</v>
      </c>
      <c r="E13" s="93" t="n">
        <f aca="false">IF(Volume!E6&gt;=IFERROR(MATCH(Inputs!$C$125,Volume!$E$4:$S$4,0),99),Inputs!$C$124,0)</f>
        <v>0</v>
      </c>
      <c r="F13" s="93" t="n">
        <f aca="false">IF(Volume!F6&gt;=IFERROR(MATCH(Inputs!$C$125,Volume!$E$4:$S$4,0),99),Inputs!$C$124,0)</f>
        <v>0</v>
      </c>
      <c r="G13" s="93" t="n">
        <f aca="false">IF(Volume!G6&gt;=IFERROR(MATCH(Inputs!$C$125,Volume!$E$4:$S$4,0),99),Inputs!$C$124,0)</f>
        <v>0</v>
      </c>
      <c r="H13" s="93" t="n">
        <f aca="false">IF(Volume!H6&gt;=IFERROR(MATCH(Inputs!$C$125,Volume!$E$4:$S$4,0),99),Inputs!$C$124,0)</f>
        <v>0</v>
      </c>
      <c r="I13" s="93" t="n">
        <f aca="false">IF(Volume!I6&gt;=IFERROR(MATCH(Inputs!$C$125,Volume!$E$4:$S$4,0),99),Inputs!$C$124,0)</f>
        <v>0</v>
      </c>
      <c r="J13" s="93" t="n">
        <f aca="false">IF(Volume!J6&gt;=IFERROR(MATCH(Inputs!$C$125,Volume!$E$4:$S$4,0),99),Inputs!$C$124,0)</f>
        <v>0</v>
      </c>
      <c r="K13" s="93" t="n">
        <f aca="false">IF(Volume!K6&gt;=IFERROR(MATCH(Inputs!$C$125,Volume!$E$4:$S$4,0),99),Inputs!$C$124,0)</f>
        <v>0</v>
      </c>
      <c r="L13" s="93" t="n">
        <f aca="false">IF(Volume!L6&gt;=IFERROR(MATCH(Inputs!$C$125,Volume!$E$4:$S$4,0),99),Inputs!$C$124,0)</f>
        <v>0</v>
      </c>
      <c r="M13" s="93" t="n">
        <f aca="false">IF(Volume!M6&gt;=IFERROR(MATCH(Inputs!$C$125,Volume!$E$4:$S$4,0),99),Inputs!$C$124,0)</f>
        <v>0</v>
      </c>
      <c r="N13" s="93" t="n">
        <f aca="false">IF(Volume!N6&gt;=IFERROR(MATCH(Inputs!$C$125,Volume!$E$4:$S$4,0),99),Inputs!$C$124,0)</f>
        <v>0</v>
      </c>
      <c r="O13" s="93" t="n">
        <f aca="false">IF(Volume!O6&gt;=IFERROR(MATCH(Inputs!$C$125,Volume!$E$4:$S$4,0),99),Inputs!$C$124,0)</f>
        <v>0</v>
      </c>
      <c r="P13" s="93" t="n">
        <f aca="false">IF(Volume!P6&gt;=IFERROR(MATCH(Inputs!$C$125,Volume!$E$4:$S$4,0),99),Inputs!$C$124,0)</f>
        <v>0</v>
      </c>
      <c r="Q13" s="93" t="n">
        <f aca="false">IF(Volume!Q6&gt;=IFERROR(MATCH(Inputs!$C$125,Volume!$E$4:$S$4,0),99),Inputs!$C$124,0)</f>
        <v>6</v>
      </c>
      <c r="R13" s="93" t="n">
        <f aca="false">IF(Volume!R6&gt;=IFERROR(MATCH(Inputs!$C$125,Volume!$E$4:$S$4,0),99),Inputs!$C$124,0)</f>
        <v>6</v>
      </c>
      <c r="S13" s="93" t="n">
        <f aca="false">IF(Volume!S6&gt;=IFERROR(MATCH(Inputs!$C$125,Volume!$E$4:$S$4,0),99),Inputs!$C$124,0)</f>
        <v>6</v>
      </c>
    </row>
    <row r="14" customFormat="false" ht="15" hidden="false" customHeight="false" outlineLevel="0" collapsed="false">
      <c r="A14" s="51" t="s">
        <v>808</v>
      </c>
      <c r="B14" s="3" t="s">
        <v>278</v>
      </c>
      <c r="C14" s="92" t="n">
        <f aca="false">MAX(E14:G14)</f>
        <v>0</v>
      </c>
      <c r="D14" s="92" t="n">
        <f aca="false">MAX(H14:S14)</f>
        <v>1</v>
      </c>
      <c r="E14" s="95" t="n">
        <v>0</v>
      </c>
      <c r="F14" s="95" t="n">
        <v>0</v>
      </c>
      <c r="G14" s="95" t="n">
        <v>0</v>
      </c>
      <c r="H14" s="95" t="n">
        <v>1</v>
      </c>
      <c r="I14" s="95" t="n">
        <v>1</v>
      </c>
      <c r="J14" s="95" t="n">
        <v>1</v>
      </c>
      <c r="K14" s="95" t="n">
        <v>1</v>
      </c>
      <c r="L14" s="95" t="n">
        <v>1</v>
      </c>
      <c r="M14" s="95" t="n">
        <v>1</v>
      </c>
      <c r="N14" s="95" t="n">
        <v>1</v>
      </c>
      <c r="O14" s="95" t="n">
        <v>1</v>
      </c>
      <c r="P14" s="95" t="n">
        <v>1</v>
      </c>
      <c r="Q14" s="95" t="n">
        <v>1</v>
      </c>
      <c r="R14" s="95" t="n">
        <v>1</v>
      </c>
      <c r="S14" s="95" t="n">
        <v>1</v>
      </c>
    </row>
    <row r="15" customFormat="false" ht="15" hidden="false" customHeight="false" outlineLevel="0" collapsed="false">
      <c r="A15" s="11" t="s">
        <v>809</v>
      </c>
      <c r="B15" s="0" t="s">
        <v>10</v>
      </c>
      <c r="C15" s="0" t="n">
        <f aca="false">SUM(E15:G15)</f>
        <v>32.4966402683354</v>
      </c>
      <c r="D15" s="0" t="n">
        <f aca="false">SUM(H15:S15)</f>
        <v>278.657834155892</v>
      </c>
      <c r="E15" s="96" t="n">
        <f aca="false">(E6+E7+E8+E9+E13)*(1+Inputs!$C$106*E14)+E10</f>
        <v>10.3055256231213</v>
      </c>
      <c r="F15" s="96" t="n">
        <f aca="false">(F6+F7+F8+F9+F13)*(1+Inputs!$C$106*F14)+F10</f>
        <v>11.0946698242141</v>
      </c>
      <c r="G15" s="96" t="n">
        <f aca="false">(G6+G7+G8+G9+G13)*(1+Inputs!$C$106*G14)+G10</f>
        <v>11.096444821</v>
      </c>
      <c r="H15" s="96" t="n">
        <f aca="false">(H6+H7+H8+H9+H13)*(1+Inputs!$C$106*H14)+H10</f>
        <v>15.4710588012907</v>
      </c>
      <c r="I15" s="96" t="n">
        <f aca="false">(I6+I7+I8+I9+I13)*(1+Inputs!$C$106*I14)+I10</f>
        <v>15.8718502570015</v>
      </c>
      <c r="J15" s="96" t="n">
        <f aca="false">(J6+J7+J8+J9+J13)*(1+Inputs!$C$106*J14)+J10</f>
        <v>15.99496294325</v>
      </c>
      <c r="K15" s="96" t="n">
        <f aca="false">(K6+K7+K8+K9+K13)*(1+Inputs!$C$106*K14)+K10</f>
        <v>16.319529972727</v>
      </c>
      <c r="L15" s="96" t="n">
        <f aca="false">(L6+L7+L8+L9+L13)*(1+Inputs!$C$106*L14)+L10</f>
        <v>19.870432181623</v>
      </c>
      <c r="M15" s="96" t="n">
        <f aca="false">(M6+M7+M8+M9+M13)*(1+Inputs!$C$106*M14)+M10</f>
        <v>24.2194</v>
      </c>
      <c r="N15" s="96" t="n">
        <f aca="false">(N6+N7+N8+N9+N13)*(1+Inputs!$C$106*N14)+N10</f>
        <v>24.2194</v>
      </c>
      <c r="O15" s="96" t="n">
        <f aca="false">(O6+O7+O8+O9+O13)*(1+Inputs!$C$106*O14)+O10</f>
        <v>24.2194</v>
      </c>
      <c r="P15" s="96" t="n">
        <f aca="false">(P6+P7+P8+P9+P13)*(1+Inputs!$C$106*P14)+P10</f>
        <v>24.2194</v>
      </c>
      <c r="Q15" s="96" t="n">
        <f aca="false">(Q6+Q7+Q8+Q9+Q13)*(1+Inputs!$C$106*Q14)+Q10</f>
        <v>32.7508</v>
      </c>
      <c r="R15" s="96" t="n">
        <f aca="false">(R6+R7+R8+R9+R13)*(1+Inputs!$C$106*R14)+R10</f>
        <v>32.7508</v>
      </c>
      <c r="S15" s="96" t="n">
        <f aca="false">(S6+S7+S8+S9+S13)*(1+Inputs!$C$106*S14)+S10</f>
        <v>32.7508</v>
      </c>
    </row>
    <row r="16" customFormat="false" ht="15" hidden="false" customHeight="false" outlineLevel="0" collapsed="false">
      <c r="A16" s="11" t="s">
        <v>810</v>
      </c>
      <c r="B16" s="0" t="s">
        <v>10</v>
      </c>
      <c r="C16" s="0" t="n">
        <f aca="false">SUM(E16:G16)</f>
        <v>62.4966402683354</v>
      </c>
      <c r="D16" s="0" t="n">
        <f aca="false">SUM(H16:S16)</f>
        <v>590.657834155892</v>
      </c>
      <c r="E16" s="96" t="n">
        <f aca="false">E15+E11+E12</f>
        <v>20.3055256231213</v>
      </c>
      <c r="F16" s="96" t="n">
        <f aca="false">F15+F11+F12</f>
        <v>21.0946698242141</v>
      </c>
      <c r="G16" s="96" t="n">
        <f aca="false">G15+G11+G12</f>
        <v>21.096444821</v>
      </c>
      <c r="H16" s="96" t="n">
        <f aca="false">H15+H11+H12</f>
        <v>28.9710588012907</v>
      </c>
      <c r="I16" s="96" t="n">
        <f aca="false">I15+I11+I12</f>
        <v>29.3718502570015</v>
      </c>
      <c r="J16" s="96" t="n">
        <f aca="false">J15+J11+J12</f>
        <v>44.49496294325</v>
      </c>
      <c r="K16" s="96" t="n">
        <f aca="false">K15+K11+K12</f>
        <v>44.819529972727</v>
      </c>
      <c r="L16" s="96" t="n">
        <f aca="false">L15+L11+L12</f>
        <v>48.370432181623</v>
      </c>
      <c r="M16" s="96" t="n">
        <f aca="false">M15+M11+M12</f>
        <v>52.7194</v>
      </c>
      <c r="N16" s="96" t="n">
        <f aca="false">N15+N11+N12</f>
        <v>52.7194</v>
      </c>
      <c r="O16" s="96" t="n">
        <f aca="false">O15+O11+O12</f>
        <v>52.7194</v>
      </c>
      <c r="P16" s="96" t="n">
        <f aca="false">P15+P11+P12</f>
        <v>52.7194</v>
      </c>
      <c r="Q16" s="96" t="n">
        <f aca="false">Q15+Q11+Q12</f>
        <v>61.2508</v>
      </c>
      <c r="R16" s="96" t="n">
        <f aca="false">R15+R11+R12</f>
        <v>61.2508</v>
      </c>
      <c r="S16" s="96" t="n">
        <f aca="false">S15+S11+S12</f>
        <v>61.2508</v>
      </c>
    </row>
    <row r="18" customFormat="false" ht="15" hidden="false" customHeight="false" outlineLevel="0" collapsed="false">
      <c r="A18" s="6" t="s">
        <v>811</v>
      </c>
    </row>
    <row r="19" customFormat="false" ht="15" hidden="false" customHeight="false" outlineLevel="0" collapsed="false">
      <c r="A19" s="51" t="s">
        <v>812</v>
      </c>
      <c r="B19" s="0" t="s">
        <v>10</v>
      </c>
      <c r="C19" s="0" t="n">
        <f aca="false">SUM(E19:G19)</f>
        <v>30</v>
      </c>
      <c r="D19" s="0" t="n">
        <f aca="false">SUM(H19:S19)</f>
        <v>270</v>
      </c>
      <c r="E19" s="59" t="n">
        <f aca="false">Capacity_OPEX!E26</f>
        <v>10</v>
      </c>
      <c r="F19" s="59" t="n">
        <f aca="false">Capacity_OPEX!F26</f>
        <v>10</v>
      </c>
      <c r="G19" s="59" t="n">
        <f aca="false">Capacity_OPEX!G26</f>
        <v>10</v>
      </c>
      <c r="H19" s="59" t="n">
        <f aca="false">Capacity_OPEX!H26</f>
        <v>10</v>
      </c>
      <c r="I19" s="59" t="n">
        <f aca="false">Capacity_OPEX!I26</f>
        <v>10</v>
      </c>
      <c r="J19" s="59" t="n">
        <f aca="false">Capacity_OPEX!J26</f>
        <v>25</v>
      </c>
      <c r="K19" s="59" t="n">
        <f aca="false">Capacity_OPEX!K26</f>
        <v>25</v>
      </c>
      <c r="L19" s="59" t="n">
        <f aca="false">Capacity_OPEX!L26</f>
        <v>25</v>
      </c>
      <c r="M19" s="59" t="n">
        <f aca="false">Capacity_OPEX!M26</f>
        <v>25</v>
      </c>
      <c r="N19" s="59" t="n">
        <f aca="false">Capacity_OPEX!N26</f>
        <v>25</v>
      </c>
      <c r="O19" s="59" t="n">
        <f aca="false">Capacity_OPEX!O26</f>
        <v>25</v>
      </c>
      <c r="P19" s="59" t="n">
        <f aca="false">Capacity_OPEX!P26</f>
        <v>25</v>
      </c>
      <c r="Q19" s="59" t="n">
        <f aca="false">Capacity_OPEX!Q26</f>
        <v>25</v>
      </c>
      <c r="R19" s="59" t="n">
        <f aca="false">Capacity_OPEX!R26</f>
        <v>25</v>
      </c>
      <c r="S19" s="59" t="n">
        <f aca="false">Capacity_OPEX!S26</f>
        <v>25</v>
      </c>
    </row>
    <row r="20" customFormat="false" ht="15" hidden="false" customHeight="false" outlineLevel="0" collapsed="false">
      <c r="A20" s="51" t="s">
        <v>813</v>
      </c>
      <c r="B20" s="0" t="s">
        <v>10</v>
      </c>
      <c r="C20" s="0" t="n">
        <f aca="false">SUM(E20:G20)</f>
        <v>32.4966402683354</v>
      </c>
      <c r="D20" s="0" t="n">
        <f aca="false">SUM(H20:S20)</f>
        <v>278.657834155892</v>
      </c>
      <c r="E20" s="59" t="n">
        <f aca="false">Capacity_OPEX!E22+Capacity_OPEX!E37</f>
        <v>10.3055256231213</v>
      </c>
      <c r="F20" s="59" t="n">
        <f aca="false">Capacity_OPEX!F22+Capacity_OPEX!F37</f>
        <v>11.0946698242141</v>
      </c>
      <c r="G20" s="59" t="n">
        <f aca="false">Capacity_OPEX!G22+Capacity_OPEX!G37</f>
        <v>11.096444821</v>
      </c>
      <c r="H20" s="59" t="n">
        <f aca="false">Capacity_OPEX!H22+Capacity_OPEX!H37</f>
        <v>15.4710588012907</v>
      </c>
      <c r="I20" s="59" t="n">
        <f aca="false">Capacity_OPEX!I22+Capacity_OPEX!I37</f>
        <v>15.8718502570015</v>
      </c>
      <c r="J20" s="59" t="n">
        <f aca="false">Capacity_OPEX!J22+Capacity_OPEX!J37</f>
        <v>15.99496294325</v>
      </c>
      <c r="K20" s="59" t="n">
        <f aca="false">Capacity_OPEX!K22+Capacity_OPEX!K37</f>
        <v>16.319529972727</v>
      </c>
      <c r="L20" s="59" t="n">
        <f aca="false">Capacity_OPEX!L22+Capacity_OPEX!L37</f>
        <v>19.870432181623</v>
      </c>
      <c r="M20" s="59" t="n">
        <f aca="false">Capacity_OPEX!M22+Capacity_OPEX!M37</f>
        <v>24.2194</v>
      </c>
      <c r="N20" s="59" t="n">
        <f aca="false">Capacity_OPEX!N22+Capacity_OPEX!N37</f>
        <v>24.2194</v>
      </c>
      <c r="O20" s="59" t="n">
        <f aca="false">Capacity_OPEX!O22+Capacity_OPEX!O37</f>
        <v>24.2194</v>
      </c>
      <c r="P20" s="59" t="n">
        <f aca="false">Capacity_OPEX!P22+Capacity_OPEX!P37</f>
        <v>24.2194</v>
      </c>
      <c r="Q20" s="59" t="n">
        <f aca="false">Capacity_OPEX!Q22+Capacity_OPEX!Q37</f>
        <v>32.7508</v>
      </c>
      <c r="R20" s="59" t="n">
        <f aca="false">Capacity_OPEX!R22+Capacity_OPEX!R37</f>
        <v>32.7508</v>
      </c>
      <c r="S20" s="59" t="n">
        <f aca="false">Capacity_OPEX!S22+Capacity_OPEX!S37</f>
        <v>32.7508</v>
      </c>
    </row>
    <row r="21" customFormat="false" ht="15" hidden="false" customHeight="false" outlineLevel="0" collapsed="false">
      <c r="A21" s="51" t="s">
        <v>814</v>
      </c>
      <c r="B21" s="0" t="s">
        <v>10</v>
      </c>
      <c r="C21" s="0" t="n">
        <f aca="false">SUM(E21:G21)</f>
        <v>6.23975000000001</v>
      </c>
      <c r="D21" s="0" t="n">
        <f aca="false">SUM(H21:S21)</f>
        <v>69.5879414102332</v>
      </c>
      <c r="E21" s="59" t="n">
        <f aca="false">Capacity_OPEX!E23+Capacity_OPEX!E38</f>
        <v>2.07991666666667</v>
      </c>
      <c r="F21" s="59" t="n">
        <f aca="false">Capacity_OPEX!F23+Capacity_OPEX!F38</f>
        <v>2.07991666666667</v>
      </c>
      <c r="G21" s="59" t="n">
        <f aca="false">Capacity_OPEX!G23+Capacity_OPEX!G38</f>
        <v>2.07991666666667</v>
      </c>
      <c r="H21" s="59" t="n">
        <f aca="false">Capacity_OPEX!H23+Capacity_OPEX!H38</f>
        <v>5.61130785731778</v>
      </c>
      <c r="I21" s="59" t="n">
        <f aca="false">Capacity_OPEX!I23+Capacity_OPEX!I38</f>
        <v>5.61373180171675</v>
      </c>
      <c r="J21" s="59" t="n">
        <f aca="false">Capacity_OPEX!J23+Capacity_OPEX!J38</f>
        <v>5.61634291666667</v>
      </c>
      <c r="K21" s="59" t="n">
        <f aca="false">Capacity_OPEX!K23+Capacity_OPEX!K38</f>
        <v>5.68130385927047</v>
      </c>
      <c r="L21" s="59" t="n">
        <f aca="false">Capacity_OPEX!L23+Capacity_OPEX!L38</f>
        <v>5.68999953934701</v>
      </c>
      <c r="M21" s="59" t="n">
        <f aca="false">Capacity_OPEX!M23+Capacity_OPEX!M38</f>
        <v>5.69944102222223</v>
      </c>
      <c r="N21" s="59" t="n">
        <f aca="false">Capacity_OPEX!N23+Capacity_OPEX!N38</f>
        <v>5.82240395915022</v>
      </c>
      <c r="O21" s="59" t="n">
        <f aca="false">Capacity_OPEX!O23+Capacity_OPEX!O38</f>
        <v>5.84320137807377</v>
      </c>
      <c r="P21" s="59" t="n">
        <f aca="false">Capacity_OPEX!P23+Capacity_OPEX!P38</f>
        <v>5.86578253019608</v>
      </c>
      <c r="Q21" s="59" t="n">
        <f aca="false">Capacity_OPEX!Q23+Capacity_OPEX!Q38</f>
        <v>6.01499808390322</v>
      </c>
      <c r="R21" s="59" t="n">
        <f aca="false">Capacity_OPEX!R23+Capacity_OPEX!R38</f>
        <v>6.04734076210232</v>
      </c>
      <c r="S21" s="59" t="n">
        <f aca="false">Capacity_OPEX!S23+Capacity_OPEX!S38</f>
        <v>6.08208770026667</v>
      </c>
    </row>
    <row r="22" customFormat="false" ht="15" hidden="false" customHeight="false" outlineLevel="0" collapsed="false">
      <c r="A22" s="51" t="s">
        <v>815</v>
      </c>
      <c r="B22" s="0" t="s">
        <v>10</v>
      </c>
      <c r="C22" s="0" t="n">
        <f aca="false">SUM(E22:G22)</f>
        <v>21.9</v>
      </c>
      <c r="D22" s="0" t="n">
        <f aca="false">SUM(H22:S22)</f>
        <v>87.6</v>
      </c>
      <c r="E22" s="59" t="n">
        <f aca="false">Capacity_OPEX!E24+Capacity_OPEX!E25</f>
        <v>7.3</v>
      </c>
      <c r="F22" s="59" t="n">
        <f aca="false">Capacity_OPEX!F24+Capacity_OPEX!F25</f>
        <v>7.3</v>
      </c>
      <c r="G22" s="59" t="n">
        <f aca="false">Capacity_OPEX!G24+Capacity_OPEX!G25</f>
        <v>7.3</v>
      </c>
      <c r="H22" s="59" t="n">
        <f aca="false">Capacity_OPEX!H24+Capacity_OPEX!H25</f>
        <v>7.3</v>
      </c>
      <c r="I22" s="59" t="n">
        <f aca="false">Capacity_OPEX!I24+Capacity_OPEX!I25</f>
        <v>7.3</v>
      </c>
      <c r="J22" s="59" t="n">
        <f aca="false">Capacity_OPEX!J24+Capacity_OPEX!J25</f>
        <v>7.3</v>
      </c>
      <c r="K22" s="59" t="n">
        <f aca="false">Capacity_OPEX!K24+Capacity_OPEX!K25</f>
        <v>7.3</v>
      </c>
      <c r="L22" s="59" t="n">
        <f aca="false">Capacity_OPEX!L24+Capacity_OPEX!L25</f>
        <v>7.3</v>
      </c>
      <c r="M22" s="59" t="n">
        <f aca="false">Capacity_OPEX!M24+Capacity_OPEX!M25</f>
        <v>7.3</v>
      </c>
      <c r="N22" s="59" t="n">
        <f aca="false">Capacity_OPEX!N24+Capacity_OPEX!N25</f>
        <v>7.3</v>
      </c>
      <c r="O22" s="59" t="n">
        <f aca="false">Capacity_OPEX!O24+Capacity_OPEX!O25</f>
        <v>7.3</v>
      </c>
      <c r="P22" s="59" t="n">
        <f aca="false">Capacity_OPEX!P24+Capacity_OPEX!P25</f>
        <v>7.3</v>
      </c>
      <c r="Q22" s="59" t="n">
        <f aca="false">Capacity_OPEX!Q24+Capacity_OPEX!Q25</f>
        <v>7.3</v>
      </c>
      <c r="R22" s="59" t="n">
        <f aca="false">Capacity_OPEX!R24+Capacity_OPEX!R25</f>
        <v>7.3</v>
      </c>
      <c r="S22" s="59" t="n">
        <f aca="false">Capacity_OPEX!S24+Capacity_OPEX!S25</f>
        <v>7.3</v>
      </c>
    </row>
    <row r="23" customFormat="false" ht="15" hidden="false" customHeight="false" outlineLevel="0" collapsed="false">
      <c r="A23" s="51" t="s">
        <v>816</v>
      </c>
      <c r="B23" s="0" t="s">
        <v>10</v>
      </c>
      <c r="C23" s="0" t="n">
        <f aca="false">SUM(E23:G23)</f>
        <v>6</v>
      </c>
      <c r="D23" s="0" t="n">
        <f aca="false">SUM(H23:S23)</f>
        <v>177.08</v>
      </c>
      <c r="E23" s="59" t="n">
        <f aca="false">Capacity_OPEX!E27+Capacity_OPEX!E28+Capacity_OPEX!E29+Capacity_OPEX!E30+Capacity_OPEX!E31+Capacity_OPEX!E39</f>
        <v>2</v>
      </c>
      <c r="F23" s="59" t="n">
        <f aca="false">Capacity_OPEX!F27+Capacity_OPEX!F28+Capacity_OPEX!F29+Capacity_OPEX!F30+Capacity_OPEX!F31+Capacity_OPEX!F39</f>
        <v>2</v>
      </c>
      <c r="G23" s="59" t="n">
        <f aca="false">Capacity_OPEX!G27+Capacity_OPEX!G28+Capacity_OPEX!G29+Capacity_OPEX!G30+Capacity_OPEX!G31+Capacity_OPEX!G39</f>
        <v>2</v>
      </c>
      <c r="H23" s="59" t="n">
        <f aca="false">Capacity_OPEX!H27+Capacity_OPEX!H28+Capacity_OPEX!H29+Capacity_OPEX!H30+Capacity_OPEX!H31+Capacity_OPEX!H39</f>
        <v>4.5</v>
      </c>
      <c r="I23" s="59" t="n">
        <f aca="false">Capacity_OPEX!I27+Capacity_OPEX!I28+Capacity_OPEX!I29+Capacity_OPEX!I30+Capacity_OPEX!I31+Capacity_OPEX!I39</f>
        <v>4</v>
      </c>
      <c r="J23" s="59" t="n">
        <f aca="false">Capacity_OPEX!J27+Capacity_OPEX!J28+Capacity_OPEX!J29+Capacity_OPEX!J30+Capacity_OPEX!J31+Capacity_OPEX!J39</f>
        <v>8.5</v>
      </c>
      <c r="K23" s="59" t="n">
        <f aca="false">Capacity_OPEX!K27+Capacity_OPEX!K28+Capacity_OPEX!K29+Capacity_OPEX!K30+Capacity_OPEX!K31+Capacity_OPEX!K39</f>
        <v>4</v>
      </c>
      <c r="L23" s="59" t="n">
        <f aca="false">Capacity_OPEX!L27+Capacity_OPEX!L28+Capacity_OPEX!L29+Capacity_OPEX!L30+Capacity_OPEX!L31+Capacity_OPEX!L39</f>
        <v>9.5</v>
      </c>
      <c r="M23" s="59" t="n">
        <f aca="false">Capacity_OPEX!M27+Capacity_OPEX!M28+Capacity_OPEX!M29+Capacity_OPEX!M30+Capacity_OPEX!M31+Capacity_OPEX!M39</f>
        <v>4.5</v>
      </c>
      <c r="N23" s="59" t="n">
        <f aca="false">Capacity_OPEX!N27+Capacity_OPEX!N28+Capacity_OPEX!N29+Capacity_OPEX!N30+Capacity_OPEX!N31+Capacity_OPEX!N39</f>
        <v>19.18</v>
      </c>
      <c r="O23" s="59" t="n">
        <f aca="false">Capacity_OPEX!O27+Capacity_OPEX!O28+Capacity_OPEX!O29+Capacity_OPEX!O30+Capacity_OPEX!O31+Capacity_OPEX!O39</f>
        <v>17.68</v>
      </c>
      <c r="P23" s="59" t="n">
        <f aca="false">Capacity_OPEX!P27+Capacity_OPEX!P28+Capacity_OPEX!P29+Capacity_OPEX!P30+Capacity_OPEX!P31+Capacity_OPEX!P39</f>
        <v>26.18</v>
      </c>
      <c r="Q23" s="59" t="n">
        <f aca="false">Capacity_OPEX!Q27+Capacity_OPEX!Q28+Capacity_OPEX!Q29+Capacity_OPEX!Q30+Capacity_OPEX!Q31+Capacity_OPEX!Q39</f>
        <v>24.68</v>
      </c>
      <c r="R23" s="59" t="n">
        <f aca="false">Capacity_OPEX!R27+Capacity_OPEX!R28+Capacity_OPEX!R29+Capacity_OPEX!R30+Capacity_OPEX!R31+Capacity_OPEX!R39</f>
        <v>28.18</v>
      </c>
      <c r="S23" s="59" t="n">
        <f aca="false">Capacity_OPEX!S27+Capacity_OPEX!S28+Capacity_OPEX!S29+Capacity_OPEX!S30+Capacity_OPEX!S31+Capacity_OPEX!S39</f>
        <v>26.18</v>
      </c>
    </row>
    <row r="24" customFormat="false" ht="15" hidden="false" customHeight="false" outlineLevel="0" collapsed="false">
      <c r="A24" s="11" t="s">
        <v>817</v>
      </c>
      <c r="B24" s="0" t="s">
        <v>10</v>
      </c>
      <c r="C24" s="0" t="n">
        <f aca="false">SUM(E24:G24)</f>
        <v>96.6363902683354</v>
      </c>
      <c r="D24" s="0" t="n">
        <f aca="false">SUM(H24:S24)</f>
        <v>882.925775566125</v>
      </c>
      <c r="E24" s="96" t="n">
        <f aca="false">SUM(E19:E23)</f>
        <v>31.685442289788</v>
      </c>
      <c r="F24" s="96" t="n">
        <f aca="false">SUM(F19:F23)</f>
        <v>32.4745864908808</v>
      </c>
      <c r="G24" s="96" t="n">
        <f aca="false">SUM(G19:G23)</f>
        <v>32.4763614876667</v>
      </c>
      <c r="H24" s="96" t="n">
        <f aca="false">SUM(H19:H23)</f>
        <v>42.8823666586085</v>
      </c>
      <c r="I24" s="96" t="n">
        <f aca="false">SUM(I19:I23)</f>
        <v>42.7855820587183</v>
      </c>
      <c r="J24" s="96" t="n">
        <f aca="false">SUM(J19:J23)</f>
        <v>62.4113058599167</v>
      </c>
      <c r="K24" s="96" t="n">
        <f aca="false">SUM(K19:K23)</f>
        <v>58.3008338319975</v>
      </c>
      <c r="L24" s="96" t="n">
        <f aca="false">SUM(L19:L23)</f>
        <v>67.36043172097</v>
      </c>
      <c r="M24" s="96" t="n">
        <f aca="false">SUM(M19:M23)</f>
        <v>66.7188410222222</v>
      </c>
      <c r="N24" s="96" t="n">
        <f aca="false">SUM(N19:N23)</f>
        <v>81.5218039591502</v>
      </c>
      <c r="O24" s="96" t="n">
        <f aca="false">SUM(O19:O23)</f>
        <v>80.0426013780738</v>
      </c>
      <c r="P24" s="96" t="n">
        <f aca="false">SUM(P19:P23)</f>
        <v>88.5651825301961</v>
      </c>
      <c r="Q24" s="96" t="n">
        <f aca="false">SUM(Q19:Q23)</f>
        <v>95.7457980839032</v>
      </c>
      <c r="R24" s="96" t="n">
        <f aca="false">SUM(R19:R23)</f>
        <v>99.2781407621023</v>
      </c>
      <c r="S24" s="96" t="n">
        <f aca="false">SUM(S19:S23)</f>
        <v>97.3128877002667</v>
      </c>
    </row>
    <row r="25" customFormat="false" ht="15" hidden="false" customHeight="false" outlineLevel="0" collapsed="false">
      <c r="A25" s="51" t="s">
        <v>818</v>
      </c>
      <c r="B25" s="0" t="s">
        <v>10</v>
      </c>
      <c r="C25" s="0" t="n">
        <f aca="false">SUM(E25:G25)</f>
        <v>0</v>
      </c>
      <c r="D25" s="0" t="n">
        <f aca="false">SUM(H25:S25)</f>
        <v>0</v>
      </c>
      <c r="E25" s="59" t="n">
        <f aca="false">ROUND(E24-Capacity_OPEX!E32,6)</f>
        <v>0</v>
      </c>
      <c r="F25" s="59" t="n">
        <f aca="false">ROUND(F24-Capacity_OPEX!F32,6)</f>
        <v>0</v>
      </c>
      <c r="G25" s="59" t="n">
        <f aca="false">ROUND(G24-Capacity_OPEX!G32,6)</f>
        <v>0</v>
      </c>
      <c r="H25" s="59" t="n">
        <f aca="false">ROUND(H24-Capacity_OPEX!H32,6)</f>
        <v>0</v>
      </c>
      <c r="I25" s="59" t="n">
        <f aca="false">ROUND(I24-Capacity_OPEX!I32,6)</f>
        <v>0</v>
      </c>
      <c r="J25" s="59" t="n">
        <f aca="false">ROUND(J24-Capacity_OPEX!J32,6)</f>
        <v>0</v>
      </c>
      <c r="K25" s="59" t="n">
        <f aca="false">ROUND(K24-Capacity_OPEX!K32,6)</f>
        <v>0</v>
      </c>
      <c r="L25" s="59" t="n">
        <f aca="false">ROUND(L24-Capacity_OPEX!L32,6)</f>
        <v>0</v>
      </c>
      <c r="M25" s="59" t="n">
        <f aca="false">ROUND(M24-Capacity_OPEX!M32,6)</f>
        <v>0</v>
      </c>
      <c r="N25" s="59" t="n">
        <f aca="false">ROUND(N24-Capacity_OPEX!N32,6)</f>
        <v>0</v>
      </c>
      <c r="O25" s="59" t="n">
        <f aca="false">ROUND(O24-Capacity_OPEX!O32,6)</f>
        <v>0</v>
      </c>
      <c r="P25" s="59" t="n">
        <f aca="false">ROUND(P24-Capacity_OPEX!P32,6)</f>
        <v>0</v>
      </c>
      <c r="Q25" s="59" t="n">
        <f aca="false">ROUND(Q24-Capacity_OPEX!Q32,6)</f>
        <v>0</v>
      </c>
      <c r="R25" s="59" t="n">
        <f aca="false">ROUND(R24-Capacity_OPEX!R32,6)</f>
        <v>0</v>
      </c>
      <c r="S25" s="59" t="n">
        <f aca="false">ROUND(S24-Capacity_OPEX!S32,6)</f>
        <v>0</v>
      </c>
    </row>
    <row r="27" customFormat="false" ht="15" hidden="false" customHeight="false" outlineLevel="0" collapsed="false">
      <c r="A27" s="6" t="s">
        <v>819</v>
      </c>
    </row>
    <row r="28" customFormat="false" ht="15" hidden="false" customHeight="false" outlineLevel="0" collapsed="false">
      <c r="A28" s="21" t="s">
        <v>820</v>
      </c>
      <c r="E28" s="97" t="n">
        <f aca="false">0</f>
        <v>0</v>
      </c>
      <c r="F28" s="97" t="n">
        <f aca="false">AVERAGE(PnL!E12)</f>
        <v>20.428616980779</v>
      </c>
      <c r="G28" s="97" t="n">
        <f aca="false">AVERAGE(PnL!F12,PnL!E12)</f>
        <v>21.230360885684</v>
      </c>
      <c r="H28" s="97" t="n">
        <f aca="false">AVERAGE(PnL!G12,PnL!F12,PnL!E12)</f>
        <v>21.519003655931</v>
      </c>
      <c r="I28" s="97" t="n">
        <f aca="false">AVERAGE(PnL!H12,PnL!G12,PnL!F12)</f>
        <v>22.3124278170148</v>
      </c>
      <c r="J28" s="97" t="n">
        <f aca="false">AVERAGE(PnL!I12,PnL!H12,PnL!G12)</f>
        <v>38.9118050462526</v>
      </c>
      <c r="K28" s="97" t="n">
        <f aca="false">AVERAGE(PnL!J12,PnL!I12,PnL!H12)</f>
        <v>90.0764167869235</v>
      </c>
      <c r="L28" s="97" t="n">
        <f aca="false">AVERAGE(PnL!K12,PnL!J12,PnL!I12)</f>
        <v>119.195934673359</v>
      </c>
      <c r="M28" s="97" t="n">
        <f aca="false">AVERAGE(PnL!L12,PnL!K12,PnL!J12)</f>
        <v>161.836367137016</v>
      </c>
      <c r="N28" s="97" t="n">
        <f aca="false">AVERAGE(PnL!M12,PnL!L12,PnL!K12)</f>
        <v>133.492190361473</v>
      </c>
      <c r="O28" s="97" t="n">
        <f aca="false">AVERAGE(PnL!N12,PnL!M12,PnL!L12)</f>
        <v>197.454574278369</v>
      </c>
      <c r="P28" s="97" t="n">
        <f aca="false">AVERAGE(PnL!O12,PnL!N12,PnL!M12)</f>
        <v>180.58780095425</v>
      </c>
      <c r="Q28" s="97" t="n">
        <f aca="false">AVERAGE(PnL!P12,PnL!O12,PnL!N12)</f>
        <v>241.603832147441</v>
      </c>
      <c r="R28" s="97" t="n">
        <f aca="false">AVERAGE(PnL!Q12,PnL!P12,PnL!O12)</f>
        <v>242.867690805225</v>
      </c>
      <c r="S28" s="97" t="n">
        <f aca="false">AVERAGE(PnL!R12,PnL!Q12,PnL!P12)</f>
        <v>335.789631405363</v>
      </c>
    </row>
    <row r="29" customFormat="false" ht="15" hidden="false" customHeight="false" outlineLevel="0" collapsed="false">
      <c r="A29" s="21" t="s">
        <v>821</v>
      </c>
      <c r="E29" s="97" t="n">
        <f aca="false">E28</f>
        <v>0</v>
      </c>
      <c r="F29" s="97" t="n">
        <f aca="false">MAX(E29,F28)</f>
        <v>20.428616980779</v>
      </c>
      <c r="G29" s="97" t="n">
        <f aca="false">MAX(F29,G28)</f>
        <v>21.230360885684</v>
      </c>
      <c r="H29" s="97" t="n">
        <f aca="false">MAX(G29,H28)</f>
        <v>21.519003655931</v>
      </c>
      <c r="I29" s="97" t="n">
        <f aca="false">MAX(H29,I28)</f>
        <v>22.3124278170148</v>
      </c>
      <c r="J29" s="97" t="n">
        <f aca="false">MAX(I29,J28)</f>
        <v>38.9118050462526</v>
      </c>
      <c r="K29" s="97" t="n">
        <f aca="false">MAX(J29,K28)</f>
        <v>90.0764167869235</v>
      </c>
      <c r="L29" s="97" t="n">
        <f aca="false">MAX(K29,L28)</f>
        <v>119.195934673359</v>
      </c>
      <c r="M29" s="97" t="n">
        <f aca="false">MAX(L29,M28)</f>
        <v>161.836367137016</v>
      </c>
      <c r="N29" s="97" t="n">
        <f aca="false">MAX(M29,N28)</f>
        <v>161.836367137016</v>
      </c>
      <c r="O29" s="97" t="n">
        <f aca="false">MAX(N29,O28)</f>
        <v>197.454574278369</v>
      </c>
      <c r="P29" s="97" t="n">
        <f aca="false">MAX(O29,P28)</f>
        <v>197.454574278369</v>
      </c>
      <c r="Q29" s="97" t="n">
        <f aca="false">MAX(P29,Q28)</f>
        <v>241.603832147441</v>
      </c>
      <c r="R29" s="97" t="n">
        <f aca="false">MAX(Q29,R28)</f>
        <v>242.867690805225</v>
      </c>
      <c r="S29" s="97" t="n">
        <f aca="false">MAX(R29,S28)</f>
        <v>335.789631405363</v>
      </c>
    </row>
    <row r="30" customFormat="false" ht="15" hidden="false" customHeight="false" outlineLevel="0" collapsed="false">
      <c r="A30" s="21" t="s">
        <v>822</v>
      </c>
      <c r="E30" s="31" t="n">
        <f aca="false">(E29&gt;=Inputs!$C$123)+(E29&gt;=Inputs!$C$126)+(E29&gt;=Inputs!$C$127)</f>
        <v>0</v>
      </c>
      <c r="F30" s="31" t="n">
        <f aca="false">(F29&gt;=Inputs!$C$123)+(F29&gt;=Inputs!$C$126)+(F29&gt;=Inputs!$C$127)</f>
        <v>0</v>
      </c>
      <c r="G30" s="31" t="n">
        <f aca="false">(G29&gt;=Inputs!$C$123)+(G29&gt;=Inputs!$C$126)+(G29&gt;=Inputs!$C$127)</f>
        <v>0</v>
      </c>
      <c r="H30" s="31" t="n">
        <f aca="false">(H29&gt;=Inputs!$C$123)+(H29&gt;=Inputs!$C$126)+(H29&gt;=Inputs!$C$127)</f>
        <v>0</v>
      </c>
      <c r="I30" s="31" t="n">
        <f aca="false">(I29&gt;=Inputs!$C$123)+(I29&gt;=Inputs!$C$126)+(I29&gt;=Inputs!$C$127)</f>
        <v>0</v>
      </c>
      <c r="J30" s="31" t="n">
        <f aca="false">(J29&gt;=Inputs!$C$123)+(J29&gt;=Inputs!$C$126)+(J29&gt;=Inputs!$C$127)</f>
        <v>0</v>
      </c>
      <c r="K30" s="31" t="n">
        <f aca="false">(K29&gt;=Inputs!$C$123)+(K29&gt;=Inputs!$C$126)+(K29&gt;=Inputs!$C$127)</f>
        <v>0</v>
      </c>
      <c r="L30" s="31" t="n">
        <f aca="false">(L29&gt;=Inputs!$C$123)+(L29&gt;=Inputs!$C$126)+(L29&gt;=Inputs!$C$127)</f>
        <v>1</v>
      </c>
      <c r="M30" s="31" t="n">
        <f aca="false">(M29&gt;=Inputs!$C$123)+(M29&gt;=Inputs!$C$126)+(M29&gt;=Inputs!$C$127)</f>
        <v>2</v>
      </c>
      <c r="N30" s="31" t="n">
        <f aca="false">(N29&gt;=Inputs!$C$123)+(N29&gt;=Inputs!$C$126)+(N29&gt;=Inputs!$C$127)</f>
        <v>2</v>
      </c>
      <c r="O30" s="31" t="n">
        <f aca="false">(O29&gt;=Inputs!$C$123)+(O29&gt;=Inputs!$C$126)+(O29&gt;=Inputs!$C$127)</f>
        <v>2</v>
      </c>
      <c r="P30" s="31" t="n">
        <f aca="false">(P29&gt;=Inputs!$C$123)+(P29&gt;=Inputs!$C$126)+(P29&gt;=Inputs!$C$127)</f>
        <v>2</v>
      </c>
      <c r="Q30" s="31" t="n">
        <f aca="false">(Q29&gt;=Inputs!$C$123)+(Q29&gt;=Inputs!$C$126)+(Q29&gt;=Inputs!$C$127)</f>
        <v>3</v>
      </c>
      <c r="R30" s="31" t="n">
        <f aca="false">(R29&gt;=Inputs!$C$123)+(R29&gt;=Inputs!$C$126)+(R29&gt;=Inputs!$C$127)</f>
        <v>3</v>
      </c>
      <c r="S30" s="31" t="n">
        <f aca="false">(S29&gt;=Inputs!$C$123)+(S29&gt;=Inputs!$C$126)+(S29&gt;=Inputs!$C$127)</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19" min="3" style="0" width="10.51"/>
  </cols>
  <sheetData>
    <row r="1" customFormat="false" ht="17.25" hidden="false" customHeight="true" outlineLevel="0" collapsed="false">
      <c r="A1" s="1" t="s">
        <v>823</v>
      </c>
      <c r="B1" s="2"/>
      <c r="C1" s="2"/>
      <c r="D1" s="2"/>
      <c r="E1" s="2"/>
      <c r="F1" s="2"/>
      <c r="G1" s="2"/>
      <c r="H1" s="2"/>
      <c r="I1" s="2"/>
      <c r="J1" s="2"/>
      <c r="K1" s="2"/>
      <c r="L1" s="2"/>
      <c r="M1" s="2"/>
      <c r="N1" s="2"/>
      <c r="O1" s="2"/>
      <c r="P1" s="2"/>
      <c r="Q1" s="2"/>
      <c r="R1" s="2"/>
      <c r="S1" s="2"/>
    </row>
    <row r="2" customFormat="false" ht="15" hidden="false" customHeight="true" outlineLevel="0" collapsed="false">
      <c r="A2" s="3" t="s">
        <v>824</v>
      </c>
      <c r="B2" s="2"/>
      <c r="C2" s="2"/>
      <c r="D2" s="2"/>
      <c r="E2" s="2"/>
      <c r="F2" s="2"/>
      <c r="G2" s="2"/>
      <c r="H2" s="2"/>
      <c r="I2" s="2"/>
      <c r="J2" s="2"/>
      <c r="K2" s="2"/>
      <c r="L2" s="2"/>
      <c r="M2" s="2"/>
      <c r="N2" s="2"/>
      <c r="O2" s="2"/>
      <c r="P2" s="2"/>
      <c r="Q2" s="2"/>
      <c r="R2" s="2"/>
      <c r="S2" s="2"/>
    </row>
    <row r="3" customFormat="false" ht="15" hidden="false" customHeight="true" outlineLevel="0" collapsed="false">
      <c r="A3" s="2"/>
      <c r="B3" s="2"/>
      <c r="C3" s="2"/>
      <c r="D3" s="2"/>
      <c r="E3" s="2"/>
      <c r="F3" s="2"/>
      <c r="G3" s="2"/>
      <c r="H3" s="2"/>
      <c r="I3" s="2"/>
      <c r="J3" s="2"/>
      <c r="K3" s="2"/>
      <c r="L3" s="2"/>
      <c r="M3" s="2"/>
      <c r="N3" s="2"/>
      <c r="O3" s="2"/>
      <c r="P3" s="2"/>
      <c r="Q3" s="2"/>
      <c r="R3" s="2"/>
      <c r="S3" s="2"/>
    </row>
    <row r="4" customFormat="false" ht="15" hidden="false" customHeight="true" outlineLevel="0" collapsed="false">
      <c r="A4" s="35" t="s">
        <v>176</v>
      </c>
      <c r="B4" s="35" t="s">
        <v>6</v>
      </c>
      <c r="C4" s="35" t="s">
        <v>177</v>
      </c>
      <c r="D4" s="35" t="s">
        <v>178</v>
      </c>
      <c r="E4" s="35" t="s">
        <v>735</v>
      </c>
      <c r="F4" s="35" t="s">
        <v>825</v>
      </c>
      <c r="G4" s="35" t="s">
        <v>826</v>
      </c>
      <c r="H4" s="35" t="s">
        <v>67</v>
      </c>
      <c r="I4" s="35" t="s">
        <v>66</v>
      </c>
      <c r="J4" s="35" t="s">
        <v>624</v>
      </c>
      <c r="K4" s="35" t="s">
        <v>68</v>
      </c>
      <c r="L4" s="35" t="s">
        <v>827</v>
      </c>
      <c r="M4" s="35" t="s">
        <v>828</v>
      </c>
      <c r="N4" s="35" t="s">
        <v>641</v>
      </c>
      <c r="O4" s="35" t="s">
        <v>829</v>
      </c>
      <c r="P4" s="35" t="s">
        <v>830</v>
      </c>
      <c r="Q4" s="35" t="s">
        <v>651</v>
      </c>
      <c r="R4" s="35" t="s">
        <v>831</v>
      </c>
      <c r="S4" s="35" t="s">
        <v>832</v>
      </c>
    </row>
    <row r="5" customFormat="false" ht="15" hidden="false" customHeight="true" outlineLevel="0" collapsed="false">
      <c r="A5" s="6" t="s">
        <v>833</v>
      </c>
      <c r="B5" s="7"/>
      <c r="C5" s="7"/>
      <c r="D5" s="7"/>
      <c r="E5" s="7"/>
      <c r="F5" s="7"/>
      <c r="G5" s="7"/>
      <c r="H5" s="7"/>
      <c r="I5" s="7"/>
      <c r="J5" s="7"/>
      <c r="K5" s="7"/>
      <c r="L5" s="7"/>
      <c r="M5" s="7"/>
      <c r="N5" s="7"/>
      <c r="O5" s="7"/>
      <c r="P5" s="7"/>
      <c r="Q5" s="7"/>
      <c r="R5" s="7"/>
      <c r="S5" s="7"/>
    </row>
    <row r="6" customFormat="false" ht="15" hidden="false" customHeight="true" outlineLevel="0" collapsed="false">
      <c r="A6" s="51" t="s">
        <v>834</v>
      </c>
      <c r="B6" s="3" t="s">
        <v>246</v>
      </c>
      <c r="C6" s="92"/>
      <c r="D6" s="92"/>
      <c r="E6" s="10" t="n">
        <v>1</v>
      </c>
      <c r="F6" s="10" t="n">
        <v>2</v>
      </c>
      <c r="G6" s="10" t="n">
        <v>3</v>
      </c>
      <c r="H6" s="10" t="n">
        <v>4</v>
      </c>
      <c r="I6" s="10" t="n">
        <v>5</v>
      </c>
      <c r="J6" s="10" t="n">
        <v>6</v>
      </c>
      <c r="K6" s="10" t="n">
        <v>7</v>
      </c>
      <c r="L6" s="10" t="n">
        <v>8</v>
      </c>
      <c r="M6" s="10" t="n">
        <v>9</v>
      </c>
      <c r="N6" s="10" t="n">
        <v>10</v>
      </c>
      <c r="O6" s="10" t="n">
        <v>11</v>
      </c>
      <c r="P6" s="10" t="n">
        <v>12</v>
      </c>
      <c r="Q6" s="10" t="n">
        <v>13</v>
      </c>
      <c r="R6" s="10" t="n">
        <v>14</v>
      </c>
      <c r="S6" s="10" t="n">
        <v>15</v>
      </c>
    </row>
    <row r="7" customFormat="false" ht="15" hidden="false" customHeight="true" outlineLevel="0" collapsed="false">
      <c r="A7" s="51" t="s">
        <v>835</v>
      </c>
      <c r="B7" s="3" t="s">
        <v>278</v>
      </c>
      <c r="C7" s="92"/>
      <c r="D7" s="92"/>
      <c r="E7" s="10" t="n">
        <v>0</v>
      </c>
      <c r="F7" s="10" t="n">
        <v>0</v>
      </c>
      <c r="G7" s="10" t="n">
        <v>0</v>
      </c>
      <c r="H7" s="10" t="n">
        <v>1</v>
      </c>
      <c r="I7" s="10" t="n">
        <v>1</v>
      </c>
      <c r="J7" s="10" t="n">
        <v>1</v>
      </c>
      <c r="K7" s="10" t="n">
        <v>1</v>
      </c>
      <c r="L7" s="10" t="n">
        <v>1</v>
      </c>
      <c r="M7" s="10" t="n">
        <v>1</v>
      </c>
      <c r="N7" s="10" t="n">
        <v>1</v>
      </c>
      <c r="O7" s="10" t="n">
        <v>1</v>
      </c>
      <c r="P7" s="10" t="n">
        <v>1</v>
      </c>
      <c r="Q7" s="10" t="n">
        <v>1</v>
      </c>
      <c r="R7" s="10" t="n">
        <v>1</v>
      </c>
      <c r="S7" s="10" t="n">
        <v>1</v>
      </c>
    </row>
    <row r="8" customFormat="false" ht="15" hidden="false" customHeight="true" outlineLevel="0" collapsed="false">
      <c r="A8" s="51" t="s">
        <v>836</v>
      </c>
      <c r="B8" s="3" t="s">
        <v>278</v>
      </c>
      <c r="C8" s="92"/>
      <c r="D8" s="92"/>
      <c r="E8" s="10" t="n">
        <v>0</v>
      </c>
      <c r="F8" s="10" t="n">
        <v>0</v>
      </c>
      <c r="G8" s="10" t="n">
        <v>0</v>
      </c>
      <c r="H8" s="10" t="n">
        <v>1</v>
      </c>
      <c r="I8" s="10" t="n">
        <v>1</v>
      </c>
      <c r="J8" s="10" t="n">
        <v>1</v>
      </c>
      <c r="K8" s="10" t="n">
        <v>1</v>
      </c>
      <c r="L8" s="10" t="n">
        <v>1</v>
      </c>
      <c r="M8" s="10" t="n">
        <v>1</v>
      </c>
      <c r="N8" s="10" t="n">
        <v>0</v>
      </c>
      <c r="O8" s="10" t="n">
        <v>0</v>
      </c>
      <c r="P8" s="10" t="n">
        <v>0</v>
      </c>
      <c r="Q8" s="10" t="n">
        <v>0</v>
      </c>
      <c r="R8" s="10" t="n">
        <v>0</v>
      </c>
      <c r="S8" s="10" t="n">
        <v>0</v>
      </c>
    </row>
    <row r="9" customFormat="false" ht="15" hidden="false" customHeight="true" outlineLevel="0" collapsed="false">
      <c r="A9" s="51" t="s">
        <v>837</v>
      </c>
      <c r="B9" s="3" t="s">
        <v>278</v>
      </c>
      <c r="C9" s="92"/>
      <c r="D9" s="92"/>
      <c r="E9" s="10" t="n">
        <f aca="false">IF(AND(OR(Inputs!$C$6=2,Inputs!$C$6=4),E8=1),0,1)</f>
        <v>1</v>
      </c>
      <c r="F9" s="10" t="n">
        <f aca="false">IF(AND(OR(Inputs!$C$6=2,Inputs!$C$6=4),F8=1),0,1)</f>
        <v>1</v>
      </c>
      <c r="G9" s="10" t="n">
        <f aca="false">IF(AND(OR(Inputs!$C$6=2,Inputs!$C$6=4),G8=1),0,1)</f>
        <v>1</v>
      </c>
      <c r="H9" s="10" t="n">
        <f aca="false">IF(AND(OR(Inputs!$C$6=2,Inputs!$C$6=4),H8=1),0,1)</f>
        <v>1</v>
      </c>
      <c r="I9" s="10" t="n">
        <f aca="false">IF(AND(OR(Inputs!$C$6=2,Inputs!$C$6=4),I8=1),0,1)</f>
        <v>1</v>
      </c>
      <c r="J9" s="10" t="n">
        <f aca="false">IF(AND(OR(Inputs!$C$6=2,Inputs!$C$6=4),J8=1),0,1)</f>
        <v>1</v>
      </c>
      <c r="K9" s="10" t="n">
        <f aca="false">IF(AND(OR(Inputs!$C$6=2,Inputs!$C$6=4),K8=1),0,1)</f>
        <v>1</v>
      </c>
      <c r="L9" s="10" t="n">
        <f aca="false">IF(AND(OR(Inputs!$C$6=2,Inputs!$C$6=4),L8=1),0,1)</f>
        <v>1</v>
      </c>
      <c r="M9" s="10" t="n">
        <f aca="false">IF(AND(OR(Inputs!$C$6=2,Inputs!$C$6=4),M8=1),0,1)</f>
        <v>1</v>
      </c>
      <c r="N9" s="10" t="n">
        <f aca="false">IF(AND(OR(Inputs!$C$6=2,Inputs!$C$6=4),N8=1),0,1)</f>
        <v>1</v>
      </c>
      <c r="O9" s="10" t="n">
        <f aca="false">IF(AND(OR(Inputs!$C$6=2,Inputs!$C$6=4),O8=1),0,1)</f>
        <v>1</v>
      </c>
      <c r="P9" s="10" t="n">
        <f aca="false">IF(AND(OR(Inputs!$C$6=2,Inputs!$C$6=4),P8=1),0,1)</f>
        <v>1</v>
      </c>
      <c r="Q9" s="10" t="n">
        <f aca="false">IF(AND(OR(Inputs!$C$6=2,Inputs!$C$6=4),Q8=1),0,1)</f>
        <v>1</v>
      </c>
      <c r="R9" s="10" t="n">
        <f aca="false">IF(AND(OR(Inputs!$C$6=2,Inputs!$C$6=4),R8=1),0,1)</f>
        <v>1</v>
      </c>
      <c r="S9" s="10" t="n">
        <f aca="false">IF(AND(OR(Inputs!$C$6=2,Inputs!$C$6=4),S8=1),0,1)</f>
        <v>1</v>
      </c>
    </row>
    <row r="10" customFormat="false" ht="15" hidden="false" customHeight="true" outlineLevel="0" collapsed="false">
      <c r="A10" s="51" t="s">
        <v>838</v>
      </c>
      <c r="B10" s="3" t="s">
        <v>250</v>
      </c>
      <c r="C10" s="98"/>
      <c r="D10" s="98"/>
      <c r="E10" s="9" t="n">
        <f aca="false">IF(OR(Inputs!$C$6=3,Inputs!$C$6=4),1-Inputs!$C$7,1)</f>
        <v>1</v>
      </c>
      <c r="F10" s="9" t="n">
        <f aca="false">IF(OR(Inputs!$C$6=3,Inputs!$C$6=4),1-Inputs!$C$7,1)</f>
        <v>1</v>
      </c>
      <c r="G10" s="9" t="n">
        <f aca="false">IF(OR(Inputs!$C$6=3,Inputs!$C$6=4),1-Inputs!$C$7,1)</f>
        <v>1</v>
      </c>
      <c r="H10" s="9" t="n">
        <f aca="false">IF(OR(Inputs!$C$6=3,Inputs!$C$6=4),1-Inputs!$C$7,1)</f>
        <v>1</v>
      </c>
      <c r="I10" s="9" t="n">
        <f aca="false">IF(OR(Inputs!$C$6=3,Inputs!$C$6=4),1-Inputs!$C$7,1)</f>
        <v>1</v>
      </c>
      <c r="J10" s="9" t="n">
        <f aca="false">IF(OR(Inputs!$C$6=3,Inputs!$C$6=4),1-Inputs!$C$7,1)</f>
        <v>1</v>
      </c>
      <c r="K10" s="9" t="n">
        <f aca="false">IF(OR(Inputs!$C$6=3,Inputs!$C$6=4),1-Inputs!$C$7,1)</f>
        <v>1</v>
      </c>
      <c r="L10" s="9" t="n">
        <f aca="false">IF(OR(Inputs!$C$6=3,Inputs!$C$6=4),1-Inputs!$C$7,1)</f>
        <v>1</v>
      </c>
      <c r="M10" s="9" t="n">
        <f aca="false">IF(OR(Inputs!$C$6=3,Inputs!$C$6=4),1-Inputs!$C$7,1)</f>
        <v>1</v>
      </c>
      <c r="N10" s="9" t="n">
        <f aca="false">IF(OR(Inputs!$C$6=3,Inputs!$C$6=4),1-Inputs!$C$7,1)</f>
        <v>1</v>
      </c>
      <c r="O10" s="9" t="n">
        <f aca="false">IF(OR(Inputs!$C$6=3,Inputs!$C$6=4),1-Inputs!$C$7,1)</f>
        <v>1</v>
      </c>
      <c r="P10" s="9" t="n">
        <f aca="false">IF(OR(Inputs!$C$6=3,Inputs!$C$6=4),1-Inputs!$C$7,1)</f>
        <v>1</v>
      </c>
      <c r="Q10" s="9" t="n">
        <f aca="false">IF(OR(Inputs!$C$6=3,Inputs!$C$6=4),1-Inputs!$C$7,1)</f>
        <v>1</v>
      </c>
      <c r="R10" s="9" t="n">
        <f aca="false">IF(OR(Inputs!$C$6=3,Inputs!$C$6=4),1-Inputs!$C$7,1)</f>
        <v>1</v>
      </c>
      <c r="S10" s="9" t="n">
        <f aca="false">IF(OR(Inputs!$C$6=3,Inputs!$C$6=4),1-Inputs!$C$7,1)</f>
        <v>1</v>
      </c>
    </row>
    <row r="11" customFormat="false" ht="15" hidden="false" customHeight="true" outlineLevel="0" collapsed="false">
      <c r="A11" s="51" t="s">
        <v>839</v>
      </c>
      <c r="B11" s="3" t="s">
        <v>278</v>
      </c>
      <c r="C11" s="92"/>
      <c r="D11" s="92"/>
      <c r="E11" s="10" t="n">
        <f aca="false">IF(AND(Inputs!$C$85=2,E6&gt;=IFERROR(MATCH(Inputs!$C$86,$E$4:$S$4,0),99)),1,0)</f>
        <v>0</v>
      </c>
      <c r="F11" s="10" t="n">
        <f aca="false">IF(AND(Inputs!$C$85=2,F6&gt;=IFERROR(MATCH(Inputs!$C$86,$E$4:$S$4,0),99)),1,0)</f>
        <v>0</v>
      </c>
      <c r="G11" s="10" t="n">
        <f aca="false">IF(AND(Inputs!$C$85=2,G6&gt;=IFERROR(MATCH(Inputs!$C$86,$E$4:$S$4,0),99)),1,0)</f>
        <v>0</v>
      </c>
      <c r="H11" s="10" t="n">
        <f aca="false">IF(AND(Inputs!$C$85=2,H6&gt;=IFERROR(MATCH(Inputs!$C$86,$E$4:$S$4,0),99)),1,0)</f>
        <v>1</v>
      </c>
      <c r="I11" s="10" t="n">
        <f aca="false">IF(AND(Inputs!$C$85=2,I6&gt;=IFERROR(MATCH(Inputs!$C$86,$E$4:$S$4,0),99)),1,0)</f>
        <v>1</v>
      </c>
      <c r="J11" s="10" t="n">
        <f aca="false">IF(AND(Inputs!$C$85=2,J6&gt;=IFERROR(MATCH(Inputs!$C$86,$E$4:$S$4,0),99)),1,0)</f>
        <v>1</v>
      </c>
      <c r="K11" s="10" t="n">
        <f aca="false">IF(AND(Inputs!$C$85=2,K6&gt;=IFERROR(MATCH(Inputs!$C$86,$E$4:$S$4,0),99)),1,0)</f>
        <v>1</v>
      </c>
      <c r="L11" s="10" t="n">
        <f aca="false">IF(AND(Inputs!$C$85=2,L6&gt;=IFERROR(MATCH(Inputs!$C$86,$E$4:$S$4,0),99)),1,0)</f>
        <v>1</v>
      </c>
      <c r="M11" s="10" t="n">
        <f aca="false">IF(AND(Inputs!$C$85=2,M6&gt;=IFERROR(MATCH(Inputs!$C$86,$E$4:$S$4,0),99)),1,0)</f>
        <v>1</v>
      </c>
      <c r="N11" s="10" t="n">
        <f aca="false">IF(AND(Inputs!$C$85=2,N6&gt;=IFERROR(MATCH(Inputs!$C$86,$E$4:$S$4,0),99)),1,0)</f>
        <v>1</v>
      </c>
      <c r="O11" s="10" t="n">
        <f aca="false">IF(AND(Inputs!$C$85=2,O6&gt;=IFERROR(MATCH(Inputs!$C$86,$E$4:$S$4,0),99)),1,0)</f>
        <v>1</v>
      </c>
      <c r="P11" s="10" t="n">
        <f aca="false">IF(AND(Inputs!$C$85=2,P6&gt;=IFERROR(MATCH(Inputs!$C$86,$E$4:$S$4,0),99)),1,0)</f>
        <v>1</v>
      </c>
      <c r="Q11" s="10" t="n">
        <f aca="false">IF(AND(Inputs!$C$85=2,Q6&gt;=IFERROR(MATCH(Inputs!$C$86,$E$4:$S$4,0),99)),1,0)</f>
        <v>1</v>
      </c>
      <c r="R11" s="10" t="n">
        <f aca="false">IF(AND(Inputs!$C$85=2,R6&gt;=IFERROR(MATCH(Inputs!$C$86,$E$4:$S$4,0),99)),1,0)</f>
        <v>1</v>
      </c>
      <c r="S11" s="10" t="n">
        <f aca="false">IF(AND(Inputs!$C$85=2,S6&gt;=IFERROR(MATCH(Inputs!$C$86,$E$4:$S$4,0),99)),1,0)</f>
        <v>1</v>
      </c>
    </row>
    <row r="12" customFormat="false" ht="15" hidden="false" customHeight="true" outlineLevel="0" collapsed="false">
      <c r="A12" s="51" t="s">
        <v>840</v>
      </c>
      <c r="B12" s="3" t="s">
        <v>250</v>
      </c>
      <c r="C12" s="98"/>
      <c r="D12" s="98"/>
      <c r="E12" s="9" t="n">
        <f aca="false">IF(E11=1,Inputs!$C$98,1)</f>
        <v>1</v>
      </c>
      <c r="F12" s="9" t="n">
        <f aca="false">IF(F11=1,Inputs!$C$98,1)</f>
        <v>1</v>
      </c>
      <c r="G12" s="9" t="n">
        <f aca="false">IF(G11=1,Inputs!$C$98,1)</f>
        <v>1</v>
      </c>
      <c r="H12" s="9" t="n">
        <f aca="false">IF(H11=1,Inputs!$C$98,1)</f>
        <v>1</v>
      </c>
      <c r="I12" s="9" t="n">
        <f aca="false">IF(I11=1,Inputs!$C$98,1)</f>
        <v>1</v>
      </c>
      <c r="J12" s="9" t="n">
        <f aca="false">IF(J11=1,Inputs!$C$98,1)</f>
        <v>1</v>
      </c>
      <c r="K12" s="9" t="n">
        <f aca="false">IF(K11=1,Inputs!$C$98,1)</f>
        <v>1</v>
      </c>
      <c r="L12" s="9" t="n">
        <f aca="false">IF(L11=1,Inputs!$C$98,1)</f>
        <v>1</v>
      </c>
      <c r="M12" s="9" t="n">
        <f aca="false">IF(M11=1,Inputs!$C$98,1)</f>
        <v>1</v>
      </c>
      <c r="N12" s="9" t="n">
        <f aca="false">IF(N11=1,Inputs!$C$98,1)</f>
        <v>1</v>
      </c>
      <c r="O12" s="9" t="n">
        <f aca="false">IF(O11=1,Inputs!$C$98,1)</f>
        <v>1</v>
      </c>
      <c r="P12" s="9" t="n">
        <f aca="false">IF(P11=1,Inputs!$C$98,1)</f>
        <v>1</v>
      </c>
      <c r="Q12" s="9" t="n">
        <f aca="false">IF(Q11=1,Inputs!$C$98,1)</f>
        <v>1</v>
      </c>
      <c r="R12" s="9" t="n">
        <f aca="false">IF(R11=1,Inputs!$C$98,1)</f>
        <v>1</v>
      </c>
      <c r="S12" s="9" t="n">
        <f aca="false">IF(S11=1,Inputs!$C$98,1)</f>
        <v>1</v>
      </c>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row>
    <row r="14" customFormat="false" ht="15" hidden="false" customHeight="true" outlineLevel="0" collapsed="false">
      <c r="A14" s="6" t="s">
        <v>841</v>
      </c>
      <c r="B14" s="7"/>
      <c r="C14" s="7"/>
      <c r="D14" s="7"/>
      <c r="E14" s="7"/>
      <c r="F14" s="7"/>
      <c r="G14" s="7"/>
      <c r="H14" s="7"/>
      <c r="I14" s="7"/>
      <c r="J14" s="7"/>
      <c r="K14" s="7"/>
      <c r="L14" s="7"/>
      <c r="M14" s="7"/>
      <c r="N14" s="7"/>
      <c r="O14" s="7"/>
      <c r="P14" s="7"/>
      <c r="Q14" s="7"/>
      <c r="R14" s="7"/>
      <c r="S14" s="7"/>
    </row>
    <row r="15" customFormat="false" ht="15" hidden="false" customHeight="true" outlineLevel="0" collapsed="false">
      <c r="A15" s="51" t="s">
        <v>842</v>
      </c>
      <c r="B15" s="3" t="s">
        <v>26</v>
      </c>
      <c r="C15" s="92" t="n">
        <f aca="false">SUM(E15:G15)</f>
        <v>1</v>
      </c>
      <c r="D15" s="92" t="n">
        <f aca="false">SUM(H15:S15)</f>
        <v>5</v>
      </c>
      <c r="E15" s="73" t="n">
        <v>0</v>
      </c>
      <c r="F15" s="73" t="n">
        <v>1</v>
      </c>
      <c r="G15" s="73" t="n">
        <v>0</v>
      </c>
      <c r="H15" s="73" t="n">
        <v>0</v>
      </c>
      <c r="I15" s="73" t="n">
        <v>0</v>
      </c>
      <c r="J15" s="73" t="n">
        <v>1</v>
      </c>
      <c r="K15" s="73" t="n">
        <v>0</v>
      </c>
      <c r="L15" s="73" t="n">
        <v>1</v>
      </c>
      <c r="M15" s="73" t="n">
        <v>0</v>
      </c>
      <c r="N15" s="73" t="n">
        <v>1</v>
      </c>
      <c r="O15" s="73" t="n">
        <v>0</v>
      </c>
      <c r="P15" s="73" t="n">
        <v>1</v>
      </c>
      <c r="Q15" s="73" t="n">
        <v>0</v>
      </c>
      <c r="R15" s="73" t="n">
        <v>1</v>
      </c>
      <c r="S15" s="73" t="n">
        <v>0</v>
      </c>
    </row>
    <row r="16" customFormat="false" ht="15" hidden="false" customHeight="true" outlineLevel="0" collapsed="false">
      <c r="A16" s="51" t="s">
        <v>843</v>
      </c>
      <c r="B16" s="3" t="s">
        <v>26</v>
      </c>
      <c r="C16" s="92" t="n">
        <f aca="false">SUM(E16:G16)</f>
        <v>10</v>
      </c>
      <c r="D16" s="92" t="n">
        <f aca="false">SUM(H16:S16)</f>
        <v>17</v>
      </c>
      <c r="E16" s="73" t="n">
        <v>2</v>
      </c>
      <c r="F16" s="73" t="n">
        <v>3</v>
      </c>
      <c r="G16" s="73" t="n">
        <v>5</v>
      </c>
      <c r="H16" s="73" t="n">
        <v>0</v>
      </c>
      <c r="I16" s="73" t="n">
        <v>0</v>
      </c>
      <c r="J16" s="73" t="n">
        <v>1</v>
      </c>
      <c r="K16" s="73" t="n">
        <v>0</v>
      </c>
      <c r="L16" s="73" t="n">
        <v>1</v>
      </c>
      <c r="M16" s="73" t="n">
        <v>1</v>
      </c>
      <c r="N16" s="73" t="n">
        <v>1</v>
      </c>
      <c r="O16" s="73" t="n">
        <v>1</v>
      </c>
      <c r="P16" s="73" t="n">
        <v>2</v>
      </c>
      <c r="Q16" s="73" t="n">
        <v>2</v>
      </c>
      <c r="R16" s="73" t="n">
        <v>3</v>
      </c>
      <c r="S16" s="73" t="n">
        <v>5</v>
      </c>
    </row>
    <row r="17" customFormat="false" ht="15" hidden="false" customHeight="true" outlineLevel="0" collapsed="false">
      <c r="A17" s="51" t="s">
        <v>844</v>
      </c>
      <c r="B17" s="3" t="s">
        <v>26</v>
      </c>
      <c r="C17" s="92" t="n">
        <f aca="false">SUM(E17:G17)</f>
        <v>2</v>
      </c>
      <c r="D17" s="92" t="n">
        <f aca="false">SUM(H17:S17)</f>
        <v>4</v>
      </c>
      <c r="E17" s="73" t="n">
        <v>1</v>
      </c>
      <c r="F17" s="73" t="n">
        <v>1</v>
      </c>
      <c r="G17" s="73" t="n">
        <v>0</v>
      </c>
      <c r="H17" s="73" t="n">
        <v>0</v>
      </c>
      <c r="I17" s="73" t="n">
        <v>0</v>
      </c>
      <c r="J17" s="73" t="n">
        <v>0</v>
      </c>
      <c r="K17" s="73" t="n">
        <v>1</v>
      </c>
      <c r="L17" s="73" t="n">
        <v>0</v>
      </c>
      <c r="M17" s="73" t="n">
        <v>0</v>
      </c>
      <c r="N17" s="73" t="n">
        <v>1</v>
      </c>
      <c r="O17" s="73" t="n">
        <v>0</v>
      </c>
      <c r="P17" s="73" t="n">
        <v>0</v>
      </c>
      <c r="Q17" s="73" t="n">
        <v>1</v>
      </c>
      <c r="R17" s="73" t="n">
        <v>1</v>
      </c>
      <c r="S17" s="73" t="n">
        <v>0</v>
      </c>
    </row>
    <row r="18" customFormat="false" ht="15" hidden="false" customHeight="true" outlineLevel="0" collapsed="false">
      <c r="A18" s="51" t="s">
        <v>845</v>
      </c>
      <c r="B18" s="3" t="s">
        <v>205</v>
      </c>
      <c r="C18" s="92" t="n">
        <f aca="false">MAX(E18:G18)</f>
        <v>1</v>
      </c>
      <c r="D18" s="92" t="n">
        <f aca="false">MAX(H18:S18)</f>
        <v>1</v>
      </c>
      <c r="E18" s="73" t="n">
        <v>1</v>
      </c>
      <c r="F18" s="73" t="n">
        <v>1</v>
      </c>
      <c r="G18" s="73" t="n">
        <v>1</v>
      </c>
      <c r="H18" s="73" t="n">
        <v>1</v>
      </c>
      <c r="I18" s="73" t="n">
        <v>1</v>
      </c>
      <c r="J18" s="73" t="n">
        <v>1</v>
      </c>
      <c r="K18" s="73" t="n">
        <v>1</v>
      </c>
      <c r="L18" s="73" t="n">
        <v>1</v>
      </c>
      <c r="M18" s="73" t="n">
        <v>1</v>
      </c>
      <c r="N18" s="73" t="n">
        <v>1</v>
      </c>
      <c r="O18" s="73" t="n">
        <v>1</v>
      </c>
      <c r="P18" s="73" t="n">
        <v>1</v>
      </c>
      <c r="Q18" s="73" t="n">
        <v>1</v>
      </c>
      <c r="R18" s="73" t="n">
        <v>1</v>
      </c>
      <c r="S18" s="73" t="n">
        <v>1</v>
      </c>
    </row>
    <row r="19" customFormat="false" ht="15" hidden="false" customHeight="true" outlineLevel="0" collapsed="false">
      <c r="A19" s="51" t="s">
        <v>846</v>
      </c>
      <c r="B19" s="3" t="s">
        <v>26</v>
      </c>
      <c r="C19" s="92" t="n">
        <f aca="false">SUM(E19:G19)</f>
        <v>3</v>
      </c>
      <c r="D19" s="92" t="n">
        <f aca="false">SUM(H19:S19)</f>
        <v>5</v>
      </c>
      <c r="E19" s="73" t="n">
        <v>1</v>
      </c>
      <c r="F19" s="73" t="n">
        <v>1</v>
      </c>
      <c r="G19" s="73" t="n">
        <v>1</v>
      </c>
      <c r="H19" s="73" t="n">
        <v>1</v>
      </c>
      <c r="I19" s="73" t="n">
        <v>1</v>
      </c>
      <c r="J19" s="73" t="n">
        <v>0</v>
      </c>
      <c r="K19" s="73" t="n">
        <v>0</v>
      </c>
      <c r="L19" s="73" t="n">
        <v>0</v>
      </c>
      <c r="M19" s="73" t="n">
        <v>0</v>
      </c>
      <c r="N19" s="73" t="n">
        <v>0</v>
      </c>
      <c r="O19" s="73" t="n">
        <v>0</v>
      </c>
      <c r="P19" s="73" t="n">
        <v>0</v>
      </c>
      <c r="Q19" s="73" t="n">
        <v>1</v>
      </c>
      <c r="R19" s="73" t="n">
        <v>1</v>
      </c>
      <c r="S19" s="73" t="n">
        <v>1</v>
      </c>
    </row>
    <row r="20" customFormat="false" ht="15" hidden="false" customHeight="true" outlineLevel="0" collapsed="false">
      <c r="A20" s="51" t="s">
        <v>847</v>
      </c>
      <c r="B20" s="3" t="s">
        <v>252</v>
      </c>
      <c r="C20" s="92" t="n">
        <f aca="false">SUM(E20:G20)</f>
        <v>6</v>
      </c>
      <c r="D20" s="92" t="n">
        <f aca="false">SUM(H20:S20)</f>
        <v>23</v>
      </c>
      <c r="E20" s="73" t="n">
        <v>2</v>
      </c>
      <c r="F20" s="73" t="n">
        <v>2</v>
      </c>
      <c r="G20" s="73" t="n">
        <v>2</v>
      </c>
      <c r="H20" s="73" t="n">
        <v>3</v>
      </c>
      <c r="I20" s="73" t="n">
        <v>2</v>
      </c>
      <c r="J20" s="73" t="n">
        <v>1</v>
      </c>
      <c r="K20" s="73" t="n">
        <v>1</v>
      </c>
      <c r="L20" s="73" t="n">
        <v>0</v>
      </c>
      <c r="M20" s="73" t="n">
        <v>2</v>
      </c>
      <c r="N20" s="73" t="n">
        <v>1</v>
      </c>
      <c r="O20" s="73" t="n">
        <v>3</v>
      </c>
      <c r="P20" s="73" t="n">
        <v>4</v>
      </c>
      <c r="Q20" s="73" t="n">
        <v>2</v>
      </c>
      <c r="R20" s="73" t="n">
        <v>2</v>
      </c>
      <c r="S20" s="73" t="n">
        <v>2</v>
      </c>
    </row>
    <row r="21" customFormat="false" ht="15" hidden="false" customHeight="true" outlineLevel="0" collapsed="false">
      <c r="A21" s="2"/>
      <c r="B21" s="2"/>
      <c r="C21" s="2"/>
      <c r="D21" s="2"/>
      <c r="E21" s="2"/>
      <c r="F21" s="2"/>
      <c r="G21" s="2"/>
      <c r="H21" s="2"/>
      <c r="I21" s="2"/>
      <c r="J21" s="2"/>
      <c r="K21" s="2"/>
      <c r="L21" s="2"/>
      <c r="M21" s="2"/>
      <c r="N21" s="2"/>
      <c r="O21" s="2"/>
      <c r="P21" s="2"/>
      <c r="Q21" s="2"/>
      <c r="R21" s="2"/>
      <c r="S21" s="2"/>
    </row>
    <row r="22" customFormat="false" ht="15" hidden="false" customHeight="true" outlineLevel="0" collapsed="false">
      <c r="A22" s="6" t="s">
        <v>848</v>
      </c>
      <c r="B22" s="7"/>
      <c r="C22" s="7"/>
      <c r="D22" s="7"/>
      <c r="E22" s="7"/>
      <c r="F22" s="7"/>
      <c r="G22" s="7"/>
      <c r="H22" s="7"/>
      <c r="I22" s="7"/>
      <c r="J22" s="7"/>
      <c r="K22" s="7"/>
      <c r="L22" s="7"/>
      <c r="M22" s="7"/>
      <c r="N22" s="7"/>
      <c r="O22" s="7"/>
      <c r="P22" s="7"/>
      <c r="Q22" s="7"/>
      <c r="R22" s="7"/>
      <c r="S22" s="7"/>
    </row>
    <row r="23" customFormat="false" ht="15" hidden="false" customHeight="true" outlineLevel="0" collapsed="false">
      <c r="A23" s="51" t="s">
        <v>842</v>
      </c>
      <c r="B23" s="3" t="s">
        <v>26</v>
      </c>
      <c r="C23" s="99" t="n">
        <f aca="false">SUM(E23:G23)</f>
        <v>0</v>
      </c>
      <c r="D23" s="99" t="n">
        <f aca="false">SUM(H23:S23)</f>
        <v>5</v>
      </c>
      <c r="E23" s="8" t="n">
        <f aca="false">E15*E9*E12*E10*(1-E34)</f>
        <v>0</v>
      </c>
      <c r="F23" s="8" t="n">
        <f aca="false">F15*F9*F12*F10*(1-F34)</f>
        <v>0</v>
      </c>
      <c r="G23" s="8" t="n">
        <f aca="false">G15*G9*G12*G10*(1-G34)</f>
        <v>0</v>
      </c>
      <c r="H23" s="8" t="n">
        <f aca="false">H15*H9*H12*H10*(1-H34)</f>
        <v>0</v>
      </c>
      <c r="I23" s="8" t="n">
        <f aca="false">I15*I9*I12*I10*(1-I34)</f>
        <v>0</v>
      </c>
      <c r="J23" s="8" t="n">
        <f aca="false">J15*J9*J12*J10*(1-J34)</f>
        <v>1</v>
      </c>
      <c r="K23" s="8" t="n">
        <f aca="false">K15*K9*K12*K10*(1-K34)</f>
        <v>0</v>
      </c>
      <c r="L23" s="8" t="n">
        <f aca="false">L15*L9*L12*L10*(1-L34)</f>
        <v>1</v>
      </c>
      <c r="M23" s="8" t="n">
        <f aca="false">M15*M9*M12*M10*(1-M34)</f>
        <v>0</v>
      </c>
      <c r="N23" s="8" t="n">
        <f aca="false">N15*N9*N12*N10*(1-N34)</f>
        <v>1</v>
      </c>
      <c r="O23" s="8" t="n">
        <f aca="false">O15*O9*O12*O10*(1-O34)</f>
        <v>0</v>
      </c>
      <c r="P23" s="8" t="n">
        <f aca="false">P15*P9*P12*P10*(1-P34)</f>
        <v>1</v>
      </c>
      <c r="Q23" s="8" t="n">
        <f aca="false">Q15*Q9*Q12*Q10*(1-Q34)</f>
        <v>0</v>
      </c>
      <c r="R23" s="8" t="n">
        <f aca="false">R15*R9*R12*R10*(1-R34)</f>
        <v>1</v>
      </c>
      <c r="S23" s="8" t="n">
        <f aca="false">S15*S9*S12*S10*(1-S34)</f>
        <v>0</v>
      </c>
    </row>
    <row r="24" customFormat="false" ht="15" hidden="false" customHeight="true" outlineLevel="0" collapsed="false">
      <c r="A24" s="51" t="s">
        <v>843</v>
      </c>
      <c r="B24" s="3" t="s">
        <v>26</v>
      </c>
      <c r="C24" s="99" t="n">
        <f aca="false">SUM(E24:G24)</f>
        <v>0</v>
      </c>
      <c r="D24" s="99" t="n">
        <f aca="false">SUM(H24:S24)</f>
        <v>17</v>
      </c>
      <c r="E24" s="8" t="n">
        <f aca="false">E16*E9*E12*(1-Inputs!$C$83*(1-E10))*(1-E34)</f>
        <v>0</v>
      </c>
      <c r="F24" s="8" t="n">
        <f aca="false">F16*F9*F12*(1-Inputs!$C$83*(1-F10))*(1-F34)</f>
        <v>0</v>
      </c>
      <c r="G24" s="8" t="n">
        <f aca="false">G16*G9*G12*(1-Inputs!$C$83*(1-G10))*(1-G34)</f>
        <v>0</v>
      </c>
      <c r="H24" s="8" t="n">
        <f aca="false">H16*H9*H12*(1-Inputs!$C$83*(1-H10))*(1-H34)</f>
        <v>0</v>
      </c>
      <c r="I24" s="8" t="n">
        <f aca="false">I16*I9*I12*(1-Inputs!$C$83*(1-I10))*(1-I34)</f>
        <v>0</v>
      </c>
      <c r="J24" s="8" t="n">
        <f aca="false">J16*J9*J12*(1-Inputs!$C$83*(1-J10))*(1-J34)</f>
        <v>1</v>
      </c>
      <c r="K24" s="8" t="n">
        <f aca="false">K16*K9*K12*(1-Inputs!$C$83*(1-K10))*(1-K34)</f>
        <v>0</v>
      </c>
      <c r="L24" s="8" t="n">
        <f aca="false">L16*L9*L12*(1-Inputs!$C$83*(1-L10))*(1-L34)</f>
        <v>1</v>
      </c>
      <c r="M24" s="8" t="n">
        <f aca="false">M16*M9*M12*(1-Inputs!$C$83*(1-M10))*(1-M34)</f>
        <v>1</v>
      </c>
      <c r="N24" s="8" t="n">
        <f aca="false">N16*N9*N12*(1-Inputs!$C$83*(1-N10))*(1-N34)</f>
        <v>1</v>
      </c>
      <c r="O24" s="8" t="n">
        <f aca="false">O16*O9*O12*(1-Inputs!$C$83*(1-O10))*(1-O34)</f>
        <v>1</v>
      </c>
      <c r="P24" s="8" t="n">
        <f aca="false">P16*P9*P12*(1-Inputs!$C$83*(1-P10))*(1-P34)</f>
        <v>2</v>
      </c>
      <c r="Q24" s="8" t="n">
        <f aca="false">Q16*Q9*Q12*(1-Inputs!$C$83*(1-Q10))*(1-Q34)</f>
        <v>2</v>
      </c>
      <c r="R24" s="8" t="n">
        <f aca="false">R16*R9*R12*(1-Inputs!$C$83*(1-R10))*(1-R34)</f>
        <v>3</v>
      </c>
      <c r="S24" s="8" t="n">
        <f aca="false">S16*S9*S12*(1-Inputs!$C$83*(1-S10))*(1-S34)</f>
        <v>5</v>
      </c>
    </row>
    <row r="25" customFormat="false" ht="15" hidden="false" customHeight="true" outlineLevel="0" collapsed="false">
      <c r="A25" s="51" t="s">
        <v>849</v>
      </c>
      <c r="B25" s="3" t="s">
        <v>26</v>
      </c>
      <c r="C25" s="99" t="n">
        <f aca="false">SUM(E25:G25)</f>
        <v>0</v>
      </c>
      <c r="D25" s="99" t="n">
        <f aca="false">SUM(H25:S25)</f>
        <v>7</v>
      </c>
      <c r="E25" s="8" t="n">
        <f aca="false">E17*E9*E12*(1-E34)+E36</f>
        <v>0</v>
      </c>
      <c r="F25" s="8" t="n">
        <f aca="false">F17*F9*F12*(1-F34)+F36</f>
        <v>0</v>
      </c>
      <c r="G25" s="8" t="n">
        <f aca="false">G17*G9*G12*(1-G34)+G36</f>
        <v>0</v>
      </c>
      <c r="H25" s="8" t="n">
        <f aca="false">H17*H9*H12*(1-H34)+H36</f>
        <v>0</v>
      </c>
      <c r="I25" s="8" t="n">
        <f aca="false">I17*I9*I12*(1-I34)+I36</f>
        <v>0</v>
      </c>
      <c r="J25" s="8" t="n">
        <f aca="false">J17*J9*J12*(1-J34)+J36</f>
        <v>0</v>
      </c>
      <c r="K25" s="8" t="n">
        <f aca="false">K17*K9*K12*(1-K34)+K36</f>
        <v>1</v>
      </c>
      <c r="L25" s="8" t="n">
        <f aca="false">L17*L9*L12*(1-L34)+L36</f>
        <v>0</v>
      </c>
      <c r="M25" s="8" t="n">
        <f aca="false">M17*M9*M12*(1-M34)+M36</f>
        <v>0</v>
      </c>
      <c r="N25" s="8" t="n">
        <f aca="false">N17*N9*N12*(1-N34)+N36</f>
        <v>1</v>
      </c>
      <c r="O25" s="8" t="n">
        <f aca="false">O17*O9*O12*(1-O34)+O36</f>
        <v>0</v>
      </c>
      <c r="P25" s="8" t="n">
        <f aca="false">P17*P9*P12*(1-P34)+P36</f>
        <v>0</v>
      </c>
      <c r="Q25" s="8" t="n">
        <f aca="false">Q17*Q9*Q12*(1-Q34)+Q36</f>
        <v>2</v>
      </c>
      <c r="R25" s="8" t="n">
        <f aca="false">R17*R9*R12*(1-R34)+R36</f>
        <v>2</v>
      </c>
      <c r="S25" s="8" t="n">
        <f aca="false">S17*S9*S12*(1-S34)+S36</f>
        <v>1</v>
      </c>
    </row>
    <row r="26" customFormat="false" ht="15" hidden="false" customHeight="true" outlineLevel="0" collapsed="false">
      <c r="A26" s="51" t="s">
        <v>850</v>
      </c>
      <c r="B26" s="3" t="s">
        <v>205</v>
      </c>
      <c r="C26" s="99" t="n">
        <f aca="false">MAX(E26:G26)</f>
        <v>1</v>
      </c>
      <c r="D26" s="99" t="n">
        <f aca="false">MAX(H26:S26)</f>
        <v>3</v>
      </c>
      <c r="E26" s="8" t="n">
        <f aca="false">E18+E35</f>
        <v>1</v>
      </c>
      <c r="F26" s="8" t="n">
        <f aca="false">F18+F35</f>
        <v>1</v>
      </c>
      <c r="G26" s="8" t="n">
        <f aca="false">G18+G35</f>
        <v>1</v>
      </c>
      <c r="H26" s="8" t="n">
        <f aca="false">H18+H35</f>
        <v>1</v>
      </c>
      <c r="I26" s="8" t="n">
        <f aca="false">I18+I35</f>
        <v>2</v>
      </c>
      <c r="J26" s="8" t="n">
        <f aca="false">J18+J35</f>
        <v>2</v>
      </c>
      <c r="K26" s="8" t="n">
        <f aca="false">K18+K35</f>
        <v>2</v>
      </c>
      <c r="L26" s="8" t="n">
        <f aca="false">L18+L35</f>
        <v>2</v>
      </c>
      <c r="M26" s="8" t="n">
        <f aca="false">M18+M35</f>
        <v>2</v>
      </c>
      <c r="N26" s="8" t="n">
        <f aca="false">N18+N35</f>
        <v>3</v>
      </c>
      <c r="O26" s="8" t="n">
        <f aca="false">O18+O35</f>
        <v>3</v>
      </c>
      <c r="P26" s="8" t="n">
        <f aca="false">P18+P35</f>
        <v>3</v>
      </c>
      <c r="Q26" s="8" t="n">
        <f aca="false">Q18+Q35</f>
        <v>3</v>
      </c>
      <c r="R26" s="8" t="n">
        <f aca="false">R18+R35</f>
        <v>3</v>
      </c>
      <c r="S26" s="8" t="n">
        <f aca="false">S18+S35</f>
        <v>3</v>
      </c>
    </row>
    <row r="27" customFormat="false" ht="15" hidden="false" customHeight="true" outlineLevel="0" collapsed="false">
      <c r="A27" s="51" t="s">
        <v>846</v>
      </c>
      <c r="B27" s="3" t="s">
        <v>26</v>
      </c>
      <c r="C27" s="99" t="n">
        <f aca="false">SUM(E27:G27)</f>
        <v>1</v>
      </c>
      <c r="D27" s="99" t="n">
        <f aca="false">SUM(H27:S27)</f>
        <v>4</v>
      </c>
      <c r="E27" s="8" t="n">
        <f aca="false">E19*(1-E34*Inputs!$C$103)+Inputs!$C$105*IF(Volume!E6=IFERROR(MATCH(Inputs!$C$128,$E$4:$S$4,0),99),1,0)+Inputs!$C$131*IF(E6=IFERROR(MATCH(Inputs!$C$141,$E$4:$S$4,0),99),1,0)</f>
        <v>1</v>
      </c>
      <c r="F27" s="8" t="n">
        <f aca="false">F19*(1-F34*Inputs!$C$103)+Inputs!$C$105*IF(Volume!F6=IFERROR(MATCH(Inputs!$C$128,$E$4:$S$4,0),99),1,0)+Inputs!$C$131*IF(F6=IFERROR(MATCH(Inputs!$C$141,$E$4:$S$4,0),99),1,0)</f>
        <v>0</v>
      </c>
      <c r="G27" s="8" t="n">
        <f aca="false">G19*(1-G34*Inputs!$C$103)+Inputs!$C$105*IF(Volume!G6=IFERROR(MATCH(Inputs!$C$128,$E$4:$S$4,0),99),1,0)+Inputs!$C$131*IF(G6=IFERROR(MATCH(Inputs!$C$141,$E$4:$S$4,0),99),1,0)</f>
        <v>0</v>
      </c>
      <c r="H27" s="8" t="n">
        <f aca="false">H19*(1-H34*Inputs!$C$103)+Inputs!$C$105*IF(Volume!H6=IFERROR(MATCH(Inputs!$C$128,$E$4:$S$4,0),99),1,0)+Inputs!$C$131*IF(H6=IFERROR(MATCH(Inputs!$C$141,$E$4:$S$4,0),99),1,0)</f>
        <v>0</v>
      </c>
      <c r="I27" s="8" t="n">
        <f aca="false">I19*(1-I34*Inputs!$C$103)+Inputs!$C$105*IF(Volume!I6=IFERROR(MATCH(Inputs!$C$128,$E$4:$S$4,0),99),1,0)+Inputs!$C$131*IF(I6=IFERROR(MATCH(Inputs!$C$141,$E$4:$S$4,0),99),1,0)</f>
        <v>1</v>
      </c>
      <c r="J27" s="8" t="n">
        <f aca="false">J19*(1-J34*Inputs!$C$103)+Inputs!$C$105*IF(Volume!J6=IFERROR(MATCH(Inputs!$C$128,$E$4:$S$4,0),99),1,0)+Inputs!$C$131*IF(J6=IFERROR(MATCH(Inputs!$C$141,$E$4:$S$4,0),99),1,0)</f>
        <v>0</v>
      </c>
      <c r="K27" s="8" t="n">
        <f aca="false">K19*(1-K34*Inputs!$C$103)+Inputs!$C$105*IF(Volume!K6=IFERROR(MATCH(Inputs!$C$128,$E$4:$S$4,0),99),1,0)+Inputs!$C$131*IF(K6=IFERROR(MATCH(Inputs!$C$141,$E$4:$S$4,0),99),1,0)</f>
        <v>0</v>
      </c>
      <c r="L27" s="8" t="n">
        <f aca="false">L19*(1-L34*Inputs!$C$103)+Inputs!$C$105*IF(Volume!L6=IFERROR(MATCH(Inputs!$C$128,$E$4:$S$4,0),99),1,0)+Inputs!$C$131*IF(L6=IFERROR(MATCH(Inputs!$C$141,$E$4:$S$4,0),99),1,0)</f>
        <v>0</v>
      </c>
      <c r="M27" s="8" t="n">
        <f aca="false">M19*(1-M34*Inputs!$C$103)+Inputs!$C$105*IF(Volume!M6=IFERROR(MATCH(Inputs!$C$128,$E$4:$S$4,0),99),1,0)+Inputs!$C$131*IF(M6=IFERROR(MATCH(Inputs!$C$141,$E$4:$S$4,0),99),1,0)</f>
        <v>0</v>
      </c>
      <c r="N27" s="8" t="n">
        <f aca="false">N19*(1-N34*Inputs!$C$103)+Inputs!$C$105*IF(Volume!N6=IFERROR(MATCH(Inputs!$C$128,$E$4:$S$4,0),99),1,0)+Inputs!$C$131*IF(N6=IFERROR(MATCH(Inputs!$C$141,$E$4:$S$4,0),99),1,0)</f>
        <v>0</v>
      </c>
      <c r="O27" s="8" t="n">
        <f aca="false">O19*(1-O34*Inputs!$C$103)+Inputs!$C$105*IF(Volume!O6=IFERROR(MATCH(Inputs!$C$128,$E$4:$S$4,0),99),1,0)+Inputs!$C$131*IF(O6=IFERROR(MATCH(Inputs!$C$141,$E$4:$S$4,0),99),1,0)</f>
        <v>0</v>
      </c>
      <c r="P27" s="8" t="n">
        <f aca="false">P19*(1-P34*Inputs!$C$103)+Inputs!$C$105*IF(Volume!P6=IFERROR(MATCH(Inputs!$C$128,$E$4:$S$4,0),99),1,0)+Inputs!$C$131*IF(P6=IFERROR(MATCH(Inputs!$C$141,$E$4:$S$4,0),99),1,0)</f>
        <v>0</v>
      </c>
      <c r="Q27" s="8" t="n">
        <f aca="false">Q19*(1-Q34*Inputs!$C$103)+Inputs!$C$105*IF(Volume!Q6=IFERROR(MATCH(Inputs!$C$128,$E$4:$S$4,0),99),1,0)+Inputs!$C$131*IF(Q6=IFERROR(MATCH(Inputs!$C$141,$E$4:$S$4,0),99),1,0)</f>
        <v>1</v>
      </c>
      <c r="R27" s="8" t="n">
        <f aca="false">R19*(1-R34*Inputs!$C$103)+Inputs!$C$105*IF(Volume!R6=IFERROR(MATCH(Inputs!$C$128,$E$4:$S$4,0),99),1,0)+Inputs!$C$131*IF(R6=IFERROR(MATCH(Inputs!$C$141,$E$4:$S$4,0),99),1,0)</f>
        <v>1</v>
      </c>
      <c r="S27" s="8" t="n">
        <f aca="false">S19*(1-S34*Inputs!$C$103)+Inputs!$C$105*IF(Volume!S6=IFERROR(MATCH(Inputs!$C$128,$E$4:$S$4,0),99),1,0)+Inputs!$C$131*IF(S6=IFERROR(MATCH(Inputs!$C$141,$E$4:$S$4,0),99),1,0)</f>
        <v>1</v>
      </c>
    </row>
    <row r="28" customFormat="false" ht="15" hidden="false" customHeight="true" outlineLevel="0" collapsed="false">
      <c r="A28" s="51" t="s">
        <v>851</v>
      </c>
      <c r="B28" s="3" t="s">
        <v>252</v>
      </c>
      <c r="C28" s="99" t="n">
        <f aca="false">SUM(E28:G28)</f>
        <v>8.57295696090618</v>
      </c>
      <c r="D28" s="99" t="n">
        <f aca="false">SUM(H28:S28)</f>
        <v>232.153514228741</v>
      </c>
      <c r="E28" s="8" t="n">
        <f aca="false">IF(Inputs!$C$105=1,B2C!E26,E20)</f>
        <v>2.08974253654723</v>
      </c>
      <c r="F28" s="8" t="n">
        <f aca="false">IF(Inputs!$C$105=1,B2C!F26,F20)</f>
        <v>3.18940142435895</v>
      </c>
      <c r="G28" s="8" t="n">
        <f aca="false">IF(Inputs!$C$105=1,B2C!G26,G20)</f>
        <v>3.293813</v>
      </c>
      <c r="H28" s="8" t="n">
        <f aca="false">IF(Inputs!$C$105=1,B2C!H26,H20)</f>
        <v>4.45303097162205</v>
      </c>
      <c r="I28" s="8" t="n">
        <f aca="false">IF(Inputs!$C$105=1,B2C!I26,I20)</f>
        <v>9.29966485550852</v>
      </c>
      <c r="J28" s="8" t="n">
        <f aca="false">IF(Inputs!$C$105=1,B2C!J26,J20)</f>
        <v>6.5868875</v>
      </c>
      <c r="K28" s="8" t="n">
        <f aca="false">IF(Inputs!$C$105=1,B2C!K26,K20)</f>
        <v>13.9166995377374</v>
      </c>
      <c r="L28" s="8" t="n">
        <f aca="false">IF(Inputs!$C$105=1,B2C!L26,L20)</f>
        <v>14.4601795425212</v>
      </c>
      <c r="M28" s="8" t="n">
        <f aca="false">IF(Inputs!$C$105=1,B2C!M26,M20)</f>
        <v>14.6302722222222</v>
      </c>
      <c r="N28" s="8" t="n">
        <f aca="false">IF(Inputs!$C$105=1,B2C!N26,N20)</f>
        <v>25.0560736492322</v>
      </c>
      <c r="O28" s="8" t="n">
        <f aca="false">IF(Inputs!$C$105=1,B2C!O26,O20)</f>
        <v>26.0266198656645</v>
      </c>
      <c r="P28" s="8" t="n">
        <f aca="false">IF(Inputs!$C$105=1,B2C!P26,P20)</f>
        <v>27.5004069647059</v>
      </c>
      <c r="Q28" s="8" t="n">
        <f aca="false">IF(Inputs!$C$105=1,B2C!Q26,Q20)</f>
        <v>30.3878496032794</v>
      </c>
      <c r="R28" s="8" t="n">
        <f aca="false">IF(Inputs!$C$105=1,B2C!R26,R20)</f>
        <v>31.5198433402476</v>
      </c>
      <c r="S28" s="8" t="n">
        <f aca="false">IF(Inputs!$C$105=1,B2C!S26,S20)</f>
        <v>28.315986176</v>
      </c>
    </row>
    <row r="29" customFormat="false" ht="15" hidden="false" customHeight="true" outlineLevel="0" collapsed="false">
      <c r="A29" s="11" t="s">
        <v>852</v>
      </c>
      <c r="B29" s="3" t="s">
        <v>26</v>
      </c>
      <c r="C29" s="99" t="n">
        <f aca="false">SUM(E29:G29)</f>
        <v>0</v>
      </c>
      <c r="D29" s="99" t="n">
        <f aca="false">SUM(H29:S29)</f>
        <v>29</v>
      </c>
      <c r="E29" s="100" t="n">
        <f aca="false">E23+E24+E25</f>
        <v>0</v>
      </c>
      <c r="F29" s="100" t="n">
        <f aca="false">F23+F24+F25</f>
        <v>0</v>
      </c>
      <c r="G29" s="100" t="n">
        <f aca="false">G23+G24+G25</f>
        <v>0</v>
      </c>
      <c r="H29" s="100" t="n">
        <f aca="false">H23+H24+H25</f>
        <v>0</v>
      </c>
      <c r="I29" s="100" t="n">
        <f aca="false">I23+I24+I25</f>
        <v>0</v>
      </c>
      <c r="J29" s="100" t="n">
        <f aca="false">J23+J24+J25</f>
        <v>2</v>
      </c>
      <c r="K29" s="100" t="n">
        <f aca="false">K23+K24+K25</f>
        <v>1</v>
      </c>
      <c r="L29" s="100" t="n">
        <f aca="false">L23+L24+L25</f>
        <v>2</v>
      </c>
      <c r="M29" s="100" t="n">
        <f aca="false">M23+M24+M25</f>
        <v>1</v>
      </c>
      <c r="N29" s="100" t="n">
        <f aca="false">N23+N24+N25</f>
        <v>3</v>
      </c>
      <c r="O29" s="100" t="n">
        <f aca="false">O23+O24+O25</f>
        <v>1</v>
      </c>
      <c r="P29" s="100" t="n">
        <f aca="false">P23+P24+P25</f>
        <v>3</v>
      </c>
      <c r="Q29" s="100" t="n">
        <f aca="false">Q23+Q24+Q25</f>
        <v>4</v>
      </c>
      <c r="R29" s="100" t="n">
        <f aca="false">R23+R24+R25</f>
        <v>6</v>
      </c>
      <c r="S29" s="100" t="n">
        <f aca="false">S23+S24+S25</f>
        <v>6</v>
      </c>
    </row>
    <row r="30" customFormat="false" ht="15" hidden="false" customHeight="true" outlineLevel="0" collapsed="false">
      <c r="A30" s="2"/>
      <c r="B30" s="2"/>
      <c r="C30" s="2"/>
      <c r="D30" s="2"/>
      <c r="E30" s="2"/>
      <c r="F30" s="2"/>
      <c r="G30" s="2"/>
      <c r="H30" s="2"/>
      <c r="I30" s="2"/>
      <c r="J30" s="2"/>
      <c r="K30" s="2"/>
      <c r="L30" s="2"/>
      <c r="M30" s="2"/>
      <c r="N30" s="2"/>
      <c r="O30" s="2"/>
      <c r="P30" s="2"/>
      <c r="Q30" s="2"/>
      <c r="R30" s="2"/>
      <c r="S30" s="2"/>
    </row>
    <row r="31" customFormat="false" ht="15" hidden="false" customHeight="true" outlineLevel="0" collapsed="false">
      <c r="A31" s="3" t="s">
        <v>853</v>
      </c>
      <c r="B31" s="2"/>
      <c r="C31" s="2"/>
      <c r="D31" s="2"/>
      <c r="E31" s="2"/>
      <c r="F31" s="2"/>
      <c r="G31" s="2"/>
      <c r="H31" s="2"/>
      <c r="I31" s="2"/>
      <c r="J31" s="2"/>
      <c r="K31" s="2"/>
      <c r="L31" s="2"/>
      <c r="M31" s="2"/>
      <c r="N31" s="2"/>
      <c r="O31" s="2"/>
      <c r="P31" s="2"/>
      <c r="Q31" s="2"/>
      <c r="R31" s="2"/>
      <c r="S31" s="2"/>
    </row>
    <row r="33" customFormat="false" ht="15" hidden="false" customHeight="false" outlineLevel="0" collapsed="false">
      <c r="A33" s="6" t="s">
        <v>854</v>
      </c>
    </row>
    <row r="34" customFormat="false" ht="15" hidden="false" customHeight="false" outlineLevel="0" collapsed="false">
      <c r="A34" s="11" t="s">
        <v>855</v>
      </c>
      <c r="B34" s="3" t="s">
        <v>278</v>
      </c>
      <c r="C34" s="99" t="n">
        <f aca="false">MAX(E34:G34)</f>
        <v>1</v>
      </c>
      <c r="D34" s="99" t="n">
        <f aca="false">MAX(H34:S34)</f>
        <v>1</v>
      </c>
      <c r="E34" s="100" t="n">
        <f aca="false">IF(AND(Inputs!$C$101=1,E6&lt;IFERROR(MATCH(Inputs!$C$102,$E$4:$S$4,0),1)),1,0)</f>
        <v>1</v>
      </c>
      <c r="F34" s="100" t="n">
        <f aca="false">IF(AND(Inputs!$C$101=1,F6&lt;IFERROR(MATCH(Inputs!$C$102,$E$4:$S$4,0),1)),1,0)</f>
        <v>1</v>
      </c>
      <c r="G34" s="100" t="n">
        <f aca="false">IF(AND(Inputs!$C$101=1,G6&lt;IFERROR(MATCH(Inputs!$C$102,$E$4:$S$4,0),1)),1,0)</f>
        <v>1</v>
      </c>
      <c r="H34" s="100" t="n">
        <f aca="false">IF(AND(Inputs!$C$101=1,H6&lt;IFERROR(MATCH(Inputs!$C$102,$E$4:$S$4,0),1)),1,0)</f>
        <v>1</v>
      </c>
      <c r="I34" s="100" t="n">
        <f aca="false">IF(AND(Inputs!$C$101=1,I6&lt;IFERROR(MATCH(Inputs!$C$102,$E$4:$S$4,0),1)),1,0)</f>
        <v>1</v>
      </c>
      <c r="J34" s="100" t="n">
        <f aca="false">IF(AND(Inputs!$C$101=1,J6&lt;IFERROR(MATCH(Inputs!$C$102,$E$4:$S$4,0),1)),1,0)</f>
        <v>0</v>
      </c>
      <c r="K34" s="100" t="n">
        <f aca="false">IF(AND(Inputs!$C$101=1,K6&lt;IFERROR(MATCH(Inputs!$C$102,$E$4:$S$4,0),1)),1,0)</f>
        <v>0</v>
      </c>
      <c r="L34" s="100" t="n">
        <f aca="false">IF(AND(Inputs!$C$101=1,L6&lt;IFERROR(MATCH(Inputs!$C$102,$E$4:$S$4,0),1)),1,0)</f>
        <v>0</v>
      </c>
      <c r="M34" s="100" t="n">
        <f aca="false">IF(AND(Inputs!$C$101=1,M6&lt;IFERROR(MATCH(Inputs!$C$102,$E$4:$S$4,0),1)),1,0)</f>
        <v>0</v>
      </c>
      <c r="N34" s="100" t="n">
        <f aca="false">IF(AND(Inputs!$C$101=1,N6&lt;IFERROR(MATCH(Inputs!$C$102,$E$4:$S$4,0),1)),1,0)</f>
        <v>0</v>
      </c>
      <c r="O34" s="100" t="n">
        <f aca="false">IF(AND(Inputs!$C$101=1,O6&lt;IFERROR(MATCH(Inputs!$C$102,$E$4:$S$4,0),1)),1,0)</f>
        <v>0</v>
      </c>
      <c r="P34" s="100" t="n">
        <f aca="false">IF(AND(Inputs!$C$101=1,P6&lt;IFERROR(MATCH(Inputs!$C$102,$E$4:$S$4,0),1)),1,0)</f>
        <v>0</v>
      </c>
      <c r="Q34" s="100" t="n">
        <f aca="false">IF(AND(Inputs!$C$101=1,Q6&lt;IFERROR(MATCH(Inputs!$C$102,$E$4:$S$4,0),1)),1,0)</f>
        <v>0</v>
      </c>
      <c r="R34" s="100" t="n">
        <f aca="false">IF(AND(Inputs!$C$101=1,R6&lt;IFERROR(MATCH(Inputs!$C$102,$E$4:$S$4,0),1)),1,0)</f>
        <v>0</v>
      </c>
      <c r="S34" s="100" t="n">
        <f aca="false">IF(AND(Inputs!$C$101=1,S6&lt;IFERROR(MATCH(Inputs!$C$102,$E$4:$S$4,0),1)),1,0)</f>
        <v>0</v>
      </c>
    </row>
    <row r="35" customFormat="false" ht="15" hidden="false" customHeight="false" outlineLevel="0" collapsed="false">
      <c r="A35" s="11" t="s">
        <v>856</v>
      </c>
      <c r="B35" s="3" t="s">
        <v>205</v>
      </c>
      <c r="C35" s="99" t="n">
        <f aca="false">MAX(E35:G35)</f>
        <v>0</v>
      </c>
      <c r="D35" s="99" t="n">
        <f aca="false">MAX(H35:S35)</f>
        <v>2</v>
      </c>
      <c r="E35" s="100" t="n">
        <f aca="false">Inputs!$C$105*(IF(E6&gt;=IFERROR(MATCH(Inputs!$C$107,$E$4:$S$4,0),99),1,0)+IF(E6&gt;=IFERROR(MATCH(Inputs!$C$108,$E$4:$S$4,0),99),1,0))</f>
        <v>0</v>
      </c>
      <c r="F35" s="100" t="n">
        <f aca="false">Inputs!$C$105*(IF(F6&gt;=IFERROR(MATCH(Inputs!$C$107,$E$4:$S$4,0),99),1,0)+IF(F6&gt;=IFERROR(MATCH(Inputs!$C$108,$E$4:$S$4,0),99),1,0))</f>
        <v>0</v>
      </c>
      <c r="G35" s="100" t="n">
        <f aca="false">Inputs!$C$105*(IF(G6&gt;=IFERROR(MATCH(Inputs!$C$107,$E$4:$S$4,0),99),1,0)+IF(G6&gt;=IFERROR(MATCH(Inputs!$C$108,$E$4:$S$4,0),99),1,0))</f>
        <v>0</v>
      </c>
      <c r="H35" s="100" t="n">
        <f aca="false">Inputs!$C$105*(IF(H6&gt;=IFERROR(MATCH(Inputs!$C$107,$E$4:$S$4,0),99),1,0)+IF(H6&gt;=IFERROR(MATCH(Inputs!$C$108,$E$4:$S$4,0),99),1,0))</f>
        <v>0</v>
      </c>
      <c r="I35" s="100" t="n">
        <f aca="false">Inputs!$C$105*(IF(I6&gt;=IFERROR(MATCH(Inputs!$C$107,$E$4:$S$4,0),99),1,0)+IF(I6&gt;=IFERROR(MATCH(Inputs!$C$108,$E$4:$S$4,0),99),1,0))</f>
        <v>1</v>
      </c>
      <c r="J35" s="100" t="n">
        <f aca="false">Inputs!$C$105*(IF(J6&gt;=IFERROR(MATCH(Inputs!$C$107,$E$4:$S$4,0),99),1,0)+IF(J6&gt;=IFERROR(MATCH(Inputs!$C$108,$E$4:$S$4,0),99),1,0))</f>
        <v>1</v>
      </c>
      <c r="K35" s="100" t="n">
        <f aca="false">Inputs!$C$105*(IF(K6&gt;=IFERROR(MATCH(Inputs!$C$107,$E$4:$S$4,0),99),1,0)+IF(K6&gt;=IFERROR(MATCH(Inputs!$C$108,$E$4:$S$4,0),99),1,0))</f>
        <v>1</v>
      </c>
      <c r="L35" s="100" t="n">
        <f aca="false">Inputs!$C$105*(IF(L6&gt;=IFERROR(MATCH(Inputs!$C$107,$E$4:$S$4,0),99),1,0)+IF(L6&gt;=IFERROR(MATCH(Inputs!$C$108,$E$4:$S$4,0),99),1,0))</f>
        <v>1</v>
      </c>
      <c r="M35" s="100" t="n">
        <f aca="false">Inputs!$C$105*(IF(M6&gt;=IFERROR(MATCH(Inputs!$C$107,$E$4:$S$4,0),99),1,0)+IF(M6&gt;=IFERROR(MATCH(Inputs!$C$108,$E$4:$S$4,0),99),1,0))</f>
        <v>1</v>
      </c>
      <c r="N35" s="100" t="n">
        <f aca="false">Inputs!$C$105*(IF(N6&gt;=IFERROR(MATCH(Inputs!$C$107,$E$4:$S$4,0),99),1,0)+IF(N6&gt;=IFERROR(MATCH(Inputs!$C$108,$E$4:$S$4,0),99),1,0))</f>
        <v>2</v>
      </c>
      <c r="O35" s="100" t="n">
        <f aca="false">Inputs!$C$105*(IF(O6&gt;=IFERROR(MATCH(Inputs!$C$107,$E$4:$S$4,0),99),1,0)+IF(O6&gt;=IFERROR(MATCH(Inputs!$C$108,$E$4:$S$4,0),99),1,0))</f>
        <v>2</v>
      </c>
      <c r="P35" s="100" t="n">
        <f aca="false">Inputs!$C$105*(IF(P6&gt;=IFERROR(MATCH(Inputs!$C$107,$E$4:$S$4,0),99),1,0)+IF(P6&gt;=IFERROR(MATCH(Inputs!$C$108,$E$4:$S$4,0),99),1,0))</f>
        <v>2</v>
      </c>
      <c r="Q35" s="100" t="n">
        <f aca="false">Inputs!$C$105*(IF(Q6&gt;=IFERROR(MATCH(Inputs!$C$107,$E$4:$S$4,0),99),1,0)+IF(Q6&gt;=IFERROR(MATCH(Inputs!$C$108,$E$4:$S$4,0),99),1,0))</f>
        <v>2</v>
      </c>
      <c r="R35" s="100" t="n">
        <f aca="false">Inputs!$C$105*(IF(R6&gt;=IFERROR(MATCH(Inputs!$C$107,$E$4:$S$4,0),99),1,0)+IF(R6&gt;=IFERROR(MATCH(Inputs!$C$108,$E$4:$S$4,0),99),1,0))</f>
        <v>2</v>
      </c>
      <c r="S35" s="100" t="n">
        <f aca="false">Inputs!$C$105*(IF(S6&gt;=IFERROR(MATCH(Inputs!$C$107,$E$4:$S$4,0),99),1,0)+IF(S6&gt;=IFERROR(MATCH(Inputs!$C$108,$E$4:$S$4,0),99),1,0))</f>
        <v>2</v>
      </c>
    </row>
    <row r="36" customFormat="false" ht="15" hidden="false" customHeight="false" outlineLevel="0" collapsed="false">
      <c r="A36" s="11" t="s">
        <v>857</v>
      </c>
      <c r="B36" s="3" t="s">
        <v>434</v>
      </c>
      <c r="C36" s="99" t="n">
        <f aca="false">SUM(E36:G36)</f>
        <v>0</v>
      </c>
      <c r="D36" s="99" t="n">
        <f aca="false">SUM(H36:S36)</f>
        <v>3</v>
      </c>
      <c r="E36" s="100" t="n">
        <f aca="false">Inputs!$C$105*IF(E6&gt;=IFERROR(MATCH(Inputs!$C$111,$E$4:$S$4,0),99),Inputs!$C$112,0)*(1-E34)</f>
        <v>0</v>
      </c>
      <c r="F36" s="100" t="n">
        <f aca="false">Inputs!$C$105*IF(F6&gt;=IFERROR(MATCH(Inputs!$C$111,$E$4:$S$4,0),99),Inputs!$C$112,0)*(1-F34)</f>
        <v>0</v>
      </c>
      <c r="G36" s="100" t="n">
        <f aca="false">Inputs!$C$105*IF(G6&gt;=IFERROR(MATCH(Inputs!$C$111,$E$4:$S$4,0),99),Inputs!$C$112,0)*(1-G34)</f>
        <v>0</v>
      </c>
      <c r="H36" s="100" t="n">
        <f aca="false">Inputs!$C$105*IF(H6&gt;=IFERROR(MATCH(Inputs!$C$111,$E$4:$S$4,0),99),Inputs!$C$112,0)*(1-H34)</f>
        <v>0</v>
      </c>
      <c r="I36" s="100" t="n">
        <f aca="false">Inputs!$C$105*IF(I6&gt;=IFERROR(MATCH(Inputs!$C$111,$E$4:$S$4,0),99),Inputs!$C$112,0)*(1-I34)</f>
        <v>0</v>
      </c>
      <c r="J36" s="100" t="n">
        <f aca="false">Inputs!$C$105*IF(J6&gt;=IFERROR(MATCH(Inputs!$C$111,$E$4:$S$4,0),99),Inputs!$C$112,0)*(1-J34)</f>
        <v>0</v>
      </c>
      <c r="K36" s="100" t="n">
        <f aca="false">Inputs!$C$105*IF(K6&gt;=IFERROR(MATCH(Inputs!$C$111,$E$4:$S$4,0),99),Inputs!$C$112,0)*(1-K34)</f>
        <v>0</v>
      </c>
      <c r="L36" s="100" t="n">
        <f aca="false">Inputs!$C$105*IF(L6&gt;=IFERROR(MATCH(Inputs!$C$111,$E$4:$S$4,0),99),Inputs!$C$112,0)*(1-L34)</f>
        <v>0</v>
      </c>
      <c r="M36" s="100" t="n">
        <f aca="false">Inputs!$C$105*IF(M6&gt;=IFERROR(MATCH(Inputs!$C$111,$E$4:$S$4,0),99),Inputs!$C$112,0)*(1-M34)</f>
        <v>0</v>
      </c>
      <c r="N36" s="100" t="n">
        <f aca="false">Inputs!$C$105*IF(N6&gt;=IFERROR(MATCH(Inputs!$C$111,$E$4:$S$4,0),99),Inputs!$C$112,0)*(1-N34)</f>
        <v>0</v>
      </c>
      <c r="O36" s="100" t="n">
        <f aca="false">Inputs!$C$105*IF(O6&gt;=IFERROR(MATCH(Inputs!$C$111,$E$4:$S$4,0),99),Inputs!$C$112,0)*(1-O34)</f>
        <v>0</v>
      </c>
      <c r="P36" s="100" t="n">
        <f aca="false">Inputs!$C$105*IF(P6&gt;=IFERROR(MATCH(Inputs!$C$111,$E$4:$S$4,0),99),Inputs!$C$112,0)*(1-P34)</f>
        <v>0</v>
      </c>
      <c r="Q36" s="100" t="n">
        <f aca="false">Inputs!$C$105*IF(Q6&gt;=IFERROR(MATCH(Inputs!$C$111,$E$4:$S$4,0),99),Inputs!$C$112,0)*(1-Q34)</f>
        <v>1</v>
      </c>
      <c r="R36" s="100" t="n">
        <f aca="false">Inputs!$C$105*IF(R6&gt;=IFERROR(MATCH(Inputs!$C$111,$E$4:$S$4,0),99),Inputs!$C$112,0)*(1-R34)</f>
        <v>1</v>
      </c>
      <c r="S36" s="100" t="n">
        <f aca="false">Inputs!$C$105*IF(S6&gt;=IFERROR(MATCH(Inputs!$C$111,$E$4:$S$4,0),99),Inputs!$C$112,0)*(1-S34)</f>
        <v>1</v>
      </c>
    </row>
    <row r="38" customFormat="false" ht="15" hidden="false" customHeight="false" outlineLevel="0" collapsed="false">
      <c r="A38" s="6" t="s">
        <v>858</v>
      </c>
    </row>
    <row r="39" customFormat="false" ht="15" hidden="false" customHeight="false" outlineLevel="0" collapsed="false">
      <c r="A39" s="11" t="s">
        <v>859</v>
      </c>
      <c r="B39" s="3" t="s">
        <v>202</v>
      </c>
      <c r="C39" s="58" t="n">
        <f aca="false">SUM(E39:G39)</f>
        <v>1</v>
      </c>
      <c r="D39" s="58" t="n">
        <f aca="false">SUM(H39:S39)</f>
        <v>10</v>
      </c>
      <c r="E39" s="96" t="n">
        <f aca="false">Inputs!$C$131*Channels!E15</f>
        <v>0</v>
      </c>
      <c r="F39" s="96" t="n">
        <f aca="false">Inputs!$C$131*Channels!F15</f>
        <v>1</v>
      </c>
      <c r="G39" s="96" t="n">
        <f aca="false">Inputs!$C$131*Channels!G15</f>
        <v>0</v>
      </c>
      <c r="H39" s="96" t="n">
        <f aca="false">Inputs!$C$131*Channels!H15</f>
        <v>0</v>
      </c>
      <c r="I39" s="96" t="n">
        <f aca="false">Inputs!$C$131*Channels!I15</f>
        <v>1</v>
      </c>
      <c r="J39" s="96" t="n">
        <f aca="false">Inputs!$C$131*Channels!J15</f>
        <v>1</v>
      </c>
      <c r="K39" s="96" t="n">
        <f aca="false">Inputs!$C$131*Channels!K15</f>
        <v>1</v>
      </c>
      <c r="L39" s="96" t="n">
        <f aca="false">Inputs!$C$131*Channels!L15</f>
        <v>1</v>
      </c>
      <c r="M39" s="96" t="n">
        <f aca="false">Inputs!$C$131*Channels!M15</f>
        <v>0</v>
      </c>
      <c r="N39" s="96" t="n">
        <f aca="false">Inputs!$C$131*Channels!N15</f>
        <v>1</v>
      </c>
      <c r="O39" s="96" t="n">
        <f aca="false">Inputs!$C$131*Channels!O15</f>
        <v>1</v>
      </c>
      <c r="P39" s="96" t="n">
        <f aca="false">Inputs!$C$131*Channels!P15</f>
        <v>1</v>
      </c>
      <c r="Q39" s="96" t="n">
        <f aca="false">Inputs!$C$131*Channels!Q15</f>
        <v>2</v>
      </c>
      <c r="R39" s="96" t="n">
        <f aca="false">Inputs!$C$131*Channels!R15</f>
        <v>1</v>
      </c>
      <c r="S39" s="96" t="n">
        <f aca="false">Inputs!$C$131*Channels!S15</f>
        <v>0</v>
      </c>
    </row>
    <row r="40" customFormat="false" ht="15" hidden="false" customHeight="false" outlineLevel="0" collapsed="false">
      <c r="A40" s="11" t="s">
        <v>860</v>
      </c>
      <c r="B40" s="3" t="s">
        <v>202</v>
      </c>
      <c r="C40" s="58" t="n">
        <f aca="false">SUM(E40:G40)</f>
        <v>0</v>
      </c>
      <c r="D40" s="58" t="n">
        <f aca="false">SUM(H40:S40)</f>
        <v>3.2</v>
      </c>
      <c r="E40" s="96" t="n">
        <f aca="false">0*Inputs!$C$145</f>
        <v>0</v>
      </c>
      <c r="F40" s="96" t="n">
        <f aca="false">0*Inputs!$C$145</f>
        <v>0</v>
      </c>
      <c r="G40" s="96" t="n">
        <f aca="false">0*Inputs!$C$145</f>
        <v>0</v>
      </c>
      <c r="H40" s="96" t="n">
        <f aca="false">E39*Inputs!$C$145</f>
        <v>0</v>
      </c>
      <c r="I40" s="96" t="n">
        <f aca="false">F39*Inputs!$C$145</f>
        <v>0.4</v>
      </c>
      <c r="J40" s="96" t="n">
        <f aca="false">G39*Inputs!$C$145</f>
        <v>0</v>
      </c>
      <c r="K40" s="96" t="n">
        <f aca="false">H39*Inputs!$C$145</f>
        <v>0</v>
      </c>
      <c r="L40" s="96" t="n">
        <f aca="false">I39*Inputs!$C$145</f>
        <v>0.4</v>
      </c>
      <c r="M40" s="96" t="n">
        <f aca="false">J39*Inputs!$C$145</f>
        <v>0.4</v>
      </c>
      <c r="N40" s="96" t="n">
        <f aca="false">K39*Inputs!$C$145</f>
        <v>0.4</v>
      </c>
      <c r="O40" s="96" t="n">
        <f aca="false">L39*Inputs!$C$145</f>
        <v>0.4</v>
      </c>
      <c r="P40" s="96" t="n">
        <f aca="false">M39*Inputs!$C$145</f>
        <v>0</v>
      </c>
      <c r="Q40" s="96" t="n">
        <f aca="false">N39*Inputs!$C$145</f>
        <v>0.4</v>
      </c>
      <c r="R40" s="96" t="n">
        <f aca="false">O39*Inputs!$C$145</f>
        <v>0.4</v>
      </c>
      <c r="S40" s="96" t="n">
        <f aca="false">P39*Inputs!$C$145</f>
        <v>0.4</v>
      </c>
    </row>
    <row r="41" customFormat="false" ht="15" hidden="false" customHeight="false" outlineLevel="0" collapsed="false">
      <c r="A41" s="11" t="s">
        <v>861</v>
      </c>
      <c r="B41" s="3" t="s">
        <v>202</v>
      </c>
      <c r="C41" s="58" t="n">
        <f aca="false">SUM(E41:G41)</f>
        <v>0</v>
      </c>
      <c r="D41" s="58" t="n">
        <f aca="false">SUM(H41:S41)</f>
        <v>1.44</v>
      </c>
      <c r="E41" s="96" t="n">
        <f aca="false">0*(1-Inputs!$C$145)*Inputs!$C$149</f>
        <v>0</v>
      </c>
      <c r="F41" s="96" t="n">
        <f aca="false">0*(1-Inputs!$C$145)*Inputs!$C$149</f>
        <v>0</v>
      </c>
      <c r="G41" s="96" t="n">
        <f aca="false">0*(1-Inputs!$C$145)*Inputs!$C$149</f>
        <v>0</v>
      </c>
      <c r="H41" s="96" t="n">
        <f aca="false">E39*(1-Inputs!$C$145)*Inputs!$C$149</f>
        <v>0</v>
      </c>
      <c r="I41" s="96" t="n">
        <f aca="false">F39*(1-Inputs!$C$145)*Inputs!$C$149</f>
        <v>0.18</v>
      </c>
      <c r="J41" s="96" t="n">
        <f aca="false">G39*(1-Inputs!$C$145)*Inputs!$C$149</f>
        <v>0</v>
      </c>
      <c r="K41" s="96" t="n">
        <f aca="false">H39*(1-Inputs!$C$145)*Inputs!$C$149</f>
        <v>0</v>
      </c>
      <c r="L41" s="96" t="n">
        <f aca="false">I39*(1-Inputs!$C$145)*Inputs!$C$149</f>
        <v>0.18</v>
      </c>
      <c r="M41" s="96" t="n">
        <f aca="false">J39*(1-Inputs!$C$145)*Inputs!$C$149</f>
        <v>0.18</v>
      </c>
      <c r="N41" s="96" t="n">
        <f aca="false">K39*(1-Inputs!$C$145)*Inputs!$C$149</f>
        <v>0.18</v>
      </c>
      <c r="O41" s="96" t="n">
        <f aca="false">L39*(1-Inputs!$C$145)*Inputs!$C$149</f>
        <v>0.18</v>
      </c>
      <c r="P41" s="96" t="n">
        <f aca="false">M39*(1-Inputs!$C$145)*Inputs!$C$149</f>
        <v>0</v>
      </c>
      <c r="Q41" s="96" t="n">
        <f aca="false">N39*(1-Inputs!$C$145)*Inputs!$C$149</f>
        <v>0.18</v>
      </c>
      <c r="R41" s="96" t="n">
        <f aca="false">O39*(1-Inputs!$C$145)*Inputs!$C$149</f>
        <v>0.18</v>
      </c>
      <c r="S41" s="96" t="n">
        <f aca="false">P39*(1-Inputs!$C$145)*Inputs!$C$149</f>
        <v>0.18</v>
      </c>
    </row>
    <row r="42" customFormat="false" ht="15" hidden="false" customHeight="false" outlineLevel="0" collapsed="false">
      <c r="A42" s="11" t="s">
        <v>862</v>
      </c>
      <c r="B42" s="3" t="s">
        <v>202</v>
      </c>
      <c r="C42" s="58" t="n">
        <f aca="false">MAX(E42:G42)</f>
        <v>1</v>
      </c>
      <c r="D42" s="58" t="n">
        <f aca="false">MAX(H42:S42)</f>
        <v>5.16</v>
      </c>
      <c r="E42" s="96" t="n">
        <f aca="false">E39+E40+E41</f>
        <v>0</v>
      </c>
      <c r="F42" s="96" t="n">
        <f aca="false">F39+F40+F41+E39+E40+E41</f>
        <v>1</v>
      </c>
      <c r="G42" s="96" t="n">
        <f aca="false">G39+G40+G41+F39+F40+F41+E39+E40+E41</f>
        <v>1</v>
      </c>
      <c r="H42" s="96" t="n">
        <f aca="false">H39+H40+H41+G39+G40+G41+F39+F40+F41</f>
        <v>1</v>
      </c>
      <c r="I42" s="96" t="n">
        <f aca="false">I39+I40+I41+H39+H40+H41+G39+G40+G41</f>
        <v>1.58</v>
      </c>
      <c r="J42" s="96" t="n">
        <f aca="false">J39+J40+J41+I39+I40+I41+H39+H40+H41</f>
        <v>2.58</v>
      </c>
      <c r="K42" s="96" t="n">
        <f aca="false">K39+K40+K41+J39+J40+J41+I39+I40+I41</f>
        <v>3.58</v>
      </c>
      <c r="L42" s="96" t="n">
        <f aca="false">L39+L40+L41+K39+K40+K41+J39+J40+J41</f>
        <v>3.58</v>
      </c>
      <c r="M42" s="96" t="n">
        <f aca="false">M39+M40+M41+L39+L40+L41+K39+K40+K41</f>
        <v>3.16</v>
      </c>
      <c r="N42" s="96" t="n">
        <f aca="false">N39+N40+N41+M39+M40+M41+L39+L40+L41</f>
        <v>3.74</v>
      </c>
      <c r="O42" s="96" t="n">
        <f aca="false">O39+O40+O41+N39+N40+N41+M39+M40+M41</f>
        <v>3.74</v>
      </c>
      <c r="P42" s="96" t="n">
        <f aca="false">P39+P40+P41+O39+O40+O41+N39+N40+N41</f>
        <v>4.16</v>
      </c>
      <c r="Q42" s="96" t="n">
        <f aca="false">Q39+Q40+Q41+P39+P40+P41+O39+O40+O41</f>
        <v>5.16</v>
      </c>
      <c r="R42" s="96" t="n">
        <f aca="false">R39+R40+R41+Q39+Q40+Q41+P39+P40+P41</f>
        <v>5.16</v>
      </c>
      <c r="S42" s="96" t="n">
        <f aca="false">S39+S40+S41+R39+R40+R41+Q39+Q40+Q41</f>
        <v>4.74</v>
      </c>
    </row>
    <row r="43" customFormat="false" ht="15" hidden="false" customHeight="false" outlineLevel="0" collapsed="false">
      <c r="A43" s="11" t="s">
        <v>863</v>
      </c>
      <c r="B43" s="3" t="s">
        <v>208</v>
      </c>
      <c r="C43" s="58" t="n">
        <f aca="false">SUM(E43:G43)</f>
        <v>17.7</v>
      </c>
      <c r="D43" s="58" t="n">
        <f aca="false">SUM(H43:S43)</f>
        <v>373.293</v>
      </c>
      <c r="E43" s="96" t="n">
        <f aca="false">E42*Inputs!$C$144/3</f>
        <v>0</v>
      </c>
      <c r="F43" s="96" t="n">
        <f aca="false">F42*Inputs!$C$144/3</f>
        <v>8.85</v>
      </c>
      <c r="G43" s="96" t="n">
        <f aca="false">G42*Inputs!$C$144/3</f>
        <v>8.85</v>
      </c>
      <c r="H43" s="96" t="n">
        <f aca="false">H42*Inputs!$C$144/3</f>
        <v>8.85</v>
      </c>
      <c r="I43" s="96" t="n">
        <f aca="false">I42*Inputs!$C$144/3</f>
        <v>13.983</v>
      </c>
      <c r="J43" s="96" t="n">
        <f aca="false">J42*Inputs!$C$144/3</f>
        <v>22.833</v>
      </c>
      <c r="K43" s="96" t="n">
        <f aca="false">K42*Inputs!$C$144/3</f>
        <v>31.683</v>
      </c>
      <c r="L43" s="96" t="n">
        <f aca="false">L42*Inputs!$C$144/3</f>
        <v>31.683</v>
      </c>
      <c r="M43" s="96" t="n">
        <f aca="false">M42*Inputs!$C$144/3</f>
        <v>27.966</v>
      </c>
      <c r="N43" s="96" t="n">
        <f aca="false">N42*Inputs!$C$144/3</f>
        <v>33.099</v>
      </c>
      <c r="O43" s="96" t="n">
        <f aca="false">O42*Inputs!$C$144/3</f>
        <v>33.099</v>
      </c>
      <c r="P43" s="96" t="n">
        <f aca="false">P42*Inputs!$C$144/3</f>
        <v>36.816</v>
      </c>
      <c r="Q43" s="96" t="n">
        <f aca="false">Q42*Inputs!$C$144/3</f>
        <v>45.666</v>
      </c>
      <c r="R43" s="96" t="n">
        <f aca="false">R42*Inputs!$C$144/3</f>
        <v>45.666</v>
      </c>
      <c r="S43" s="96" t="n">
        <f aca="false">S42*Inputs!$C$144/3</f>
        <v>41.949</v>
      </c>
    </row>
    <row r="44" customFormat="false" ht="15" hidden="false" customHeight="false" outlineLevel="0" collapsed="false">
      <c r="A44" s="11" t="s">
        <v>864</v>
      </c>
      <c r="B44" s="3" t="s">
        <v>26</v>
      </c>
      <c r="C44" s="58" t="n">
        <f aca="false">SUM(E44:G44)</f>
        <v>0</v>
      </c>
      <c r="D44" s="58" t="n">
        <f aca="false">SUM(H44:S44)</f>
        <v>1.75</v>
      </c>
      <c r="E44" s="96" t="n">
        <f aca="false">Inputs!$C$131*Inputs!$C$151*0*(1-E34)</f>
        <v>0</v>
      </c>
      <c r="F44" s="96" t="n">
        <f aca="false">Inputs!$C$131*Inputs!$C$151*0*(1-F34)</f>
        <v>0</v>
      </c>
      <c r="G44" s="96" t="n">
        <f aca="false">Inputs!$C$131*Inputs!$C$151*0*(1-G34)</f>
        <v>0</v>
      </c>
      <c r="H44" s="96" t="n">
        <f aca="false">Inputs!$C$131*Inputs!$C$151*E39*(1-H34)</f>
        <v>0</v>
      </c>
      <c r="I44" s="96" t="n">
        <f aca="false">Inputs!$C$131*Inputs!$C$151*F39*(1-I34)</f>
        <v>0</v>
      </c>
      <c r="J44" s="96" t="n">
        <f aca="false">Inputs!$C$131*Inputs!$C$151*G39*(1-J34)</f>
        <v>0</v>
      </c>
      <c r="K44" s="96" t="n">
        <f aca="false">Inputs!$C$131*Inputs!$C$151*H39*(1-K34)</f>
        <v>0</v>
      </c>
      <c r="L44" s="96" t="n">
        <f aca="false">Inputs!$C$131*Inputs!$C$151*I39*(1-L34)</f>
        <v>0.25</v>
      </c>
      <c r="M44" s="96" t="n">
        <f aca="false">Inputs!$C$131*Inputs!$C$151*J39*(1-M34)</f>
        <v>0.25</v>
      </c>
      <c r="N44" s="96" t="n">
        <f aca="false">Inputs!$C$131*Inputs!$C$151*K39*(1-N34)</f>
        <v>0.25</v>
      </c>
      <c r="O44" s="96" t="n">
        <f aca="false">Inputs!$C$131*Inputs!$C$151*L39*(1-O34)</f>
        <v>0.25</v>
      </c>
      <c r="P44" s="96" t="n">
        <f aca="false">Inputs!$C$131*Inputs!$C$151*M39*(1-P34)</f>
        <v>0</v>
      </c>
      <c r="Q44" s="96" t="n">
        <f aca="false">Inputs!$C$131*Inputs!$C$151*N39*(1-Q34)</f>
        <v>0.25</v>
      </c>
      <c r="R44" s="96" t="n">
        <f aca="false">Inputs!$C$131*Inputs!$C$151*O39*(1-R34)</f>
        <v>0.25</v>
      </c>
      <c r="S44" s="96" t="n">
        <f aca="false">Inputs!$C$131*Inputs!$C$151*P39*(1-S34)</f>
        <v>0.25</v>
      </c>
    </row>
    <row r="45" customFormat="false" ht="15" hidden="false" customHeight="false" outlineLevel="0" collapsed="false">
      <c r="A45" s="11" t="s">
        <v>865</v>
      </c>
      <c r="B45" s="3" t="s">
        <v>26</v>
      </c>
      <c r="C45" s="58" t="n">
        <f aca="false">SUM(E45:G45)</f>
        <v>0</v>
      </c>
      <c r="D45" s="58" t="n">
        <f aca="false">SUM(H45:S45)</f>
        <v>0.5</v>
      </c>
      <c r="E45" s="96" t="n">
        <f aca="false">Inputs!$C$131*Inputs!$C$151*0*(1-E34)</f>
        <v>0</v>
      </c>
      <c r="F45" s="96" t="n">
        <f aca="false">Inputs!$C$131*Inputs!$C$151*0*(1-F34)</f>
        <v>0</v>
      </c>
      <c r="G45" s="96" t="n">
        <f aca="false">Inputs!$C$131*Inputs!$C$151*0*(1-G34)</f>
        <v>0</v>
      </c>
      <c r="H45" s="96" t="n">
        <f aca="false">Inputs!$C$131*Inputs!$C$151*MAX(0,E35-0)*(1-H34)</f>
        <v>0</v>
      </c>
      <c r="I45" s="96" t="n">
        <f aca="false">Inputs!$C$131*Inputs!$C$151*MAX(0,F35-E35)*(1-I34)</f>
        <v>0</v>
      </c>
      <c r="J45" s="96" t="n">
        <f aca="false">Inputs!$C$131*Inputs!$C$151*MAX(0,G35-F35)*(1-J34)</f>
        <v>0</v>
      </c>
      <c r="K45" s="96" t="n">
        <f aca="false">Inputs!$C$131*Inputs!$C$151*MAX(0,H35-G35)*(1-K34)</f>
        <v>0</v>
      </c>
      <c r="L45" s="96" t="n">
        <f aca="false">Inputs!$C$131*Inputs!$C$151*MAX(0,I35-H35)*(1-L34)</f>
        <v>0.25</v>
      </c>
      <c r="M45" s="96" t="n">
        <f aca="false">Inputs!$C$131*Inputs!$C$151*MAX(0,J35-I35)*(1-M34)</f>
        <v>0</v>
      </c>
      <c r="N45" s="96" t="n">
        <f aca="false">Inputs!$C$131*Inputs!$C$151*MAX(0,K35-J35)*(1-N34)</f>
        <v>0</v>
      </c>
      <c r="O45" s="96" t="n">
        <f aca="false">Inputs!$C$131*Inputs!$C$151*MAX(0,L35-K35)*(1-O34)</f>
        <v>0</v>
      </c>
      <c r="P45" s="96" t="n">
        <f aca="false">Inputs!$C$131*Inputs!$C$151*MAX(0,M35-L35)*(1-P34)</f>
        <v>0</v>
      </c>
      <c r="Q45" s="96" t="n">
        <f aca="false">Inputs!$C$131*Inputs!$C$151*MAX(0,N35-M35)*(1-Q34)</f>
        <v>0.25</v>
      </c>
      <c r="R45" s="96" t="n">
        <f aca="false">Inputs!$C$131*Inputs!$C$151*MAX(0,O35-N35)*(1-R34)</f>
        <v>0</v>
      </c>
      <c r="S45" s="96" t="n">
        <f aca="false">Inputs!$C$131*Inputs!$C$151*MAX(0,P35-O35)*(1-S34)</f>
        <v>0</v>
      </c>
    </row>
    <row r="46" customFormat="false" ht="15" hidden="false" customHeight="false" outlineLevel="0" collapsed="false">
      <c r="A46" s="11" t="s">
        <v>866</v>
      </c>
      <c r="B46" s="3" t="s">
        <v>26</v>
      </c>
      <c r="C46" s="58" t="n">
        <f aca="false">SUM(E46:G46)</f>
        <v>0</v>
      </c>
      <c r="D46" s="58" t="n">
        <f aca="false">SUM(H46:S46)</f>
        <v>2.04</v>
      </c>
      <c r="E46" s="96" t="n">
        <f aca="false">Inputs!$C$131*IF(E6&gt;=IFERROR(MATCH(Inputs!$C$153,$E$4:$S$4,0),99),Inputs!$C$154,0)*(1-E34)</f>
        <v>0</v>
      </c>
      <c r="F46" s="96" t="n">
        <f aca="false">Inputs!$C$131*IF(F6&gt;=IFERROR(MATCH(Inputs!$C$153,$E$4:$S$4,0),99),Inputs!$C$154,0)*(1-F34)</f>
        <v>0</v>
      </c>
      <c r="G46" s="96" t="n">
        <f aca="false">Inputs!$C$131*IF(G6&gt;=IFERROR(MATCH(Inputs!$C$153,$E$4:$S$4,0),99),Inputs!$C$154,0)*(1-G34)</f>
        <v>0</v>
      </c>
      <c r="H46" s="96" t="n">
        <f aca="false">Inputs!$C$131*IF(H6&gt;=IFERROR(MATCH(Inputs!$C$153,$E$4:$S$4,0),99),Inputs!$C$154,0)*(1-H34)</f>
        <v>0</v>
      </c>
      <c r="I46" s="96" t="n">
        <f aca="false">Inputs!$C$131*IF(I6&gt;=IFERROR(MATCH(Inputs!$C$153,$E$4:$S$4,0),99),Inputs!$C$154,0)*(1-I34)</f>
        <v>0</v>
      </c>
      <c r="J46" s="96" t="n">
        <f aca="false">Inputs!$C$131*IF(J6&gt;=IFERROR(MATCH(Inputs!$C$153,$E$4:$S$4,0),99),Inputs!$C$154,0)*(1-J34)</f>
        <v>0</v>
      </c>
      <c r="K46" s="96" t="n">
        <f aca="false">Inputs!$C$131*IF(K6&gt;=IFERROR(MATCH(Inputs!$C$153,$E$4:$S$4,0),99),Inputs!$C$154,0)*(1-K34)</f>
        <v>0</v>
      </c>
      <c r="L46" s="96" t="n">
        <f aca="false">Inputs!$C$131*IF(L6&gt;=IFERROR(MATCH(Inputs!$C$153,$E$4:$S$4,0),99),Inputs!$C$154,0)*(1-L34)</f>
        <v>0</v>
      </c>
      <c r="M46" s="96" t="n">
        <f aca="false">Inputs!$C$131*IF(M6&gt;=IFERROR(MATCH(Inputs!$C$153,$E$4:$S$4,0),99),Inputs!$C$154,0)*(1-M34)</f>
        <v>0</v>
      </c>
      <c r="N46" s="96" t="n">
        <f aca="false">Inputs!$C$131*IF(N6&gt;=IFERROR(MATCH(Inputs!$C$153,$E$4:$S$4,0),99),Inputs!$C$154,0)*(1-N34)</f>
        <v>0.34</v>
      </c>
      <c r="O46" s="96" t="n">
        <f aca="false">Inputs!$C$131*IF(O6&gt;=IFERROR(MATCH(Inputs!$C$153,$E$4:$S$4,0),99),Inputs!$C$154,0)*(1-O34)</f>
        <v>0.34</v>
      </c>
      <c r="P46" s="96" t="n">
        <f aca="false">Inputs!$C$131*IF(P6&gt;=IFERROR(MATCH(Inputs!$C$153,$E$4:$S$4,0),99),Inputs!$C$154,0)*(1-P34)</f>
        <v>0.34</v>
      </c>
      <c r="Q46" s="96" t="n">
        <f aca="false">Inputs!$C$131*IF(Q6&gt;=IFERROR(MATCH(Inputs!$C$153,$E$4:$S$4,0),99),Inputs!$C$154,0)*(1-Q34)</f>
        <v>0.34</v>
      </c>
      <c r="R46" s="96" t="n">
        <f aca="false">Inputs!$C$131*IF(R6&gt;=IFERROR(MATCH(Inputs!$C$153,$E$4:$S$4,0),99),Inputs!$C$154,0)*(1-R34)</f>
        <v>0.34</v>
      </c>
      <c r="S46" s="96" t="n">
        <f aca="false">Inputs!$C$131*IF(S6&gt;=IFERROR(MATCH(Inputs!$C$153,$E$4:$S$4,0),99),Inputs!$C$154,0)*(1-S34)</f>
        <v>0.34</v>
      </c>
    </row>
    <row r="47" customFormat="false" ht="15" hidden="false" customHeight="false" outlineLevel="0" collapsed="false">
      <c r="A47" s="11" t="s">
        <v>867</v>
      </c>
      <c r="B47" s="3" t="s">
        <v>216</v>
      </c>
      <c r="C47" s="58" t="n">
        <f aca="false">SUM(E47:G47)</f>
        <v>0</v>
      </c>
      <c r="D47" s="58" t="n">
        <f aca="false">SUM(H47:S47)</f>
        <v>6</v>
      </c>
      <c r="E47" s="96" t="n">
        <f aca="false">Inputs!$C$131*Channels!E16</f>
        <v>0</v>
      </c>
      <c r="F47" s="96" t="n">
        <f aca="false">Inputs!$C$131*Channels!F16</f>
        <v>0</v>
      </c>
      <c r="G47" s="96" t="n">
        <f aca="false">Inputs!$C$131*Channels!G16</f>
        <v>0</v>
      </c>
      <c r="H47" s="96" t="n">
        <f aca="false">Inputs!$C$131*Channels!H16</f>
        <v>0</v>
      </c>
      <c r="I47" s="96" t="n">
        <f aca="false">Inputs!$C$131*Channels!I16</f>
        <v>1</v>
      </c>
      <c r="J47" s="96" t="n">
        <f aca="false">Inputs!$C$131*Channels!J16</f>
        <v>0</v>
      </c>
      <c r="K47" s="96" t="n">
        <f aca="false">Inputs!$C$131*Channels!K16</f>
        <v>0</v>
      </c>
      <c r="L47" s="96" t="n">
        <f aca="false">Inputs!$C$131*Channels!L16</f>
        <v>0</v>
      </c>
      <c r="M47" s="96" t="n">
        <f aca="false">Inputs!$C$131*Channels!M16</f>
        <v>0</v>
      </c>
      <c r="N47" s="96" t="n">
        <f aca="false">Inputs!$C$131*Channels!N16</f>
        <v>1</v>
      </c>
      <c r="O47" s="96" t="n">
        <f aca="false">Inputs!$C$131*Channels!O16</f>
        <v>1</v>
      </c>
      <c r="P47" s="96" t="n">
        <f aca="false">Inputs!$C$131*Channels!P16</f>
        <v>1</v>
      </c>
      <c r="Q47" s="96" t="n">
        <f aca="false">Inputs!$C$131*Channels!Q16</f>
        <v>1</v>
      </c>
      <c r="R47" s="96" t="n">
        <f aca="false">Inputs!$C$131*Channels!R16</f>
        <v>1</v>
      </c>
      <c r="S47" s="96" t="n">
        <f aca="false">Inputs!$C$131*Channels!S16</f>
        <v>0</v>
      </c>
    </row>
    <row r="48" customFormat="false" ht="15" hidden="false" customHeight="false" outlineLevel="0" collapsed="false">
      <c r="A48" s="11" t="s">
        <v>218</v>
      </c>
      <c r="B48" s="3" t="s">
        <v>219</v>
      </c>
      <c r="C48" s="58" t="n">
        <f aca="false">SUM(E48:G48)</f>
        <v>0</v>
      </c>
      <c r="D48" s="58" t="n">
        <f aca="false">SUM(H48:S48)</f>
        <v>480</v>
      </c>
      <c r="E48" s="96" t="n">
        <f aca="false">E47*Inputs!$C$158</f>
        <v>0</v>
      </c>
      <c r="F48" s="96" t="n">
        <f aca="false">F47*Inputs!$C$158</f>
        <v>0</v>
      </c>
      <c r="G48" s="96" t="n">
        <f aca="false">G47*Inputs!$C$158</f>
        <v>0</v>
      </c>
      <c r="H48" s="96" t="n">
        <f aca="false">H47*Inputs!$C$158</f>
        <v>0</v>
      </c>
      <c r="I48" s="96" t="n">
        <f aca="false">I47*Inputs!$C$158</f>
        <v>80</v>
      </c>
      <c r="J48" s="96" t="n">
        <f aca="false">J47*Inputs!$C$158</f>
        <v>0</v>
      </c>
      <c r="K48" s="96" t="n">
        <f aca="false">K47*Inputs!$C$158</f>
        <v>0</v>
      </c>
      <c r="L48" s="96" t="n">
        <f aca="false">L47*Inputs!$C$158</f>
        <v>0</v>
      </c>
      <c r="M48" s="96" t="n">
        <f aca="false">M47*Inputs!$C$158</f>
        <v>0</v>
      </c>
      <c r="N48" s="96" t="n">
        <f aca="false">N47*Inputs!$C$158</f>
        <v>80</v>
      </c>
      <c r="O48" s="96" t="n">
        <f aca="false">O47*Inputs!$C$158</f>
        <v>80</v>
      </c>
      <c r="P48" s="96" t="n">
        <f aca="false">P47*Inputs!$C$158</f>
        <v>80</v>
      </c>
      <c r="Q48" s="96" t="n">
        <f aca="false">Q47*Inputs!$C$158</f>
        <v>80</v>
      </c>
      <c r="R48" s="96" t="n">
        <f aca="false">R47*Inputs!$C$158</f>
        <v>80</v>
      </c>
      <c r="S48" s="96" t="n">
        <f aca="false">S47*Inputs!$C$158</f>
        <v>0</v>
      </c>
    </row>
    <row r="49" customFormat="false" ht="15" hidden="false" customHeight="false" outlineLevel="0" collapsed="false">
      <c r="A49" s="11" t="s">
        <v>868</v>
      </c>
      <c r="B49" s="3" t="s">
        <v>208</v>
      </c>
      <c r="C49" s="58" t="n">
        <f aca="false">SUM(E49:G49)</f>
        <v>2</v>
      </c>
      <c r="D49" s="58" t="n">
        <f aca="false">SUM(H49:S49)</f>
        <v>66.18</v>
      </c>
      <c r="E49" s="96" t="n">
        <f aca="false">Inputs!$C$131*(E42*Inputs!$C$150+E48*Inputs!$C$159)</f>
        <v>0</v>
      </c>
      <c r="F49" s="96" t="n">
        <f aca="false">Inputs!$C$131*(F42*Inputs!$C$150+F48*Inputs!$C$159)</f>
        <v>1</v>
      </c>
      <c r="G49" s="96" t="n">
        <f aca="false">Inputs!$C$131*(G42*Inputs!$C$150+G48*Inputs!$C$159)</f>
        <v>1</v>
      </c>
      <c r="H49" s="96" t="n">
        <f aca="false">Inputs!$C$131*(H42*Inputs!$C$150+H48*Inputs!$C$159)</f>
        <v>1</v>
      </c>
      <c r="I49" s="96" t="n">
        <f aca="false">Inputs!$C$131*(I42*Inputs!$C$150+I48*Inputs!$C$159)</f>
        <v>5.58</v>
      </c>
      <c r="J49" s="96" t="n">
        <f aca="false">Inputs!$C$131*(J42*Inputs!$C$150+J48*Inputs!$C$159)</f>
        <v>2.58</v>
      </c>
      <c r="K49" s="96" t="n">
        <f aca="false">Inputs!$C$131*(K42*Inputs!$C$150+K48*Inputs!$C$159)</f>
        <v>3.58</v>
      </c>
      <c r="L49" s="96" t="n">
        <f aca="false">Inputs!$C$131*(L42*Inputs!$C$150+L48*Inputs!$C$159)</f>
        <v>3.58</v>
      </c>
      <c r="M49" s="96" t="n">
        <f aca="false">Inputs!$C$131*(M42*Inputs!$C$150+M48*Inputs!$C$159)</f>
        <v>3.16</v>
      </c>
      <c r="N49" s="96" t="n">
        <f aca="false">Inputs!$C$131*(N42*Inputs!$C$150+N48*Inputs!$C$159)</f>
        <v>7.74</v>
      </c>
      <c r="O49" s="96" t="n">
        <f aca="false">Inputs!$C$131*(O42*Inputs!$C$150+O48*Inputs!$C$159)</f>
        <v>7.74</v>
      </c>
      <c r="P49" s="96" t="n">
        <f aca="false">Inputs!$C$131*(P42*Inputs!$C$150+P48*Inputs!$C$159)</f>
        <v>8.16</v>
      </c>
      <c r="Q49" s="96" t="n">
        <f aca="false">Inputs!$C$131*(Q42*Inputs!$C$150+Q48*Inputs!$C$159)</f>
        <v>9.16</v>
      </c>
      <c r="R49" s="96" t="n">
        <f aca="false">Inputs!$C$131*(R42*Inputs!$C$150+R48*Inputs!$C$159)</f>
        <v>9.16</v>
      </c>
      <c r="S49" s="96" t="n">
        <f aca="false">Inputs!$C$131*(S42*Inputs!$C$150+S48*Inputs!$C$159)</f>
        <v>4.74</v>
      </c>
    </row>
    <row r="50" customFormat="false" ht="15" hidden="false" customHeight="false" outlineLevel="0" collapsed="false">
      <c r="A50" s="11" t="s">
        <v>869</v>
      </c>
      <c r="B50" s="3" t="s">
        <v>10</v>
      </c>
      <c r="C50" s="58" t="n">
        <f aca="false">SUM(E50:G50)</f>
        <v>15.2145</v>
      </c>
      <c r="D50" s="58" t="n">
        <f aca="false">SUM(H50:S50)</f>
        <v>221.697</v>
      </c>
      <c r="E50" s="96" t="n">
        <f aca="false">Inputs!$C$142*(E39*(1-Inputs!$C$145*Inputs!$C$146)+E40*(1-Inputs!$C$146)+E41)</f>
        <v>0</v>
      </c>
      <c r="F50" s="96" t="n">
        <f aca="false">Inputs!$C$142*(F39*(1-Inputs!$C$145*Inputs!$C$146)+F40*(1-Inputs!$C$146)+F41)</f>
        <v>15.2145</v>
      </c>
      <c r="G50" s="96" t="n">
        <f aca="false">Inputs!$C$142*(G39*(1-Inputs!$C$145*Inputs!$C$146)+G40*(1-Inputs!$C$146)+G41)</f>
        <v>0</v>
      </c>
      <c r="H50" s="96" t="n">
        <f aca="false">Inputs!$C$142*(H39*(1-Inputs!$C$145*Inputs!$C$146)+H40*(1-Inputs!$C$146)+H41)</f>
        <v>0</v>
      </c>
      <c r="I50" s="96" t="n">
        <f aca="false">Inputs!$C$142*(I39*(1-Inputs!$C$145*Inputs!$C$146)+I40*(1-Inputs!$C$146)+I41)</f>
        <v>23.9085</v>
      </c>
      <c r="J50" s="96" t="n">
        <f aca="false">Inputs!$C$142*(J39*(1-Inputs!$C$145*Inputs!$C$146)+J40*(1-Inputs!$C$146)+J41)</f>
        <v>15.2145</v>
      </c>
      <c r="K50" s="96" t="n">
        <f aca="false">Inputs!$C$142*(K39*(1-Inputs!$C$145*Inputs!$C$146)+K40*(1-Inputs!$C$146)+K41)</f>
        <v>15.2145</v>
      </c>
      <c r="L50" s="96" t="n">
        <f aca="false">Inputs!$C$142*(L39*(1-Inputs!$C$145*Inputs!$C$146)+L40*(1-Inputs!$C$146)+L41)</f>
        <v>23.9085</v>
      </c>
      <c r="M50" s="96" t="n">
        <f aca="false">Inputs!$C$142*(M39*(1-Inputs!$C$145*Inputs!$C$146)+M40*(1-Inputs!$C$146)+M41)</f>
        <v>8.694</v>
      </c>
      <c r="N50" s="96" t="n">
        <f aca="false">Inputs!$C$142*(N39*(1-Inputs!$C$145*Inputs!$C$146)+N40*(1-Inputs!$C$146)+N41)</f>
        <v>23.9085</v>
      </c>
      <c r="O50" s="96" t="n">
        <f aca="false">Inputs!$C$142*(O39*(1-Inputs!$C$145*Inputs!$C$146)+O40*(1-Inputs!$C$146)+O41)</f>
        <v>23.9085</v>
      </c>
      <c r="P50" s="96" t="n">
        <f aca="false">Inputs!$C$142*(P39*(1-Inputs!$C$145*Inputs!$C$146)+P40*(1-Inputs!$C$146)+P41)</f>
        <v>15.2145</v>
      </c>
      <c r="Q50" s="96" t="n">
        <f aca="false">Inputs!$C$142*(Q39*(1-Inputs!$C$145*Inputs!$C$146)+Q40*(1-Inputs!$C$146)+Q41)</f>
        <v>39.123</v>
      </c>
      <c r="R50" s="96" t="n">
        <f aca="false">Inputs!$C$142*(R39*(1-Inputs!$C$145*Inputs!$C$146)+R40*(1-Inputs!$C$146)+R41)</f>
        <v>23.9085</v>
      </c>
      <c r="S50" s="96" t="n">
        <f aca="false">Inputs!$C$142*(S39*(1-Inputs!$C$145*Inputs!$C$146)+S40*(1-Inputs!$C$146)+S41)</f>
        <v>8.694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58"/>
    <col collapsed="false" customWidth="true" hidden="false" outlineLevel="0" max="15" min="2" style="0" width="14"/>
  </cols>
  <sheetData>
    <row r="1" customFormat="false" ht="17.25" hidden="false" customHeight="true" outlineLevel="0" collapsed="false">
      <c r="A1" s="1" t="s">
        <v>870</v>
      </c>
      <c r="B1" s="2"/>
      <c r="C1" s="2"/>
      <c r="D1" s="2"/>
      <c r="E1" s="2"/>
      <c r="F1" s="2"/>
      <c r="G1" s="2"/>
      <c r="H1" s="2"/>
      <c r="I1" s="2"/>
      <c r="J1" s="2"/>
      <c r="K1" s="2"/>
      <c r="L1" s="2"/>
      <c r="M1" s="2"/>
      <c r="N1" s="2"/>
      <c r="O1" s="2"/>
    </row>
    <row r="2" customFormat="false" ht="15" hidden="false" customHeight="true" outlineLevel="0" collapsed="false">
      <c r="A2" s="2"/>
      <c r="B2" s="2"/>
      <c r="C2" s="2"/>
      <c r="D2" s="2"/>
      <c r="E2" s="2"/>
      <c r="F2" s="2"/>
      <c r="G2" s="2"/>
      <c r="H2" s="2"/>
      <c r="I2" s="2"/>
      <c r="J2" s="2"/>
      <c r="K2" s="2"/>
      <c r="L2" s="2"/>
      <c r="M2" s="2"/>
      <c r="N2" s="2"/>
      <c r="O2" s="2"/>
    </row>
    <row r="3" customFormat="false" ht="48" hidden="false" customHeight="true" outlineLevel="0" collapsed="false">
      <c r="A3" s="101" t="s">
        <v>871</v>
      </c>
      <c r="B3" s="101" t="s">
        <v>336</v>
      </c>
      <c r="C3" s="101" t="s">
        <v>88</v>
      </c>
      <c r="D3" s="101" t="s">
        <v>872</v>
      </c>
      <c r="E3" s="101" t="s">
        <v>873</v>
      </c>
      <c r="F3" s="101" t="s">
        <v>874</v>
      </c>
      <c r="G3" s="101" t="s">
        <v>875</v>
      </c>
      <c r="H3" s="101" t="s">
        <v>876</v>
      </c>
      <c r="I3" s="101" t="s">
        <v>877</v>
      </c>
      <c r="J3" s="101" t="s">
        <v>878</v>
      </c>
      <c r="K3" s="101" t="s">
        <v>879</v>
      </c>
      <c r="L3" s="101" t="s">
        <v>880</v>
      </c>
      <c r="M3" s="101" t="s">
        <v>881</v>
      </c>
      <c r="N3" s="101" t="s">
        <v>882</v>
      </c>
      <c r="O3" s="101" t="s">
        <v>883</v>
      </c>
    </row>
    <row r="4" customFormat="false" ht="15" hidden="false" customHeight="true" outlineLevel="0" collapsed="false">
      <c r="A4" s="2" t="s">
        <v>842</v>
      </c>
      <c r="B4" s="102" t="n">
        <f aca="false">IF(Inputs!$C$85=2,Inputs!$C$87+Inputs!$C$93*Inputs!$C$63*Inputs!$C$92,Inputs!$C$9)</f>
        <v>100</v>
      </c>
      <c r="C4" s="102" t="n">
        <f aca="false">Inputs!$C$16</f>
        <v>25</v>
      </c>
      <c r="D4" s="8" t="n">
        <v>0</v>
      </c>
      <c r="E4" s="8" t="n">
        <f aca="false">IF(Inputs!$C$85=2,Inputs!$C$93*Inputs!$C$63*Inputs!$C$62,IF(Inputs!$C$61=1,0,Inputs!$C$63*Inputs!$C$62))</f>
        <v>3</v>
      </c>
      <c r="F4" s="8" t="n">
        <f aca="false">C4+D4+E4</f>
        <v>28</v>
      </c>
      <c r="G4" s="8" t="n">
        <f aca="false">B4-F4</f>
        <v>72</v>
      </c>
      <c r="H4" s="9" t="n">
        <f aca="false">IF(B4=0,0,G4/B4)</f>
        <v>0.72</v>
      </c>
      <c r="I4" s="103" t="n">
        <f aca="false">IF(C4+D4=0,0,B4/(C4+D4))</f>
        <v>4</v>
      </c>
      <c r="J4" s="2" t="str">
        <f aca="false">IF(I4&gt;=3,"Yes","No - below 3x")</f>
        <v>Yes</v>
      </c>
      <c r="K4" s="10" t="n">
        <f aca="false">Inputs!$C$26*Inputs!$C$30</f>
        <v>12</v>
      </c>
      <c r="L4" s="8" t="n">
        <f aca="false">IF(K4=0,0,G4/K4)</f>
        <v>6</v>
      </c>
      <c r="M4" s="8" t="n">
        <f aca="false">Inputs!$C$63*Inputs!$C$62</f>
        <v>3</v>
      </c>
      <c r="N4" s="8" t="n">
        <f aca="false">Inputs!$C$9</f>
        <v>85</v>
      </c>
      <c r="O4" s="8" t="n">
        <f aca="false">C4+D4+IF(Inputs!$C$61=1,0,Inputs!$C$63*Inputs!$C$62)</f>
        <v>25</v>
      </c>
    </row>
    <row r="5" customFormat="false" ht="15" hidden="false" customHeight="true" outlineLevel="0" collapsed="false">
      <c r="A5" s="2" t="s">
        <v>843</v>
      </c>
      <c r="B5" s="102" t="n">
        <f aca="false">IF(Inputs!$C$85=2,Inputs!$C$88+Inputs!$C$94*Inputs!$C$64*Inputs!$C$92,Inputs!$C$10)</f>
        <v>28.5</v>
      </c>
      <c r="C5" s="102" t="n">
        <f aca="false">Inputs!$C$17</f>
        <v>8</v>
      </c>
      <c r="D5" s="8" t="n">
        <f aca="false">IF(Inputs!$C$22=1,0,Inputs!$C$27*Inputs!$C$23*Inputs!$C$24)</f>
        <v>0</v>
      </c>
      <c r="E5" s="8" t="n">
        <f aca="false">IF(Inputs!$C$85=2,Inputs!$C$94*Inputs!$C$64*Inputs!$C$62,IF(Inputs!$C$61=1,0,Inputs!$C$64*Inputs!$C$62))</f>
        <v>2.25</v>
      </c>
      <c r="F5" s="8" t="n">
        <f aca="false">C5+D5+E5</f>
        <v>10.25</v>
      </c>
      <c r="G5" s="8" t="n">
        <f aca="false">B5-F5</f>
        <v>18.25</v>
      </c>
      <c r="H5" s="9" t="n">
        <f aca="false">IF(B5=0,0,G5/B5)</f>
        <v>0.640350877192982</v>
      </c>
      <c r="I5" s="103" t="n">
        <f aca="false">IF(C5+D5=0,0,B5/(C5+D5))</f>
        <v>3.5625</v>
      </c>
      <c r="J5" s="2" t="str">
        <f aca="false">IF(I5&gt;=3,"Yes","No - below 3x")</f>
        <v>Yes</v>
      </c>
      <c r="K5" s="10" t="n">
        <f aca="false">Inputs!$C$27*Inputs!$C$31</f>
        <v>2</v>
      </c>
      <c r="L5" s="8" t="n">
        <f aca="false">IF(K5=0,0,G5/K5)</f>
        <v>9.125</v>
      </c>
      <c r="M5" s="8" t="n">
        <f aca="false">Inputs!$C$64*Inputs!$C$62</f>
        <v>2.25</v>
      </c>
      <c r="N5" s="8" t="n">
        <f aca="false">Inputs!$C$10</f>
        <v>20</v>
      </c>
      <c r="O5" s="8" t="n">
        <f aca="false">C5+D5+IF(Inputs!$C$61=1,0,Inputs!$C$64*Inputs!$C$62)</f>
        <v>8</v>
      </c>
    </row>
    <row r="6" customFormat="false" ht="15" hidden="false" customHeight="true" outlineLevel="0" collapsed="false">
      <c r="A6" s="2" t="s">
        <v>884</v>
      </c>
      <c r="B6" s="102" t="n">
        <f aca="false">IF(Inputs!$C$85=2,(1-Inputs!$C$91)*Inputs!$C$89+Inputs!$C$91*Inputs!$C$90+Inputs!$C$95*Inputs!$C$65*Inputs!$C$92,Inputs!$C$11)</f>
        <v>53.5</v>
      </c>
      <c r="C6" s="102" t="n">
        <f aca="false">Inputs!$C$18</f>
        <v>12</v>
      </c>
      <c r="D6" s="8" t="n">
        <v>0</v>
      </c>
      <c r="E6" s="8" t="n">
        <f aca="false">IF(Inputs!$C$85=2,Inputs!$C$95*Inputs!$C$65*Inputs!$C$62,IF(Inputs!$C$61=1,0,Inputs!$C$65*Inputs!$C$62))</f>
        <v>3</v>
      </c>
      <c r="F6" s="8" t="n">
        <f aca="false">C6+D6+E6</f>
        <v>15</v>
      </c>
      <c r="G6" s="8" t="n">
        <f aca="false">B6-F6</f>
        <v>38.5</v>
      </c>
      <c r="H6" s="9" t="n">
        <f aca="false">IF(B6=0,0,G6/B6)</f>
        <v>0.719626168224299</v>
      </c>
      <c r="I6" s="103" t="n">
        <f aca="false">IF(C6+D6=0,0,B6/(C6+D6))</f>
        <v>4.45833333333333</v>
      </c>
      <c r="J6" s="2" t="str">
        <f aca="false">IF(I6&gt;=3,"Yes","No - below 3x")</f>
        <v>Yes</v>
      </c>
      <c r="K6" s="10" t="n">
        <f aca="false">Inputs!$C$28*Inputs!$C$32</f>
        <v>2</v>
      </c>
      <c r="L6" s="8" t="n">
        <f aca="false">IF(K6=0,0,G6/K6)</f>
        <v>19.25</v>
      </c>
      <c r="M6" s="8" t="n">
        <f aca="false">Inputs!$C$65*Inputs!$C$62</f>
        <v>3</v>
      </c>
      <c r="N6" s="8" t="n">
        <f aca="false">Inputs!$C$11</f>
        <v>35</v>
      </c>
      <c r="O6" s="8" t="n">
        <f aca="false">C6+D6+IF(Inputs!$C$61=1,0,Inputs!$C$65*Inputs!$C$62)</f>
        <v>12</v>
      </c>
    </row>
    <row r="7" customFormat="false" ht="15" hidden="false" customHeight="true" outlineLevel="0" collapsed="false">
      <c r="A7" s="2" t="s">
        <v>885</v>
      </c>
      <c r="B7" s="102" t="n">
        <f aca="false">Inputs!$C$12</f>
        <v>15</v>
      </c>
      <c r="C7" s="102" t="n">
        <f aca="false">Inputs!$C$19</f>
        <v>5</v>
      </c>
      <c r="D7" s="8" t="n">
        <v>0</v>
      </c>
      <c r="E7" s="8" t="n">
        <v>0</v>
      </c>
      <c r="F7" s="8" t="n">
        <f aca="false">C7+D7+E7</f>
        <v>5</v>
      </c>
      <c r="G7" s="8" t="n">
        <f aca="false">B7-F7</f>
        <v>10</v>
      </c>
      <c r="H7" s="9" t="n">
        <f aca="false">IF(B7=0,0,G7/B7)</f>
        <v>0.666666666666667</v>
      </c>
      <c r="I7" s="103" t="n">
        <f aca="false">IF(C7+D7=0,0,B7/(C7+D7))</f>
        <v>3</v>
      </c>
      <c r="J7" s="2" t="str">
        <f aca="false">IF(I7&gt;=3,"Yes","No - below 3x")</f>
        <v>Yes</v>
      </c>
      <c r="K7" s="10" t="n">
        <v>0</v>
      </c>
      <c r="L7" s="8" t="n">
        <f aca="false">IF(K7=0,0,G7/K7)</f>
        <v>0</v>
      </c>
      <c r="M7" s="8" t="n">
        <v>0</v>
      </c>
      <c r="N7" s="8" t="n">
        <f aca="false">Inputs!$C$12</f>
        <v>15</v>
      </c>
      <c r="O7" s="8" t="n">
        <f aca="false">C7+D7+0</f>
        <v>5</v>
      </c>
    </row>
    <row r="8" customFormat="false" ht="15" hidden="false" customHeight="true" outlineLevel="0" collapsed="false">
      <c r="A8" s="2" t="s">
        <v>383</v>
      </c>
      <c r="B8" s="102" t="n">
        <f aca="false">Inputs!$C$13</f>
        <v>4.144</v>
      </c>
      <c r="C8" s="102" t="n">
        <f aca="false">Inputs!$C$20</f>
        <v>2.73</v>
      </c>
      <c r="D8" s="8" t="n">
        <v>0</v>
      </c>
      <c r="E8" s="8" t="n">
        <f aca="false">IF(Inputs!$C$61=1,0,Inputs!$C$66*Inputs!$C$62)</f>
        <v>0</v>
      </c>
      <c r="F8" s="8" t="n">
        <f aca="false">C8+D8+E8</f>
        <v>2.73</v>
      </c>
      <c r="G8" s="8" t="n">
        <f aca="false">B8-F8</f>
        <v>1.414</v>
      </c>
      <c r="H8" s="9" t="n">
        <f aca="false">IF(B8=0,0,G8/B8)</f>
        <v>0.341216216216216</v>
      </c>
      <c r="I8" s="103" t="n">
        <f aca="false">IF(C8+D8=0,0,B8/(C8+D8))</f>
        <v>1.51794871794872</v>
      </c>
      <c r="J8" s="2" t="str">
        <f aca="false">IF(I8&gt;=3,"Yes","No - below 3x")</f>
        <v>No - below 3x</v>
      </c>
      <c r="K8" s="10" t="n">
        <f aca="false">Inputs!$C$29*Inputs!$C$33</f>
        <v>2</v>
      </c>
      <c r="L8" s="8" t="n">
        <f aca="false">IF(K8=0,0,G8/K8)</f>
        <v>0.707</v>
      </c>
      <c r="M8" s="8" t="n">
        <f aca="false">Inputs!$C$66*Inputs!$C$62</f>
        <v>3.75</v>
      </c>
      <c r="N8" s="8" t="n">
        <f aca="false">Inputs!$C$13</f>
        <v>4.144</v>
      </c>
      <c r="O8" s="8" t="n">
        <f aca="false">C8+D8+IF(Inputs!$C$61=1,0,Inputs!$C$66*Inputs!$C$62)</f>
        <v>2.73</v>
      </c>
    </row>
    <row r="9" customFormat="false" ht="15" hidden="false" customHeight="true" outlineLevel="0" collapsed="false">
      <c r="A9" s="2"/>
      <c r="B9" s="2"/>
      <c r="C9" s="2"/>
      <c r="D9" s="2"/>
      <c r="E9" s="2"/>
      <c r="F9" s="2"/>
      <c r="G9" s="2"/>
      <c r="H9" s="2"/>
      <c r="I9" s="2"/>
      <c r="J9" s="2"/>
      <c r="K9" s="2"/>
      <c r="L9" s="2"/>
      <c r="M9" s="2"/>
      <c r="N9" s="2"/>
      <c r="O9" s="2"/>
    </row>
    <row r="10" customFormat="false" ht="15" hidden="false" customHeight="true" outlineLevel="0" collapsed="false">
      <c r="A10" s="6" t="s">
        <v>886</v>
      </c>
      <c r="B10" s="7"/>
      <c r="C10" s="7"/>
      <c r="D10" s="7"/>
      <c r="E10" s="7"/>
      <c r="F10" s="7"/>
      <c r="G10" s="7"/>
      <c r="H10" s="7"/>
      <c r="I10" s="7"/>
      <c r="J10" s="7"/>
      <c r="K10" s="7"/>
      <c r="L10" s="7"/>
      <c r="M10" s="7"/>
      <c r="N10" s="2"/>
      <c r="O10" s="2"/>
    </row>
    <row r="11" customFormat="false" ht="15" hidden="false" customHeight="true" outlineLevel="0" collapsed="false">
      <c r="A11" s="2" t="s">
        <v>887</v>
      </c>
      <c r="B11" s="8" t="n">
        <f aca="false">IF(Inputs!$C$52=1,(Inputs!$C$53+Inputs!$C$55)*12,Inputs!$C$55*12)</f>
        <v>24</v>
      </c>
      <c r="C11" s="2"/>
      <c r="D11" s="2"/>
      <c r="E11" s="2"/>
      <c r="F11" s="2"/>
      <c r="G11" s="2"/>
      <c r="H11" s="2"/>
      <c r="I11" s="2"/>
      <c r="J11" s="2"/>
      <c r="K11" s="2"/>
      <c r="L11" s="2"/>
      <c r="M11" s="2"/>
      <c r="N11" s="2"/>
      <c r="O11" s="2"/>
    </row>
    <row r="12" customFormat="false" ht="15" hidden="false" customHeight="true" outlineLevel="0" collapsed="false">
      <c r="A12" s="2" t="s">
        <v>888</v>
      </c>
      <c r="B12" s="8" t="n">
        <f aca="false">Inputs!$C$70</f>
        <v>4</v>
      </c>
      <c r="C12" s="2"/>
      <c r="D12" s="2"/>
      <c r="E12" s="2"/>
      <c r="F12" s="2"/>
      <c r="G12" s="2"/>
      <c r="H12" s="2"/>
      <c r="I12" s="2"/>
      <c r="J12" s="2"/>
      <c r="K12" s="2"/>
      <c r="L12" s="2"/>
      <c r="M12" s="2"/>
      <c r="N12" s="2"/>
      <c r="O12" s="2"/>
    </row>
    <row r="13" customFormat="false" ht="15" hidden="false" customHeight="true" outlineLevel="0" collapsed="false">
      <c r="A13" s="2" t="s">
        <v>889</v>
      </c>
      <c r="B13" s="8" t="n">
        <f aca="false">IF(B12=0,0,B11/B12)</f>
        <v>6</v>
      </c>
      <c r="C13" s="2"/>
      <c r="D13" s="2"/>
      <c r="E13" s="2"/>
      <c r="F13" s="2"/>
      <c r="G13" s="2"/>
      <c r="H13" s="2"/>
      <c r="I13" s="2"/>
      <c r="J13" s="2"/>
      <c r="K13" s="2"/>
      <c r="L13" s="2"/>
      <c r="M13" s="2"/>
      <c r="N13" s="2"/>
      <c r="O13" s="2"/>
    </row>
    <row r="14" customFormat="false" ht="15" hidden="false" customHeight="true" outlineLevel="0" collapsed="false">
      <c r="A14" s="2" t="s">
        <v>890</v>
      </c>
      <c r="B14" s="8" t="n">
        <f aca="false">IF(G4&lt;=0,0,B13/G4)</f>
        <v>0.0833333333333333</v>
      </c>
      <c r="C14" s="2"/>
      <c r="D14" s="2"/>
      <c r="E14" s="2"/>
      <c r="F14" s="2"/>
      <c r="G14" s="2"/>
      <c r="H14" s="2"/>
      <c r="I14" s="2"/>
      <c r="J14" s="2"/>
      <c r="K14" s="2"/>
      <c r="L14" s="2"/>
      <c r="M14" s="2"/>
      <c r="N14" s="2"/>
      <c r="O14" s="2"/>
    </row>
    <row r="15" customFormat="false" ht="15" hidden="false" customHeight="true" outlineLevel="0" collapsed="false">
      <c r="A15" s="2" t="s">
        <v>891</v>
      </c>
      <c r="B15" s="8" t="n">
        <f aca="false">IF(G5&lt;=0,0,B13/G5)</f>
        <v>0.328767123287671</v>
      </c>
      <c r="C15" s="2"/>
      <c r="D15" s="2"/>
      <c r="E15" s="2"/>
      <c r="F15" s="2"/>
      <c r="G15" s="2"/>
      <c r="H15" s="2"/>
      <c r="I15" s="2"/>
      <c r="J15" s="2"/>
      <c r="K15" s="2"/>
      <c r="L15" s="2"/>
      <c r="M15" s="2"/>
      <c r="N15" s="2"/>
      <c r="O15" s="2"/>
    </row>
    <row r="16" customFormat="false" ht="15" hidden="false" customHeight="true" outlineLevel="0" collapsed="false">
      <c r="A16" s="2" t="s">
        <v>892</v>
      </c>
      <c r="B16" s="8" t="n">
        <f aca="false">IF(G6&lt;=0,0,B13/G6)</f>
        <v>0.155844155844156</v>
      </c>
      <c r="C16" s="2"/>
      <c r="D16" s="2"/>
      <c r="E16" s="2"/>
      <c r="F16" s="2"/>
      <c r="G16" s="2"/>
      <c r="H16" s="2"/>
      <c r="I16" s="2"/>
      <c r="J16" s="2"/>
      <c r="K16" s="2"/>
      <c r="L16" s="2"/>
      <c r="M16" s="2"/>
      <c r="N16" s="2"/>
      <c r="O16" s="2"/>
    </row>
    <row r="17" customFormat="false" ht="15" hidden="false" customHeight="true" outlineLevel="0" collapsed="false">
      <c r="A17" s="2" t="s">
        <v>893</v>
      </c>
      <c r="B17" s="8" t="n">
        <f aca="false">IF(G7&lt;=0,0,B13/G7)</f>
        <v>0.6</v>
      </c>
      <c r="C17" s="2"/>
      <c r="D17" s="2"/>
      <c r="E17" s="2"/>
      <c r="F17" s="2"/>
      <c r="G17" s="2"/>
      <c r="H17" s="2"/>
      <c r="I17" s="2"/>
      <c r="J17" s="2"/>
      <c r="K17" s="2"/>
      <c r="L17" s="2"/>
      <c r="M17" s="2"/>
      <c r="N17" s="2"/>
      <c r="O17" s="2"/>
    </row>
    <row r="18" customFormat="false" ht="15" hidden="false" customHeight="true" outlineLevel="0" collapsed="false">
      <c r="A18" s="2"/>
      <c r="B18" s="2"/>
      <c r="C18" s="2"/>
      <c r="D18" s="2"/>
      <c r="E18" s="2"/>
      <c r="F18" s="2"/>
      <c r="G18" s="2"/>
      <c r="H18" s="2"/>
      <c r="I18" s="2"/>
      <c r="J18" s="2"/>
      <c r="K18" s="2"/>
      <c r="L18" s="2"/>
      <c r="M18" s="2"/>
      <c r="N18" s="2"/>
      <c r="O18" s="2"/>
    </row>
    <row r="19" customFormat="false" ht="15" hidden="false" customHeight="true" outlineLevel="0" collapsed="false">
      <c r="A19" s="3" t="s">
        <v>894</v>
      </c>
      <c r="B19" s="2"/>
      <c r="C19" s="2"/>
      <c r="D19" s="2"/>
      <c r="E19" s="2"/>
      <c r="F19" s="2"/>
      <c r="G19" s="2"/>
      <c r="H19" s="2"/>
      <c r="I19" s="2"/>
      <c r="J19" s="2"/>
      <c r="K19" s="2"/>
      <c r="L19" s="2"/>
      <c r="M19" s="2"/>
      <c r="N19" s="2"/>
      <c r="O19" s="2"/>
    </row>
    <row r="20" customFormat="false" ht="15" hidden="false" customHeight="true" outlineLevel="0" collapsed="false">
      <c r="A20" s="3" t="s">
        <v>895</v>
      </c>
      <c r="B20" s="2"/>
      <c r="C20" s="2"/>
      <c r="D20" s="2"/>
      <c r="E20" s="2"/>
      <c r="F20" s="2"/>
      <c r="G20" s="2"/>
      <c r="H20" s="2"/>
      <c r="I20" s="2"/>
      <c r="J20" s="2"/>
      <c r="K20" s="2"/>
      <c r="L20" s="2"/>
      <c r="M20" s="2"/>
      <c r="N20" s="2"/>
      <c r="O20" s="2"/>
    </row>
    <row r="21" customFormat="false" ht="15" hidden="false" customHeight="true" outlineLevel="0" collapsed="false">
      <c r="A21" s="3" t="s">
        <v>896</v>
      </c>
      <c r="B21" s="2"/>
      <c r="C21" s="2"/>
      <c r="D21" s="2"/>
      <c r="E21" s="2"/>
      <c r="F21" s="2"/>
      <c r="G21" s="2"/>
      <c r="H21" s="2"/>
      <c r="I21" s="2"/>
      <c r="J21" s="2"/>
      <c r="K21" s="2"/>
      <c r="L21" s="2"/>
      <c r="M21" s="2"/>
      <c r="N21" s="2"/>
      <c r="O21" s="2"/>
    </row>
    <row r="22" customFormat="false" ht="15" hidden="false" customHeight="true" outlineLevel="0" collapsed="false">
      <c r="A22" s="3" t="s">
        <v>897</v>
      </c>
      <c r="B22" s="2"/>
      <c r="C22" s="2"/>
      <c r="D22" s="2"/>
      <c r="E22" s="2"/>
      <c r="F22" s="2"/>
      <c r="G22" s="2"/>
      <c r="H22" s="2"/>
      <c r="I22" s="2"/>
      <c r="J22" s="2"/>
      <c r="K22" s="2"/>
      <c r="L22" s="2"/>
      <c r="M22" s="2"/>
      <c r="N22" s="2"/>
      <c r="O2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12" min="3" style="0" width="13"/>
    <col collapsed="false" customWidth="true" hidden="false" outlineLevel="0" max="13" min="13" style="0" width="44"/>
  </cols>
  <sheetData>
    <row r="1" customFormat="false" ht="17.25" hidden="false" customHeight="true" outlineLevel="0" collapsed="false">
      <c r="A1" s="1" t="s">
        <v>898</v>
      </c>
      <c r="B1" s="2"/>
      <c r="C1" s="2"/>
      <c r="D1" s="2"/>
      <c r="E1" s="2"/>
      <c r="F1" s="2"/>
      <c r="G1" s="2"/>
      <c r="H1" s="2"/>
      <c r="I1" s="2"/>
      <c r="J1" s="2"/>
      <c r="K1" s="2"/>
      <c r="L1" s="2"/>
      <c r="M1" s="2"/>
    </row>
    <row r="2" customFormat="false" ht="15" hidden="false" customHeight="true" outlineLevel="0" collapsed="false">
      <c r="A2" s="3" t="s">
        <v>899</v>
      </c>
      <c r="B2" s="2"/>
      <c r="C2" s="2"/>
      <c r="D2" s="2"/>
      <c r="E2" s="2"/>
      <c r="F2" s="2"/>
      <c r="G2" s="2"/>
      <c r="H2" s="2"/>
      <c r="I2" s="2"/>
      <c r="J2" s="2"/>
      <c r="K2" s="2"/>
      <c r="L2" s="2"/>
      <c r="M2" s="2"/>
    </row>
    <row r="3" customFormat="false" ht="15" hidden="false" customHeight="true" outlineLevel="0" collapsed="false">
      <c r="A3" s="2"/>
      <c r="B3" s="2"/>
      <c r="C3" s="2"/>
      <c r="D3" s="2"/>
      <c r="E3" s="2"/>
      <c r="F3" s="2"/>
      <c r="G3" s="2"/>
      <c r="H3" s="2"/>
      <c r="I3" s="2"/>
      <c r="J3" s="2"/>
      <c r="K3" s="2"/>
      <c r="L3" s="2"/>
      <c r="M3" s="2"/>
    </row>
    <row r="4" customFormat="false" ht="48" hidden="false" customHeight="true" outlineLevel="0" collapsed="false">
      <c r="A4" s="101" t="s">
        <v>900</v>
      </c>
      <c r="B4" s="101" t="s">
        <v>901</v>
      </c>
      <c r="C4" s="101" t="s">
        <v>902</v>
      </c>
      <c r="D4" s="101" t="s">
        <v>903</v>
      </c>
      <c r="E4" s="101" t="s">
        <v>904</v>
      </c>
      <c r="F4" s="101" t="s">
        <v>905</v>
      </c>
      <c r="G4" s="101" t="s">
        <v>906</v>
      </c>
      <c r="H4" s="101" t="s">
        <v>907</v>
      </c>
      <c r="I4" s="101" t="s">
        <v>908</v>
      </c>
      <c r="J4" s="101" t="s">
        <v>877</v>
      </c>
      <c r="K4" s="101" t="s">
        <v>909</v>
      </c>
      <c r="L4" s="101" t="s">
        <v>910</v>
      </c>
      <c r="M4" s="101" t="s">
        <v>911</v>
      </c>
    </row>
    <row r="5" customFormat="false" ht="26.25" hidden="false" customHeight="true" outlineLevel="0" collapsed="false">
      <c r="A5" s="74" t="s">
        <v>912</v>
      </c>
      <c r="B5" s="74" t="s">
        <v>913</v>
      </c>
      <c r="C5" s="102" t="n">
        <f aca="false">Inputs!$C$87</f>
        <v>94</v>
      </c>
      <c r="D5" s="10" t="n">
        <f aca="false">Inputs!$C$30</f>
        <v>3</v>
      </c>
      <c r="E5" s="104" t="n">
        <f aca="false">IF(D5=0,0,C5/D5)</f>
        <v>31.3333333333333</v>
      </c>
      <c r="F5" s="104" t="n">
        <f aca="false">Inputs!$C$92*Inputs!$C$93</f>
        <v>0.15</v>
      </c>
      <c r="G5" s="10" t="n">
        <f aca="false">Inputs!$C$63</f>
        <v>40</v>
      </c>
      <c r="H5" s="104" t="n">
        <f aca="false">C5+F5*G5</f>
        <v>100</v>
      </c>
      <c r="I5" s="104" t="n">
        <f aca="false">Inputs!$C$16</f>
        <v>25</v>
      </c>
      <c r="J5" s="103" t="n">
        <f aca="false">IF(I5=0,0,H5/I5)</f>
        <v>4</v>
      </c>
      <c r="K5" s="2" t="str">
        <f aca="false">IF(J5&gt;=3,"Yes","No")</f>
        <v>Yes</v>
      </c>
      <c r="L5" s="9" t="n">
        <f aca="false">IF((Inputs!$C$96*Inputs!$C$11)=0,0,E5/(Inputs!$C$96*Inputs!$C$11))</f>
        <v>0.358095238095238</v>
      </c>
      <c r="M5" s="74" t="s">
        <v>914</v>
      </c>
    </row>
    <row r="6" customFormat="false" ht="15" hidden="false" customHeight="true" outlineLevel="0" collapsed="false">
      <c r="A6" s="74" t="s">
        <v>915</v>
      </c>
      <c r="B6" s="74" t="s">
        <v>916</v>
      </c>
      <c r="C6" s="102" t="n">
        <f aca="false">Inputs!$C$88</f>
        <v>24</v>
      </c>
      <c r="D6" s="10" t="n">
        <f aca="false">Inputs!$C$31</f>
        <v>1</v>
      </c>
      <c r="E6" s="104" t="n">
        <f aca="false">IF(D6=0,0,C6/D6)</f>
        <v>24</v>
      </c>
      <c r="F6" s="104" t="n">
        <f aca="false">Inputs!$C$92*Inputs!$C$94</f>
        <v>0.15</v>
      </c>
      <c r="G6" s="10" t="n">
        <f aca="false">Inputs!$C$64</f>
        <v>30</v>
      </c>
      <c r="H6" s="104" t="n">
        <f aca="false">C6+F6*G6</f>
        <v>28.5</v>
      </c>
      <c r="I6" s="104" t="n">
        <f aca="false">Inputs!$C$17</f>
        <v>8</v>
      </c>
      <c r="J6" s="103" t="n">
        <f aca="false">IF(I6=0,0,H6/I6)</f>
        <v>3.5625</v>
      </c>
      <c r="K6" s="2" t="str">
        <f aca="false">IF(J6&gt;=3,"Yes","No")</f>
        <v>Yes</v>
      </c>
      <c r="L6" s="9" t="n">
        <f aca="false">IF((Inputs!$C$96*Inputs!$C$11)=0,0,E6/(Inputs!$C$96*Inputs!$C$11))</f>
        <v>0.274285714285714</v>
      </c>
      <c r="M6" s="74" t="s">
        <v>917</v>
      </c>
    </row>
    <row r="7" customFormat="false" ht="26.25" hidden="false" customHeight="true" outlineLevel="0" collapsed="false">
      <c r="A7" s="74" t="s">
        <v>918</v>
      </c>
      <c r="B7" s="74" t="s">
        <v>919</v>
      </c>
      <c r="C7" s="102" t="n">
        <f aca="false">Inputs!$C$89</f>
        <v>45</v>
      </c>
      <c r="D7" s="10" t="n">
        <f aca="false">Inputs!$C$32</f>
        <v>1</v>
      </c>
      <c r="E7" s="104" t="n">
        <f aca="false">IF(D7=0,0,C7/D7)</f>
        <v>45</v>
      </c>
      <c r="F7" s="104" t="n">
        <f aca="false">Inputs!$C$92*Inputs!$C$95</f>
        <v>0.15</v>
      </c>
      <c r="G7" s="10" t="n">
        <f aca="false">Inputs!$C$65</f>
        <v>40</v>
      </c>
      <c r="H7" s="104" t="n">
        <f aca="false">C7+F7*G7</f>
        <v>51</v>
      </c>
      <c r="I7" s="104" t="n">
        <f aca="false">Inputs!$C$18</f>
        <v>12</v>
      </c>
      <c r="J7" s="103" t="n">
        <f aca="false">IF(I7=0,0,H7/I7)</f>
        <v>4.25</v>
      </c>
      <c r="K7" s="2" t="str">
        <f aca="false">IF(J7&gt;=3,"Yes","No")</f>
        <v>Yes</v>
      </c>
      <c r="L7" s="9" t="n">
        <f aca="false">IF((Inputs!$C$96*Inputs!$C$11)=0,0,E7/(Inputs!$C$96*Inputs!$C$11))</f>
        <v>0.514285714285714</v>
      </c>
      <c r="M7" s="74" t="s">
        <v>920</v>
      </c>
    </row>
    <row r="8" customFormat="false" ht="26.25" hidden="false" customHeight="true" outlineLevel="0" collapsed="false">
      <c r="A8" s="74" t="s">
        <v>921</v>
      </c>
      <c r="B8" s="74" t="s">
        <v>922</v>
      </c>
      <c r="C8" s="102" t="n">
        <f aca="false">Inputs!$C$90</f>
        <v>55</v>
      </c>
      <c r="D8" s="10" t="n">
        <f aca="false">Inputs!$C$32</f>
        <v>1</v>
      </c>
      <c r="E8" s="104" t="n">
        <f aca="false">IF(D8=0,0,C8/D8)</f>
        <v>55</v>
      </c>
      <c r="F8" s="104" t="n">
        <f aca="false">Inputs!$C$92*Inputs!$C$95</f>
        <v>0.15</v>
      </c>
      <c r="G8" s="10" t="n">
        <f aca="false">Inputs!$C$65</f>
        <v>40</v>
      </c>
      <c r="H8" s="104" t="n">
        <f aca="false">C8+F8*G8</f>
        <v>61</v>
      </c>
      <c r="I8" s="104" t="n">
        <f aca="false">Inputs!$C$18</f>
        <v>12</v>
      </c>
      <c r="J8" s="103" t="n">
        <f aca="false">IF(I8=0,0,H8/I8)</f>
        <v>5.08333333333333</v>
      </c>
      <c r="K8" s="2" t="str">
        <f aca="false">IF(J8&gt;=3,"Yes","No")</f>
        <v>Yes</v>
      </c>
      <c r="L8" s="9" t="n">
        <f aca="false">IF((Inputs!$C$96*Inputs!$C$11)=0,0,E8/(Inputs!$C$96*Inputs!$C$11))</f>
        <v>0.628571428571429</v>
      </c>
      <c r="M8" s="74" t="s">
        <v>923</v>
      </c>
    </row>
    <row r="9" customFormat="false" ht="15" hidden="false" customHeight="true" outlineLevel="0" collapsed="false">
      <c r="A9" s="2" t="s">
        <v>924</v>
      </c>
      <c r="B9" s="2" t="s">
        <v>925</v>
      </c>
      <c r="C9" s="2"/>
      <c r="D9" s="2"/>
      <c r="E9" s="8" t="n">
        <f aca="false">(Inputs!$C$96*Inputs!$C$11)</f>
        <v>87.5</v>
      </c>
      <c r="F9" s="2"/>
      <c r="G9" s="2"/>
      <c r="H9" s="2"/>
      <c r="I9" s="2"/>
      <c r="J9" s="2"/>
      <c r="K9" s="2"/>
      <c r="L9" s="2"/>
      <c r="M9" s="2"/>
    </row>
    <row r="10" customFormat="false" ht="15" hidden="false" customHeight="true" outlineLevel="0" collapsed="false">
      <c r="A10" s="2"/>
      <c r="B10" s="2"/>
      <c r="C10" s="2"/>
      <c r="D10" s="2"/>
      <c r="E10" s="2"/>
      <c r="F10" s="2"/>
      <c r="G10" s="2"/>
      <c r="H10" s="2"/>
      <c r="I10" s="2"/>
      <c r="J10" s="2"/>
      <c r="K10" s="2"/>
      <c r="L10" s="2"/>
      <c r="M10" s="2"/>
    </row>
    <row r="11" customFormat="false" ht="15" hidden="false" customHeight="true" outlineLevel="0" collapsed="false">
      <c r="A11" s="6" t="s">
        <v>926</v>
      </c>
      <c r="B11" s="7"/>
      <c r="C11" s="7"/>
      <c r="D11" s="7"/>
      <c r="E11" s="7"/>
      <c r="F11" s="7"/>
      <c r="G11" s="7"/>
      <c r="H11" s="7"/>
      <c r="I11" s="7"/>
      <c r="J11" s="7"/>
      <c r="K11" s="7"/>
      <c r="L11" s="7"/>
      <c r="M11" s="7"/>
    </row>
    <row r="12" customFormat="false" ht="15" hidden="false" customHeight="true" outlineLevel="0" collapsed="false">
      <c r="A12" s="5" t="s">
        <v>927</v>
      </c>
      <c r="B12" s="5" t="s">
        <v>928</v>
      </c>
      <c r="C12" s="5" t="s">
        <v>108</v>
      </c>
      <c r="D12" s="5"/>
      <c r="E12" s="5" t="s">
        <v>929</v>
      </c>
      <c r="F12" s="2"/>
      <c r="G12" s="2"/>
      <c r="H12" s="2"/>
      <c r="I12" s="2"/>
      <c r="J12" s="2"/>
      <c r="K12" s="2"/>
      <c r="L12" s="2"/>
      <c r="M12" s="2"/>
    </row>
    <row r="13" customFormat="false" ht="15" hidden="false" customHeight="true" outlineLevel="0" collapsed="false">
      <c r="A13" s="2" t="s">
        <v>930</v>
      </c>
      <c r="B13" s="2" t="s">
        <v>931</v>
      </c>
      <c r="C13" s="8" t="n">
        <f aca="false">C7</f>
        <v>45</v>
      </c>
      <c r="D13" s="2"/>
      <c r="E13" s="8" t="n">
        <f aca="false">C8</f>
        <v>55</v>
      </c>
      <c r="F13" s="2"/>
      <c r="G13" s="2"/>
      <c r="H13" s="2"/>
      <c r="I13" s="2"/>
      <c r="J13" s="2"/>
      <c r="K13" s="2"/>
      <c r="L13" s="2"/>
      <c r="M13" s="2"/>
    </row>
    <row r="14" customFormat="false" ht="15" hidden="false" customHeight="true" outlineLevel="0" collapsed="false">
      <c r="A14" s="2" t="s">
        <v>932</v>
      </c>
      <c r="B14" s="2" t="s">
        <v>933</v>
      </c>
      <c r="C14" s="8" t="n">
        <f aca="false">H7</f>
        <v>51</v>
      </c>
      <c r="D14" s="2"/>
      <c r="E14" s="8" t="n">
        <f aca="false">H8</f>
        <v>61</v>
      </c>
      <c r="F14" s="2"/>
      <c r="G14" s="2"/>
      <c r="H14" s="2"/>
      <c r="I14" s="2"/>
      <c r="J14" s="2"/>
      <c r="K14" s="2"/>
      <c r="L14" s="2"/>
      <c r="M14" s="2"/>
    </row>
    <row r="15" customFormat="false" ht="15" hidden="false" customHeight="true" outlineLevel="0" collapsed="false">
      <c r="A15" s="2" t="s">
        <v>934</v>
      </c>
      <c r="B15" s="2" t="s">
        <v>935</v>
      </c>
      <c r="C15" s="8" t="n">
        <f aca="false">H7*(1+Inputs!$C$97)</f>
        <v>66.3</v>
      </c>
      <c r="D15" s="2"/>
      <c r="E15" s="8" t="n">
        <f aca="false">H8*(1+Inputs!$C$97)</f>
        <v>79.3</v>
      </c>
      <c r="F15" s="2"/>
      <c r="G15" s="2"/>
      <c r="H15" s="2"/>
      <c r="I15" s="2"/>
      <c r="J15" s="2"/>
      <c r="K15" s="2"/>
      <c r="L15" s="2"/>
      <c r="M15" s="2"/>
    </row>
    <row r="16" customFormat="false" ht="15" hidden="false" customHeight="true" outlineLevel="0" collapsed="false">
      <c r="A16" s="2"/>
      <c r="B16" s="2"/>
      <c r="C16" s="2"/>
      <c r="D16" s="2"/>
      <c r="E16" s="2"/>
      <c r="F16" s="2"/>
      <c r="G16" s="2"/>
      <c r="H16" s="2"/>
      <c r="I16" s="2"/>
      <c r="J16" s="2"/>
      <c r="K16" s="2"/>
      <c r="L16" s="2"/>
      <c r="M16" s="2"/>
    </row>
    <row r="17" customFormat="false" ht="15" hidden="false" customHeight="true" outlineLevel="0" collapsed="false">
      <c r="A17" s="6" t="s">
        <v>936</v>
      </c>
      <c r="B17" s="7"/>
      <c r="C17" s="7"/>
      <c r="D17" s="7"/>
      <c r="E17" s="7"/>
      <c r="F17" s="7"/>
      <c r="G17" s="7"/>
      <c r="H17" s="7"/>
      <c r="I17" s="7"/>
      <c r="J17" s="7"/>
      <c r="K17" s="7"/>
      <c r="L17" s="7"/>
      <c r="M17" s="7"/>
    </row>
    <row r="18" customFormat="false" ht="15" hidden="false" customHeight="true" outlineLevel="0" collapsed="false">
      <c r="A18" s="5" t="s">
        <v>871</v>
      </c>
      <c r="B18" s="5" t="s">
        <v>937</v>
      </c>
      <c r="C18" s="5" t="s">
        <v>938</v>
      </c>
      <c r="D18" s="5" t="s">
        <v>939</v>
      </c>
      <c r="E18" s="5" t="s">
        <v>940</v>
      </c>
      <c r="F18" s="2"/>
      <c r="G18" s="2"/>
      <c r="H18" s="2"/>
      <c r="I18" s="2"/>
      <c r="J18" s="2"/>
      <c r="K18" s="2"/>
      <c r="L18" s="2"/>
      <c r="M18" s="2"/>
    </row>
    <row r="19" customFormat="false" ht="15" hidden="false" customHeight="true" outlineLevel="0" collapsed="false">
      <c r="A19" s="2" t="s">
        <v>941</v>
      </c>
      <c r="B19" s="8" t="n">
        <f aca="false">Inputs!$C$9-Inputs!$C$16</f>
        <v>60</v>
      </c>
      <c r="C19" s="8" t="n">
        <f aca="false">H5-I5-Inputs!$C$93*G5*Inputs!$C$62</f>
        <v>72</v>
      </c>
      <c r="D19" s="9" t="n">
        <f aca="false">IF(C19&lt;=0,0,1-B19/C19)</f>
        <v>0.166666666666667</v>
      </c>
      <c r="E19" s="2" t="str">
        <f aca="false">"Lose fewer than "&amp;TEXT(D19,"0%")&amp;" of these events and profit still goes up."</f>
        <v>Lose fewer than 17% of these events and profit still goes up.</v>
      </c>
      <c r="F19" s="2"/>
      <c r="G19" s="2"/>
      <c r="H19" s="2"/>
      <c r="I19" s="2"/>
      <c r="J19" s="2"/>
      <c r="K19" s="2"/>
      <c r="L19" s="2"/>
      <c r="M19" s="2"/>
    </row>
    <row r="20" customFormat="false" ht="15" hidden="false" customHeight="true" outlineLevel="0" collapsed="false">
      <c r="A20" s="2" t="s">
        <v>942</v>
      </c>
      <c r="B20" s="8" t="n">
        <f aca="false">Inputs!$C$10-Inputs!$C$17</f>
        <v>12</v>
      </c>
      <c r="C20" s="8" t="n">
        <f aca="false">H6-I6-Inputs!$C$94*G6*Inputs!$C$62</f>
        <v>18.25</v>
      </c>
      <c r="D20" s="9" t="n">
        <f aca="false">IF(C20&lt;=0,0,1-B20/C20)</f>
        <v>0.342465753424658</v>
      </c>
      <c r="E20" s="2" t="str">
        <f aca="false">"Lose fewer than "&amp;TEXT(D20,"0%")&amp;" of these events and profit still goes up."</f>
        <v>Lose fewer than 34% of these events and profit still goes up.</v>
      </c>
      <c r="F20" s="2"/>
      <c r="G20" s="2"/>
      <c r="H20" s="2"/>
      <c r="I20" s="2"/>
      <c r="J20" s="2"/>
      <c r="K20" s="2"/>
      <c r="L20" s="2"/>
      <c r="M20" s="2"/>
    </row>
    <row r="21" customFormat="false" ht="15" hidden="false" customHeight="true" outlineLevel="0" collapsed="false">
      <c r="A21" s="2" t="s">
        <v>943</v>
      </c>
      <c r="B21" s="8" t="n">
        <f aca="false">Inputs!$C$11-Inputs!$C$18</f>
        <v>23</v>
      </c>
      <c r="C21" s="8" t="n">
        <f aca="false">H7-I7-Inputs!$C$95*G7*Inputs!$C$62</f>
        <v>36</v>
      </c>
      <c r="D21" s="9" t="n">
        <f aca="false">IF(C21&lt;=0,0,1-B21/C21)</f>
        <v>0.361111111111111</v>
      </c>
      <c r="E21" s="2" t="str">
        <f aca="false">"Lose fewer than "&amp;TEXT(D21,"0%")&amp;" of these events and profit still goes up."</f>
        <v>Lose fewer than 36% of these events and profit still goes up.</v>
      </c>
      <c r="F21" s="2"/>
      <c r="G21" s="2"/>
      <c r="H21" s="2"/>
      <c r="I21" s="2"/>
      <c r="J21" s="2"/>
      <c r="K21" s="2"/>
      <c r="L21" s="2"/>
      <c r="M21" s="2"/>
    </row>
    <row r="22" customFormat="false" ht="15" hidden="false" customHeight="true" outlineLevel="0" collapsed="false">
      <c r="A22" s="2" t="s">
        <v>944</v>
      </c>
      <c r="B22" s="8" t="n">
        <f aca="false">Inputs!$C$11-Inputs!$C$18</f>
        <v>23</v>
      </c>
      <c r="C22" s="8" t="n">
        <f aca="false">H8-I8-Inputs!$C$95*G8*Inputs!$C$62</f>
        <v>46</v>
      </c>
      <c r="D22" s="9" t="n">
        <f aca="false">IF(C22&lt;=0,0,1-B22/C22)</f>
        <v>0.5</v>
      </c>
      <c r="E22" s="2" t="str">
        <f aca="false">"Lose fewer than "&amp;TEXT(D22,"0%")&amp;" of these events and profit still goes up."</f>
        <v>Lose fewer than 50% of these events and profit still goes up.</v>
      </c>
      <c r="F22" s="2"/>
      <c r="G22" s="2"/>
      <c r="H22" s="2"/>
      <c r="I22" s="2"/>
      <c r="J22" s="2"/>
      <c r="K22" s="2"/>
      <c r="L22" s="2"/>
      <c r="M22" s="2"/>
    </row>
    <row r="23" customFormat="false" ht="15" hidden="false" customHeight="true" outlineLevel="0" collapsed="false">
      <c r="A23" s="2"/>
      <c r="B23" s="2"/>
      <c r="C23" s="2"/>
      <c r="D23" s="2"/>
      <c r="E23" s="2"/>
      <c r="F23" s="2"/>
      <c r="G23" s="2"/>
      <c r="H23" s="2"/>
      <c r="I23" s="2"/>
      <c r="J23" s="2"/>
      <c r="K23" s="2"/>
      <c r="L23" s="2"/>
      <c r="M23" s="2"/>
    </row>
    <row r="24" customFormat="false" ht="15" hidden="false" customHeight="true" outlineLevel="0" collapsed="false">
      <c r="A24" s="6" t="s">
        <v>945</v>
      </c>
      <c r="B24" s="7"/>
      <c r="C24" s="7"/>
      <c r="D24" s="7"/>
      <c r="E24" s="7"/>
      <c r="F24" s="7"/>
      <c r="G24" s="7"/>
      <c r="H24" s="7"/>
      <c r="I24" s="7"/>
      <c r="J24" s="7"/>
      <c r="K24" s="7"/>
      <c r="L24" s="7"/>
      <c r="M24" s="7"/>
    </row>
    <row r="25" customFormat="false" ht="15" hidden="false" customHeight="true" outlineLevel="0" collapsed="false">
      <c r="A25" s="2" t="s">
        <v>946</v>
      </c>
      <c r="B25" s="2"/>
      <c r="C25" s="2"/>
      <c r="D25" s="2"/>
      <c r="E25" s="2"/>
      <c r="F25" s="2"/>
      <c r="G25" s="2"/>
      <c r="H25" s="2"/>
      <c r="I25" s="2"/>
      <c r="J25" s="2"/>
      <c r="K25" s="2"/>
      <c r="L25" s="2"/>
      <c r="M25" s="2"/>
    </row>
    <row r="26" customFormat="false" ht="15" hidden="false" customHeight="true" outlineLevel="0" collapsed="false">
      <c r="A26" s="2" t="s">
        <v>947</v>
      </c>
      <c r="B26" s="2"/>
      <c r="C26" s="2"/>
      <c r="D26" s="2"/>
      <c r="E26" s="2"/>
      <c r="F26" s="2"/>
      <c r="G26" s="2"/>
      <c r="H26" s="2"/>
      <c r="I26" s="2"/>
      <c r="J26" s="2"/>
      <c r="K26" s="2"/>
      <c r="L26" s="2"/>
      <c r="M26" s="2"/>
    </row>
    <row r="27" customFormat="false" ht="15" hidden="false" customHeight="true" outlineLevel="0" collapsed="false">
      <c r="A27" s="2" t="s">
        <v>948</v>
      </c>
      <c r="B27" s="2"/>
      <c r="C27" s="2"/>
      <c r="D27" s="2"/>
      <c r="E27" s="2"/>
      <c r="F27" s="2"/>
      <c r="G27" s="2"/>
      <c r="H27" s="2"/>
      <c r="I27" s="2"/>
      <c r="J27" s="2"/>
      <c r="K27" s="2"/>
      <c r="L27" s="2"/>
      <c r="M27" s="2"/>
    </row>
    <row r="28" customFormat="false" ht="15" hidden="false" customHeight="true" outlineLevel="0" collapsed="false">
      <c r="A28" s="2" t="s">
        <v>949</v>
      </c>
      <c r="B28" s="2"/>
      <c r="C28" s="2"/>
      <c r="D28" s="2"/>
      <c r="E28" s="2"/>
      <c r="F28" s="2"/>
      <c r="G28" s="2"/>
      <c r="H28" s="2"/>
      <c r="I28" s="2"/>
      <c r="J28" s="2"/>
      <c r="K28" s="2"/>
      <c r="L28" s="2"/>
      <c r="M28" s="2"/>
    </row>
    <row r="29" customFormat="false" ht="15" hidden="false" customHeight="true" outlineLevel="0" collapsed="false">
      <c r="A29" s="2" t="s">
        <v>950</v>
      </c>
      <c r="B29" s="2"/>
      <c r="C29" s="2"/>
      <c r="D29" s="2"/>
      <c r="E29" s="2"/>
      <c r="F29" s="2"/>
      <c r="G29" s="2"/>
      <c r="H29" s="2"/>
      <c r="I29" s="2"/>
      <c r="J29" s="2"/>
      <c r="K29" s="2"/>
      <c r="L29" s="2"/>
      <c r="M29" s="2"/>
    </row>
    <row r="30" customFormat="false" ht="15" hidden="false" customHeight="true" outlineLevel="0" collapsed="false">
      <c r="A30" s="2" t="s">
        <v>951</v>
      </c>
      <c r="B30" s="2"/>
      <c r="C30" s="2"/>
      <c r="D30" s="2"/>
      <c r="E30" s="2"/>
      <c r="F30" s="2"/>
      <c r="G30" s="2"/>
      <c r="H30" s="2"/>
      <c r="I30" s="2"/>
      <c r="J30" s="2"/>
      <c r="K30" s="2"/>
      <c r="L30" s="2"/>
      <c r="M30" s="2"/>
    </row>
    <row r="31" customFormat="false" ht="15" hidden="false" customHeight="true" outlineLevel="0" collapsed="false">
      <c r="A31" s="2" t="s">
        <v>952</v>
      </c>
      <c r="B31" s="2"/>
      <c r="C31" s="2"/>
      <c r="D31" s="2"/>
      <c r="E31" s="2"/>
      <c r="F31" s="2"/>
      <c r="G31" s="2"/>
      <c r="H31" s="2"/>
      <c r="I31" s="2"/>
      <c r="J31" s="2"/>
      <c r="K31" s="2"/>
      <c r="L31" s="2"/>
      <c r="M31" s="2"/>
    </row>
    <row r="32" customFormat="false" ht="15" hidden="false" customHeight="true" outlineLevel="0" collapsed="false">
      <c r="A32" s="2" t="s">
        <v>953</v>
      </c>
      <c r="B32" s="2"/>
      <c r="C32" s="2"/>
      <c r="D32" s="2"/>
      <c r="E32" s="2"/>
      <c r="F32" s="2"/>
      <c r="G32" s="2"/>
      <c r="H32" s="2"/>
      <c r="I32" s="2"/>
      <c r="J32" s="2"/>
      <c r="K32" s="2"/>
      <c r="L32" s="2"/>
      <c r="M32"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30"/>
    <col collapsed="false" customWidth="true" hidden="false" outlineLevel="0" max="11" min="3" style="0" width="12"/>
    <col collapsed="false" customWidth="true" hidden="false" outlineLevel="0" max="12" min="12" style="0" width="46"/>
  </cols>
  <sheetData>
    <row r="1" customFormat="false" ht="16.15" hidden="false" customHeight="false" outlineLevel="0" collapsed="false">
      <c r="A1" s="33" t="s">
        <v>954</v>
      </c>
    </row>
    <row r="2" customFormat="false" ht="15" hidden="false" customHeight="false" outlineLevel="0" collapsed="false">
      <c r="A2" s="34" t="s">
        <v>955</v>
      </c>
    </row>
    <row r="4" customFormat="false" ht="15" hidden="false" customHeight="false" outlineLevel="0" collapsed="false">
      <c r="A4" s="39" t="s">
        <v>956</v>
      </c>
    </row>
    <row r="5" customFormat="false" ht="15" hidden="false" customHeight="false" outlineLevel="0" collapsed="false">
      <c r="A5" s="37" t="s">
        <v>957</v>
      </c>
      <c r="C5" s="40" t="n">
        <f aca="false">Inputs!$C$146</f>
        <v>0.05</v>
      </c>
    </row>
    <row r="6" customFormat="false" ht="15" hidden="false" customHeight="false" outlineLevel="0" collapsed="false">
      <c r="A6" s="37" t="s">
        <v>958</v>
      </c>
      <c r="C6" s="40" t="n">
        <f aca="false">Inputs!$C$149</f>
        <v>0.3</v>
      </c>
    </row>
    <row r="7" customFormat="false" ht="15" hidden="false" customHeight="false" outlineLevel="0" collapsed="false">
      <c r="A7" s="37" t="s">
        <v>959</v>
      </c>
      <c r="C7" s="38" t="n">
        <f aca="false">Inputs!$C$147</f>
        <v>0.2</v>
      </c>
      <c r="D7" s="38" t="n">
        <f aca="false">Inputs!$C$148</f>
        <v>2</v>
      </c>
    </row>
    <row r="8" customFormat="false" ht="54" hidden="false" customHeight="true" outlineLevel="0" collapsed="false">
      <c r="A8" s="41" t="s">
        <v>871</v>
      </c>
      <c r="B8" s="41" t="s">
        <v>960</v>
      </c>
      <c r="C8" s="41" t="s">
        <v>961</v>
      </c>
      <c r="D8" s="41" t="s">
        <v>962</v>
      </c>
      <c r="E8" s="41" t="s">
        <v>88</v>
      </c>
      <c r="F8" s="41" t="s">
        <v>963</v>
      </c>
      <c r="G8" s="41" t="s">
        <v>964</v>
      </c>
      <c r="H8" s="41" t="s">
        <v>965</v>
      </c>
      <c r="I8" s="41" t="s">
        <v>966</v>
      </c>
      <c r="J8" s="41" t="s">
        <v>967</v>
      </c>
      <c r="K8" s="41" t="s">
        <v>968</v>
      </c>
      <c r="L8" s="41" t="s">
        <v>969</v>
      </c>
    </row>
    <row r="9" customFormat="false" ht="30" hidden="false" customHeight="true" outlineLevel="0" collapsed="false">
      <c r="A9" s="37" t="s">
        <v>970</v>
      </c>
      <c r="B9" s="105" t="s">
        <v>971</v>
      </c>
      <c r="C9" s="38" t="n">
        <f aca="false">Channels!$B$5</f>
        <v>7.5</v>
      </c>
      <c r="D9" s="38" t="n">
        <f aca="false">Inputs!$C$142</f>
        <v>15.525</v>
      </c>
      <c r="E9" s="38" t="n">
        <f aca="false">Inputs!$C$143</f>
        <v>11.98725</v>
      </c>
      <c r="F9" s="38" t="n">
        <f aca="false">2*D9*(1-$C$5)</f>
        <v>29.4975</v>
      </c>
      <c r="G9" s="37" t="str">
        <f aca="false">TEXT((2*D9-F9+$D$7)/(2*D9),"0%")&amp;" (Rp"&amp;TEXT(2*D9-F9+$D$7,"0.0")&amp;"m)"</f>
        <v>11% (Rp3.6m)</v>
      </c>
      <c r="H9" s="38" t="n">
        <f aca="false">D9-E9</f>
        <v>3.53775</v>
      </c>
      <c r="I9" s="38" t="n">
        <f aca="false">F9-2*E9-$C$7</f>
        <v>5.323</v>
      </c>
      <c r="J9" s="40" t="n">
        <f aca="false">IF(H9&lt;=0,0,I9/H9-1)</f>
        <v>0.504628648152073</v>
      </c>
      <c r="K9" s="40" t="n">
        <f aca="false">1-(E9+(1+$C$6)*(D9-E9)/2+$C$7/2)/D9</f>
        <v>0.0733148148148148</v>
      </c>
      <c r="L9" s="105" t="str">
        <f aca="false">IF(K9&lt;0.03,"Price too thin for any discount: raise the list price first",IF($C$5&lt;=K9,"Offer Commit-2: "&amp;TEXT($C$5,"0%")&amp;" off + 2 free penyuluhan, 50% at signing","Cash discount too deep: max "&amp;TEXT(K9,"0%")))</f>
        <v>Offer Commit-2: 5% off + 2 free penyuluhan, 50% at signing</v>
      </c>
    </row>
    <row r="10" customFormat="false" ht="30" hidden="false" customHeight="true" outlineLevel="0" collapsed="false">
      <c r="A10" s="37" t="s">
        <v>972</v>
      </c>
      <c r="B10" s="105" t="s">
        <v>973</v>
      </c>
      <c r="C10" s="106" t="n">
        <v>5</v>
      </c>
      <c r="D10" s="38" t="n">
        <f aca="false">Unit_Economics!$B$5</f>
        <v>28.5</v>
      </c>
      <c r="E10" s="38" t="n">
        <f aca="false">Unit_Economics!$F$5</f>
        <v>10.25</v>
      </c>
      <c r="F10" s="38" t="n">
        <f aca="false">2*D10*(1-$C$5)</f>
        <v>54.15</v>
      </c>
      <c r="G10" s="37" t="str">
        <f aca="false">TEXT((2*D10-F10+$D$7)/(2*D10),"0%")&amp;" (Rp"&amp;TEXT(2*D10-F10+$D$7,"0.0")&amp;"m)"</f>
        <v>9% (Rp4.9m)</v>
      </c>
      <c r="H10" s="38" t="n">
        <f aca="false">D10-E10</f>
        <v>18.25</v>
      </c>
      <c r="I10" s="38" t="n">
        <f aca="false">F10-2*E10-$C$7</f>
        <v>33.45</v>
      </c>
      <c r="J10" s="40" t="n">
        <f aca="false">IF(H10&lt;=0,0,I10/H10-1)</f>
        <v>0.832876712328767</v>
      </c>
      <c r="K10" s="40" t="n">
        <f aca="false">1-(E10+(1+$C$6)*(D10-E10)/2+$C$7/2)/D10</f>
        <v>0.220614035087719</v>
      </c>
      <c r="L10" s="105" t="str">
        <f aca="false">IF(K10&lt;0.03,"Price too thin for any discount: raise the list price first",IF($C$5&lt;=K10,"Offer Commit-2: "&amp;TEXT($C$5,"0%")&amp;" off + 2 free penyuluhan, 50% at signing","Cash discount too deep: max "&amp;TEXT(K10,"0%")))</f>
        <v>Offer Commit-2: 5% off + 2 free penyuluhan, 50% at signing</v>
      </c>
    </row>
    <row r="11" customFormat="false" ht="30" hidden="false" customHeight="true" outlineLevel="0" collapsed="false">
      <c r="A11" s="37" t="s">
        <v>974</v>
      </c>
      <c r="B11" s="105" t="s">
        <v>975</v>
      </c>
      <c r="C11" s="38" t="n">
        <f aca="false">Unit_Economics!$B$6/2</f>
        <v>26.75</v>
      </c>
      <c r="D11" s="38" t="n">
        <f aca="false">Unit_Economics!$B$6</f>
        <v>53.5</v>
      </c>
      <c r="E11" s="38" t="n">
        <f aca="false">Unit_Economics!$F$6</f>
        <v>15</v>
      </c>
      <c r="F11" s="38" t="n">
        <f aca="false">2*D11*(1-$C$5)</f>
        <v>101.65</v>
      </c>
      <c r="G11" s="37" t="str">
        <f aca="false">TEXT((2*D11-F11+$D$7)/(2*D11),"0%")&amp;" (Rp"&amp;TEXT(2*D11-F11+$D$7,"0.0")&amp;"m)"</f>
        <v>7% (Rp7.4m)</v>
      </c>
      <c r="H11" s="38" t="n">
        <f aca="false">D11-E11</f>
        <v>38.5</v>
      </c>
      <c r="I11" s="38" t="n">
        <f aca="false">F11-2*E11-$C$7</f>
        <v>71.45</v>
      </c>
      <c r="J11" s="40" t="n">
        <f aca="false">IF(H11&lt;=0,0,I11/H11-1)</f>
        <v>0.855844155844156</v>
      </c>
      <c r="K11" s="40" t="n">
        <f aca="false">1-(E11+(1+$C$6)*(D11-E11)/2+$C$7/2)/D11</f>
        <v>0.25</v>
      </c>
      <c r="L11" s="105" t="str">
        <f aca="false">IF(K11&lt;0.03,"Price too thin for any discount: raise the list price first",IF($C$5&lt;=K11,"Offer Commit-2: "&amp;TEXT($C$5,"0%")&amp;" off + 2 free penyuluhan, 50% at signing","Cash discount too deep: max "&amp;TEXT(K11,"0%")))</f>
        <v>Offer Commit-2: 5% off + 2 free penyuluhan, 50% at signing</v>
      </c>
    </row>
    <row r="12" customFormat="false" ht="30" hidden="false" customHeight="true" outlineLevel="0" collapsed="false">
      <c r="A12" s="37" t="s">
        <v>976</v>
      </c>
      <c r="B12" s="105" t="s">
        <v>977</v>
      </c>
      <c r="C12" s="38" t="n">
        <f aca="false">Unit_Economics!$B$7*3</f>
        <v>45</v>
      </c>
      <c r="D12" s="38" t="n">
        <f aca="false">Unit_Economics!$B$7*6</f>
        <v>90</v>
      </c>
      <c r="E12" s="38" t="n">
        <f aca="false">Unit_Economics!$C$7*6</f>
        <v>30</v>
      </c>
      <c r="F12" s="38" t="n">
        <f aca="false">2*D12*(1-$C$5)</f>
        <v>171</v>
      </c>
      <c r="G12" s="37" t="str">
        <f aca="false">TEXT((2*D12-F12+$D$7)/(2*D12),"0%")&amp;" (Rp"&amp;TEXT(2*D12-F12+$D$7,"0.0")&amp;"m)"</f>
        <v>6% (Rp11.0m)</v>
      </c>
      <c r="H12" s="38" t="n">
        <f aca="false">D12-E12</f>
        <v>60</v>
      </c>
      <c r="I12" s="38" t="n">
        <f aca="false">F12-2*E12-$C$7</f>
        <v>110.8</v>
      </c>
      <c r="J12" s="40" t="n">
        <f aca="false">IF(H12&lt;=0,0,I12/H12-1)</f>
        <v>0.846666666666667</v>
      </c>
      <c r="K12" s="40" t="n">
        <f aca="false">1-(E12+(1+$C$6)*(D12-E12)/2+$C$7/2)/D12</f>
        <v>0.232222222222222</v>
      </c>
      <c r="L12" s="105" t="str">
        <f aca="false">IF(K12&lt;0.03,"Price too thin for any discount: raise the list price first",IF($C$5&lt;=K12,"Offer Commit-2: "&amp;TEXT($C$5,"0%")&amp;" off + 2 free penyuluhan, 50% at signing","Cash discount too deep: max "&amp;TEXT(K12,"0%")))</f>
        <v>Offer Commit-2: 5% off + 2 free penyuluhan, 50% at signing</v>
      </c>
    </row>
    <row r="13" customFormat="false" ht="30" hidden="false" customHeight="true" outlineLevel="0" collapsed="false">
      <c r="A13" s="37" t="s">
        <v>978</v>
      </c>
      <c r="B13" s="105" t="s">
        <v>979</v>
      </c>
      <c r="C13" s="38" t="n">
        <f aca="false">30*Inputs!$C$155</f>
        <v>9</v>
      </c>
      <c r="D13" s="38" t="n">
        <f aca="false">Inputs!$C$158*Inputs!$C$155</f>
        <v>24</v>
      </c>
      <c r="E13" s="38" t="n">
        <f aca="false">Inputs!$C$158*(Inputs!$C$156+Inputs!$C$157*(Inputs!$C$155-Inputs!$C$156))</f>
        <v>14.8</v>
      </c>
      <c r="F13" s="38" t="n">
        <f aca="false">2*D13*(1-$C$5)</f>
        <v>45.6</v>
      </c>
      <c r="G13" s="37" t="str">
        <f aca="false">TEXT((2*D13-F13+$D$7)/(2*D13),"0%")&amp;" (Rp"&amp;TEXT(2*D13-F13+$D$7,"0.0")&amp;"m)"</f>
        <v>9% (Rp4.4m)</v>
      </c>
      <c r="H13" s="38" t="n">
        <f aca="false">D13-E13</f>
        <v>9.2</v>
      </c>
      <c r="I13" s="38" t="n">
        <f aca="false">F13-2*E13-$C$7</f>
        <v>15.8</v>
      </c>
      <c r="J13" s="40" t="n">
        <f aca="false">IF(H13&lt;=0,0,I13/H13-1)</f>
        <v>0.717391304347826</v>
      </c>
      <c r="K13" s="40" t="n">
        <f aca="false">1-(E13+(1+$C$6)*(D13-E13)/2+$C$7/2)/D13</f>
        <v>0.13</v>
      </c>
      <c r="L13" s="105" t="str">
        <f aca="false">IF(K13&lt;0.03,"Price too thin for any discount: raise the list price first",IF($C$5&lt;=K13,"Offer Commit-2: "&amp;TEXT($C$5,"0%")&amp;" off + 2 free penyuluhan, 50% at signing","Cash discount too deep: max "&amp;TEXT(K13,"0%")))</f>
        <v>Offer Commit-2: 5% off + 2 free penyuluhan, 50% at signing</v>
      </c>
    </row>
    <row r="14" customFormat="false" ht="30" hidden="false" customHeight="true" outlineLevel="0" collapsed="false">
      <c r="A14" s="37" t="s">
        <v>980</v>
      </c>
      <c r="B14" s="105" t="s">
        <v>981</v>
      </c>
      <c r="C14" s="38"/>
      <c r="D14" s="38" t="n">
        <f aca="false">Unit_Economics!$B$4</f>
        <v>100</v>
      </c>
      <c r="E14" s="38" t="n">
        <f aca="false">Unit_Economics!$F$4</f>
        <v>28</v>
      </c>
      <c r="F14" s="38" t="n">
        <f aca="false">2*D14*(1-$C$5)</f>
        <v>190</v>
      </c>
      <c r="G14" s="37" t="str">
        <f aca="false">TEXT((2*D14-F14+$D$7)/(2*D14),"0%")&amp;" (Rp"&amp;TEXT(2*D14-F14+$D$7,"0.0")&amp;"m)"</f>
        <v>6% (Rp12.0m)</v>
      </c>
      <c r="H14" s="38" t="n">
        <f aca="false">D14-E14</f>
        <v>72</v>
      </c>
      <c r="I14" s="38" t="n">
        <f aca="false">F14-2*E14-$C$7</f>
        <v>133.8</v>
      </c>
      <c r="J14" s="40" t="n">
        <f aca="false">IF(H14&lt;=0,0,I14/H14-1)</f>
        <v>0.858333333333333</v>
      </c>
      <c r="K14" s="40" t="n">
        <f aca="false">1-(E14+(1+$C$6)*(D14-E14)/2+$C$7/2)/D14</f>
        <v>0.251</v>
      </c>
      <c r="L14" s="105" t="str">
        <f aca="false">"No Commit discount: BI never lets an old price rise again. Ask a 30% down payment instead."</f>
        <v>No Commit discount: BI never lets an old price rise again. Ask a 30% down payment instead.</v>
      </c>
    </row>
    <row r="17" customFormat="false" ht="15" hidden="false" customHeight="false" outlineLevel="0" collapsed="false">
      <c r="A17" s="36" t="s">
        <v>982</v>
      </c>
    </row>
    <row r="18" customFormat="false" ht="15" hidden="false" customHeight="false" outlineLevel="0" collapsed="false">
      <c r="A18" s="37" t="s">
        <v>983</v>
      </c>
    </row>
    <row r="19" customFormat="false" ht="15" hidden="false" customHeight="false" outlineLevel="0" collapsed="false">
      <c r="A19" s="37" t="s">
        <v>984</v>
      </c>
    </row>
    <row r="20" customFormat="false" ht="15" hidden="false" customHeight="false" outlineLevel="0" collapsed="false">
      <c r="A20" s="37" t="s">
        <v>985</v>
      </c>
    </row>
    <row r="21" customFormat="false" ht="15" hidden="false" customHeight="false" outlineLevel="0" collapsed="false">
      <c r="A21" s="37" t="s">
        <v>986</v>
      </c>
    </row>
    <row r="22" customFormat="false" ht="15" hidden="false" customHeight="false" outlineLevel="0" collapsed="false">
      <c r="A22" s="37" t="s">
        <v>987</v>
      </c>
    </row>
    <row r="23" customFormat="false" ht="15" hidden="false" customHeight="false" outlineLevel="0" collapsed="false">
      <c r="A23" s="37" t="s">
        <v>988</v>
      </c>
    </row>
    <row r="24" customFormat="false" ht="15" hidden="false" customHeight="false" outlineLevel="0" collapsed="false">
      <c r="A24" s="37" t="s">
        <v>989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19" min="3" style="0" width="10.51"/>
  </cols>
  <sheetData>
    <row r="1" customFormat="false" ht="17.25" hidden="false" customHeight="true" outlineLevel="0" collapsed="false">
      <c r="A1" s="1" t="s">
        <v>990</v>
      </c>
      <c r="B1" s="2"/>
      <c r="C1" s="2"/>
      <c r="D1" s="2"/>
      <c r="E1" s="2"/>
      <c r="F1" s="2"/>
      <c r="G1" s="2"/>
      <c r="H1" s="2"/>
      <c r="I1" s="2"/>
      <c r="J1" s="2"/>
      <c r="K1" s="2"/>
      <c r="L1" s="2"/>
      <c r="M1" s="2"/>
      <c r="N1" s="2"/>
      <c r="O1" s="2"/>
      <c r="P1" s="2"/>
      <c r="Q1" s="2"/>
      <c r="R1" s="2"/>
      <c r="S1" s="2"/>
    </row>
    <row r="2" customFormat="false" ht="15" hidden="false" customHeight="true" outlineLevel="0" collapsed="false">
      <c r="A2" s="3" t="s">
        <v>824</v>
      </c>
      <c r="B2" s="2"/>
      <c r="C2" s="2"/>
      <c r="D2" s="2"/>
      <c r="E2" s="2"/>
      <c r="F2" s="2"/>
      <c r="G2" s="2"/>
      <c r="H2" s="2"/>
      <c r="I2" s="2"/>
      <c r="J2" s="2"/>
      <c r="K2" s="2"/>
      <c r="L2" s="2"/>
      <c r="M2" s="2"/>
      <c r="N2" s="2"/>
      <c r="O2" s="2"/>
      <c r="P2" s="2"/>
      <c r="Q2" s="2"/>
      <c r="R2" s="2"/>
      <c r="S2" s="2"/>
    </row>
    <row r="3" customFormat="false" ht="15" hidden="false" customHeight="true" outlineLevel="0" collapsed="false">
      <c r="A3" s="2"/>
      <c r="B3" s="2"/>
      <c r="C3" s="2"/>
      <c r="D3" s="2"/>
      <c r="E3" s="2"/>
      <c r="F3" s="2"/>
      <c r="G3" s="2"/>
      <c r="H3" s="2"/>
      <c r="I3" s="2"/>
      <c r="J3" s="2"/>
      <c r="K3" s="2"/>
      <c r="L3" s="2"/>
      <c r="M3" s="2"/>
      <c r="N3" s="2"/>
      <c r="O3" s="2"/>
      <c r="P3" s="2"/>
      <c r="Q3" s="2"/>
      <c r="R3" s="2"/>
      <c r="S3" s="2"/>
    </row>
    <row r="4" customFormat="false" ht="15" hidden="false" customHeight="true" outlineLevel="0" collapsed="false">
      <c r="A4" s="35" t="s">
        <v>176</v>
      </c>
      <c r="B4" s="35" t="s">
        <v>6</v>
      </c>
      <c r="C4" s="35" t="s">
        <v>177</v>
      </c>
      <c r="D4" s="35" t="s">
        <v>178</v>
      </c>
      <c r="E4" s="35" t="s">
        <v>735</v>
      </c>
      <c r="F4" s="35" t="s">
        <v>825</v>
      </c>
      <c r="G4" s="35" t="s">
        <v>826</v>
      </c>
      <c r="H4" s="35" t="s">
        <v>67</v>
      </c>
      <c r="I4" s="35" t="s">
        <v>66</v>
      </c>
      <c r="J4" s="35" t="s">
        <v>624</v>
      </c>
      <c r="K4" s="35" t="s">
        <v>68</v>
      </c>
      <c r="L4" s="35" t="s">
        <v>827</v>
      </c>
      <c r="M4" s="35" t="s">
        <v>828</v>
      </c>
      <c r="N4" s="35" t="s">
        <v>641</v>
      </c>
      <c r="O4" s="35" t="s">
        <v>829</v>
      </c>
      <c r="P4" s="35" t="s">
        <v>830</v>
      </c>
      <c r="Q4" s="35" t="s">
        <v>651</v>
      </c>
      <c r="R4" s="35" t="s">
        <v>831</v>
      </c>
      <c r="S4" s="35" t="s">
        <v>832</v>
      </c>
    </row>
    <row r="5" customFormat="false" ht="15" hidden="false" customHeight="true" outlineLevel="0" collapsed="false">
      <c r="A5" s="6" t="s">
        <v>991</v>
      </c>
      <c r="B5" s="7"/>
      <c r="C5" s="7"/>
      <c r="D5" s="7"/>
      <c r="E5" s="7"/>
      <c r="F5" s="7"/>
      <c r="G5" s="7"/>
      <c r="H5" s="7"/>
      <c r="I5" s="7"/>
      <c r="J5" s="7"/>
      <c r="K5" s="7"/>
      <c r="L5" s="7"/>
      <c r="M5" s="7"/>
      <c r="N5" s="7"/>
      <c r="O5" s="7"/>
      <c r="P5" s="7"/>
      <c r="Q5" s="7"/>
      <c r="R5" s="7"/>
      <c r="S5" s="7"/>
    </row>
    <row r="6" customFormat="false" ht="15" hidden="false" customHeight="true" outlineLevel="0" collapsed="false">
      <c r="A6" s="51" t="s">
        <v>992</v>
      </c>
      <c r="B6" s="3" t="s">
        <v>993</v>
      </c>
      <c r="C6" s="99" t="n">
        <f aca="false">SUM(E6:G6)</f>
        <v>2</v>
      </c>
      <c r="D6" s="99" t="n">
        <f aca="false">SUM(H6:S6)</f>
        <v>84.58</v>
      </c>
      <c r="E6" s="8" t="n">
        <f aca="false">Volume!E23*Inputs!$C$26+Volume!E24*Inputs!$C$27+Volume!E25*Inputs!$C$28+Volume!E27*Inputs!$C$29+(Volume!E44+Volume!E45+Volume!E46)*Inputs!$C$27</f>
        <v>2</v>
      </c>
      <c r="F6" s="8" t="n">
        <f aca="false">Volume!F23*Inputs!$C$26+Volume!F24*Inputs!$C$27+Volume!F25*Inputs!$C$28+Volume!F27*Inputs!$C$29+(Volume!F44+Volume!F45+Volume!F46)*Inputs!$C$27</f>
        <v>0</v>
      </c>
      <c r="G6" s="8" t="n">
        <f aca="false">Volume!G23*Inputs!$C$26+Volume!G24*Inputs!$C$27+Volume!G25*Inputs!$C$28+Volume!G27*Inputs!$C$29+(Volume!G44+Volume!G45+Volume!G46)*Inputs!$C$27</f>
        <v>0</v>
      </c>
      <c r="H6" s="8" t="n">
        <f aca="false">Volume!H23*Inputs!$C$26+Volume!H24*Inputs!$C$27+Volume!H25*Inputs!$C$28+Volume!H27*Inputs!$C$29+(Volume!H44+Volume!H45+Volume!H46)*Inputs!$C$27</f>
        <v>0</v>
      </c>
      <c r="I6" s="8" t="n">
        <f aca="false">Volume!I23*Inputs!$C$26+Volume!I24*Inputs!$C$27+Volume!I25*Inputs!$C$28+Volume!I27*Inputs!$C$29+(Volume!I44+Volume!I45+Volume!I46)*Inputs!$C$27</f>
        <v>2</v>
      </c>
      <c r="J6" s="8" t="n">
        <f aca="false">Volume!J23*Inputs!$C$26+Volume!J24*Inputs!$C$27+Volume!J25*Inputs!$C$28+Volume!J27*Inputs!$C$29+(Volume!J44+Volume!J45+Volume!J46)*Inputs!$C$27</f>
        <v>6</v>
      </c>
      <c r="K6" s="8" t="n">
        <f aca="false">Volume!K23*Inputs!$C$26+Volume!K24*Inputs!$C$27+Volume!K25*Inputs!$C$28+Volume!K27*Inputs!$C$29+(Volume!K44+Volume!K45+Volume!K46)*Inputs!$C$27</f>
        <v>2</v>
      </c>
      <c r="L6" s="8" t="n">
        <f aca="false">Volume!L23*Inputs!$C$26+Volume!L24*Inputs!$C$27+Volume!L25*Inputs!$C$28+Volume!L27*Inputs!$C$29+(Volume!L44+Volume!L45+Volume!L46)*Inputs!$C$27</f>
        <v>7</v>
      </c>
      <c r="M6" s="8" t="n">
        <f aca="false">Volume!M23*Inputs!$C$26+Volume!M24*Inputs!$C$27+Volume!M25*Inputs!$C$28+Volume!M27*Inputs!$C$29+(Volume!M44+Volume!M45+Volume!M46)*Inputs!$C$27</f>
        <v>2.5</v>
      </c>
      <c r="N6" s="8" t="n">
        <f aca="false">Volume!N23*Inputs!$C$26+Volume!N24*Inputs!$C$27+Volume!N25*Inputs!$C$28+Volume!N27*Inputs!$C$29+(Volume!N44+Volume!N45+Volume!N46)*Inputs!$C$27</f>
        <v>9.18</v>
      </c>
      <c r="O6" s="8" t="n">
        <f aca="false">Volume!O23*Inputs!$C$26+Volume!O24*Inputs!$C$27+Volume!O25*Inputs!$C$28+Volume!O27*Inputs!$C$29+(Volume!O44+Volume!O45+Volume!O46)*Inputs!$C$27</f>
        <v>3.18</v>
      </c>
      <c r="P6" s="8" t="n">
        <f aca="false">Volume!P23*Inputs!$C$26+Volume!P24*Inputs!$C$27+Volume!P25*Inputs!$C$28+Volume!P27*Inputs!$C$29+(Volume!P44+Volume!P45+Volume!P46)*Inputs!$C$27</f>
        <v>8.68</v>
      </c>
      <c r="Q6" s="8" t="n">
        <f aca="false">Volume!Q23*Inputs!$C$26+Volume!Q24*Inputs!$C$27+Volume!Q25*Inputs!$C$28+Volume!Q27*Inputs!$C$29+(Volume!Q44+Volume!Q45+Volume!Q46)*Inputs!$C$27</f>
        <v>11.68</v>
      </c>
      <c r="R6" s="8" t="n">
        <f aca="false">Volume!R23*Inputs!$C$26+Volume!R24*Inputs!$C$27+Volume!R25*Inputs!$C$28+Volume!R27*Inputs!$C$29+(Volume!R44+Volume!R45+Volume!R46)*Inputs!$C$27</f>
        <v>17.18</v>
      </c>
      <c r="S6" s="8" t="n">
        <f aca="false">Volume!S23*Inputs!$C$26+Volume!S24*Inputs!$C$27+Volume!S25*Inputs!$C$28+Volume!S27*Inputs!$C$29+(Volume!S44+Volume!S45+Volume!S46)*Inputs!$C$27</f>
        <v>15.18</v>
      </c>
    </row>
    <row r="7" customFormat="false" ht="15" hidden="false" customHeight="true" outlineLevel="0" collapsed="false">
      <c r="A7" s="51" t="s">
        <v>994</v>
      </c>
      <c r="B7" s="3" t="s">
        <v>434</v>
      </c>
      <c r="C7" s="99" t="n">
        <f aca="false">SUM(E7:G7)</f>
        <v>2</v>
      </c>
      <c r="D7" s="99" t="n">
        <f aca="false">SUM(H7:S7)</f>
        <v>124.58</v>
      </c>
      <c r="E7" s="8" t="n">
        <f aca="false">Volume!E23*Inputs!$C$26*Inputs!$C$30+Volume!E24*Inputs!$C$27*Inputs!$C$31+Volume!E25*Inputs!$C$28*Inputs!$C$32+Volume!E27*Inputs!$C$29*Inputs!$C$33+(Volume!E44+Volume!E45+Volume!E46)*Inputs!$C$27*Inputs!$C$31</f>
        <v>2</v>
      </c>
      <c r="F7" s="8" t="n">
        <f aca="false">Volume!F23*Inputs!$C$26*Inputs!$C$30+Volume!F24*Inputs!$C$27*Inputs!$C$31+Volume!F25*Inputs!$C$28*Inputs!$C$32+Volume!F27*Inputs!$C$29*Inputs!$C$33+(Volume!F44+Volume!F45+Volume!F46)*Inputs!$C$27*Inputs!$C$31</f>
        <v>0</v>
      </c>
      <c r="G7" s="8" t="n">
        <f aca="false">Volume!G23*Inputs!$C$26*Inputs!$C$30+Volume!G24*Inputs!$C$27*Inputs!$C$31+Volume!G25*Inputs!$C$28*Inputs!$C$32+Volume!G27*Inputs!$C$29*Inputs!$C$33+(Volume!G44+Volume!G45+Volume!G46)*Inputs!$C$27*Inputs!$C$31</f>
        <v>0</v>
      </c>
      <c r="H7" s="8" t="n">
        <f aca="false">Volume!H23*Inputs!$C$26*Inputs!$C$30+Volume!H24*Inputs!$C$27*Inputs!$C$31+Volume!H25*Inputs!$C$28*Inputs!$C$32+Volume!H27*Inputs!$C$29*Inputs!$C$33+(Volume!H44+Volume!H45+Volume!H46)*Inputs!$C$27*Inputs!$C$31</f>
        <v>0</v>
      </c>
      <c r="I7" s="8" t="n">
        <f aca="false">Volume!I23*Inputs!$C$26*Inputs!$C$30+Volume!I24*Inputs!$C$27*Inputs!$C$31+Volume!I25*Inputs!$C$28*Inputs!$C$32+Volume!I27*Inputs!$C$29*Inputs!$C$33+(Volume!I44+Volume!I45+Volume!I46)*Inputs!$C$27*Inputs!$C$31</f>
        <v>2</v>
      </c>
      <c r="J7" s="8" t="n">
        <f aca="false">Volume!J23*Inputs!$C$26*Inputs!$C$30+Volume!J24*Inputs!$C$27*Inputs!$C$31+Volume!J25*Inputs!$C$28*Inputs!$C$32+Volume!J27*Inputs!$C$29*Inputs!$C$33+(Volume!J44+Volume!J45+Volume!J46)*Inputs!$C$27*Inputs!$C$31</f>
        <v>14</v>
      </c>
      <c r="K7" s="8" t="n">
        <f aca="false">Volume!K23*Inputs!$C$26*Inputs!$C$30+Volume!K24*Inputs!$C$27*Inputs!$C$31+Volume!K25*Inputs!$C$28*Inputs!$C$32+Volume!K27*Inputs!$C$29*Inputs!$C$33+(Volume!K44+Volume!K45+Volume!K46)*Inputs!$C$27*Inputs!$C$31</f>
        <v>2</v>
      </c>
      <c r="L7" s="8" t="n">
        <f aca="false">Volume!L23*Inputs!$C$26*Inputs!$C$30+Volume!L24*Inputs!$C$27*Inputs!$C$31+Volume!L25*Inputs!$C$28*Inputs!$C$32+Volume!L27*Inputs!$C$29*Inputs!$C$33+(Volume!L44+Volume!L45+Volume!L46)*Inputs!$C$27*Inputs!$C$31</f>
        <v>15</v>
      </c>
      <c r="M7" s="8" t="n">
        <f aca="false">Volume!M23*Inputs!$C$26*Inputs!$C$30+Volume!M24*Inputs!$C$27*Inputs!$C$31+Volume!M25*Inputs!$C$28*Inputs!$C$32+Volume!M27*Inputs!$C$29*Inputs!$C$33+(Volume!M44+Volume!M45+Volume!M46)*Inputs!$C$27*Inputs!$C$31</f>
        <v>2.5</v>
      </c>
      <c r="N7" s="8" t="n">
        <f aca="false">Volume!N23*Inputs!$C$26*Inputs!$C$30+Volume!N24*Inputs!$C$27*Inputs!$C$31+Volume!N25*Inputs!$C$28*Inputs!$C$32+Volume!N27*Inputs!$C$29*Inputs!$C$33+(Volume!N44+Volume!N45+Volume!N46)*Inputs!$C$27*Inputs!$C$31</f>
        <v>17.18</v>
      </c>
      <c r="O7" s="8" t="n">
        <f aca="false">Volume!O23*Inputs!$C$26*Inputs!$C$30+Volume!O24*Inputs!$C$27*Inputs!$C$31+Volume!O25*Inputs!$C$28*Inputs!$C$32+Volume!O27*Inputs!$C$29*Inputs!$C$33+(Volume!O44+Volume!O45+Volume!O46)*Inputs!$C$27*Inputs!$C$31</f>
        <v>3.18</v>
      </c>
      <c r="P7" s="8" t="n">
        <f aca="false">Volume!P23*Inputs!$C$26*Inputs!$C$30+Volume!P24*Inputs!$C$27*Inputs!$C$31+Volume!P25*Inputs!$C$28*Inputs!$C$32+Volume!P27*Inputs!$C$29*Inputs!$C$33+(Volume!P44+Volume!P45+Volume!P46)*Inputs!$C$27*Inputs!$C$31</f>
        <v>16.68</v>
      </c>
      <c r="Q7" s="8" t="n">
        <f aca="false">Volume!Q23*Inputs!$C$26*Inputs!$C$30+Volume!Q24*Inputs!$C$27*Inputs!$C$31+Volume!Q25*Inputs!$C$28*Inputs!$C$32+Volume!Q27*Inputs!$C$29*Inputs!$C$33+(Volume!Q44+Volume!Q45+Volume!Q46)*Inputs!$C$27*Inputs!$C$31</f>
        <v>11.68</v>
      </c>
      <c r="R7" s="8" t="n">
        <f aca="false">Volume!R23*Inputs!$C$26*Inputs!$C$30+Volume!R24*Inputs!$C$27*Inputs!$C$31+Volume!R25*Inputs!$C$28*Inputs!$C$32+Volume!R27*Inputs!$C$29*Inputs!$C$33+(Volume!R44+Volume!R45+Volume!R46)*Inputs!$C$27*Inputs!$C$31</f>
        <v>25.18</v>
      </c>
      <c r="S7" s="8" t="n">
        <f aca="false">Volume!S23*Inputs!$C$26*Inputs!$C$30+Volume!S24*Inputs!$C$27*Inputs!$C$31+Volume!S25*Inputs!$C$28*Inputs!$C$32+Volume!S27*Inputs!$C$29*Inputs!$C$33+(Volume!S44+Volume!S45+Volume!S46)*Inputs!$C$27*Inputs!$C$31</f>
        <v>15.18</v>
      </c>
    </row>
    <row r="8" customFormat="false" ht="15" hidden="false" customHeight="true" outlineLevel="0" collapsed="false">
      <c r="A8" s="51" t="s">
        <v>995</v>
      </c>
      <c r="B8" s="3" t="s">
        <v>43</v>
      </c>
      <c r="C8" s="92" t="n">
        <f aca="false">MAX(E8:G8)</f>
        <v>1</v>
      </c>
      <c r="D8" s="92" t="n">
        <f aca="false">MAX(H8:S8)</f>
        <v>9</v>
      </c>
      <c r="E8" s="10" t="n">
        <f aca="false">ROUNDUP(E6/Inputs!$C$34,0)</f>
        <v>1</v>
      </c>
      <c r="F8" s="10" t="n">
        <f aca="false">ROUNDUP(F6/Inputs!$C$34,0)</f>
        <v>0</v>
      </c>
      <c r="G8" s="10" t="n">
        <f aca="false">ROUNDUP(G6/Inputs!$C$34,0)</f>
        <v>0</v>
      </c>
      <c r="H8" s="10" t="n">
        <f aca="false">ROUNDUP(H6/Inputs!$C$34,0)</f>
        <v>0</v>
      </c>
      <c r="I8" s="10" t="n">
        <f aca="false">ROUNDUP(I6/Inputs!$C$34,0)</f>
        <v>1</v>
      </c>
      <c r="J8" s="10" t="n">
        <f aca="false">ROUNDUP(J6/Inputs!$C$34,0)</f>
        <v>3</v>
      </c>
      <c r="K8" s="10" t="n">
        <f aca="false">ROUNDUP(K6/Inputs!$C$34,0)</f>
        <v>1</v>
      </c>
      <c r="L8" s="10" t="n">
        <f aca="false">ROUNDUP(L6/Inputs!$C$34,0)</f>
        <v>4</v>
      </c>
      <c r="M8" s="10" t="n">
        <f aca="false">ROUNDUP(M6/Inputs!$C$34,0)</f>
        <v>2</v>
      </c>
      <c r="N8" s="10" t="n">
        <f aca="false">ROUNDUP(N6/Inputs!$C$34,0)</f>
        <v>5</v>
      </c>
      <c r="O8" s="10" t="n">
        <f aca="false">ROUNDUP(O6/Inputs!$C$34,0)</f>
        <v>2</v>
      </c>
      <c r="P8" s="10" t="n">
        <f aca="false">ROUNDUP(P6/Inputs!$C$34,0)</f>
        <v>5</v>
      </c>
      <c r="Q8" s="10" t="n">
        <f aca="false">ROUNDUP(Q6/Inputs!$C$34,0)</f>
        <v>6</v>
      </c>
      <c r="R8" s="10" t="n">
        <f aca="false">ROUNDUP(R6/Inputs!$C$34,0)</f>
        <v>9</v>
      </c>
      <c r="S8" s="10" t="n">
        <f aca="false">ROUNDUP(S6/Inputs!$C$34,0)</f>
        <v>8</v>
      </c>
    </row>
    <row r="9" customFormat="false" ht="15" hidden="false" customHeight="true" outlineLevel="0" collapsed="false">
      <c r="A9" s="51" t="s">
        <v>996</v>
      </c>
      <c r="B9" s="3" t="s">
        <v>43</v>
      </c>
      <c r="C9" s="92" t="n">
        <f aca="false">G9</f>
        <v>2</v>
      </c>
      <c r="D9" s="92" t="n">
        <f aca="false">S9</f>
        <v>9</v>
      </c>
      <c r="E9" s="10" t="n">
        <f aca="false">MAX(Inputs!$C$35,E8)</f>
        <v>2</v>
      </c>
      <c r="F9" s="10" t="n">
        <f aca="false">MAX(E9,F8)</f>
        <v>2</v>
      </c>
      <c r="G9" s="10" t="n">
        <f aca="false">MAX(F9,G8)</f>
        <v>2</v>
      </c>
      <c r="H9" s="10" t="n">
        <f aca="false">MAX(G9,H8)</f>
        <v>2</v>
      </c>
      <c r="I9" s="10" t="n">
        <f aca="false">MAX(H9,I8)</f>
        <v>2</v>
      </c>
      <c r="J9" s="10" t="n">
        <f aca="false">MAX(I9,J8)</f>
        <v>3</v>
      </c>
      <c r="K9" s="10" t="n">
        <f aca="false">MAX(J9,K8)</f>
        <v>3</v>
      </c>
      <c r="L9" s="10" t="n">
        <f aca="false">MAX(K9,L8)</f>
        <v>4</v>
      </c>
      <c r="M9" s="10" t="n">
        <f aca="false">MAX(L9,M8)</f>
        <v>4</v>
      </c>
      <c r="N9" s="10" t="n">
        <f aca="false">MAX(M9,N8)</f>
        <v>5</v>
      </c>
      <c r="O9" s="10" t="n">
        <f aca="false">MAX(N9,O8)</f>
        <v>5</v>
      </c>
      <c r="P9" s="10" t="n">
        <f aca="false">MAX(O9,P8)</f>
        <v>5</v>
      </c>
      <c r="Q9" s="10" t="n">
        <f aca="false">MAX(P9,Q8)</f>
        <v>6</v>
      </c>
      <c r="R9" s="10" t="n">
        <f aca="false">MAX(Q9,R8)</f>
        <v>9</v>
      </c>
      <c r="S9" s="10" t="n">
        <f aca="false">MAX(R9,S8)</f>
        <v>9</v>
      </c>
    </row>
    <row r="10" customFormat="false" ht="15" hidden="false" customHeight="true" outlineLevel="0" collapsed="false">
      <c r="A10" s="51" t="s">
        <v>997</v>
      </c>
      <c r="B10" s="3" t="s">
        <v>43</v>
      </c>
      <c r="C10" s="92" t="n">
        <f aca="false">SUM(E10:G10)</f>
        <v>0</v>
      </c>
      <c r="D10" s="92" t="n">
        <f aca="false">SUM(H10:S10)</f>
        <v>7</v>
      </c>
      <c r="E10" s="10" t="n">
        <f aca="false">E9-Inputs!$C$35</f>
        <v>0</v>
      </c>
      <c r="F10" s="10" t="n">
        <f aca="false">F9-E9</f>
        <v>0</v>
      </c>
      <c r="G10" s="10" t="n">
        <f aca="false">G9-F9</f>
        <v>0</v>
      </c>
      <c r="H10" s="10" t="n">
        <f aca="false">H9-G9</f>
        <v>0</v>
      </c>
      <c r="I10" s="10" t="n">
        <f aca="false">I9-H9</f>
        <v>0</v>
      </c>
      <c r="J10" s="10" t="n">
        <f aca="false">J9-I9</f>
        <v>1</v>
      </c>
      <c r="K10" s="10" t="n">
        <f aca="false">K9-J9</f>
        <v>0</v>
      </c>
      <c r="L10" s="10" t="n">
        <f aca="false">L9-K9</f>
        <v>1</v>
      </c>
      <c r="M10" s="10" t="n">
        <f aca="false">M9-L9</f>
        <v>0</v>
      </c>
      <c r="N10" s="10" t="n">
        <f aca="false">N9-M9</f>
        <v>1</v>
      </c>
      <c r="O10" s="10" t="n">
        <f aca="false">O9-N9</f>
        <v>0</v>
      </c>
      <c r="P10" s="10" t="n">
        <f aca="false">P9-O9</f>
        <v>0</v>
      </c>
      <c r="Q10" s="10" t="n">
        <f aca="false">Q9-P9</f>
        <v>1</v>
      </c>
      <c r="R10" s="10" t="n">
        <f aca="false">R9-Q9</f>
        <v>3</v>
      </c>
      <c r="S10" s="10" t="n">
        <f aca="false">S9-R9</f>
        <v>0</v>
      </c>
    </row>
    <row r="11" customFormat="false" ht="15" hidden="false" customHeight="true" outlineLevel="0" collapsed="false">
      <c r="A11" s="51" t="s">
        <v>998</v>
      </c>
      <c r="B11" s="3" t="s">
        <v>43</v>
      </c>
      <c r="C11" s="92" t="n">
        <f aca="false">MIN(E11:G11)</f>
        <v>10</v>
      </c>
      <c r="D11" s="92" t="n">
        <f aca="false">MIN(H11:S11)</f>
        <v>2</v>
      </c>
      <c r="E11" s="10" t="n">
        <f aca="false">Inputs!$C$36-E8</f>
        <v>10</v>
      </c>
      <c r="F11" s="10" t="n">
        <f aca="false">Inputs!$C$36-F8</f>
        <v>11</v>
      </c>
      <c r="G11" s="10" t="n">
        <f aca="false">Inputs!$C$36-G8</f>
        <v>11</v>
      </c>
      <c r="H11" s="10" t="n">
        <f aca="false">Inputs!$C$36-H8</f>
        <v>11</v>
      </c>
      <c r="I11" s="10" t="n">
        <f aca="false">Inputs!$C$36-I8</f>
        <v>10</v>
      </c>
      <c r="J11" s="10" t="n">
        <f aca="false">Inputs!$C$36-J8</f>
        <v>8</v>
      </c>
      <c r="K11" s="10" t="n">
        <f aca="false">Inputs!$C$36-K8</f>
        <v>10</v>
      </c>
      <c r="L11" s="10" t="n">
        <f aca="false">Inputs!$C$36-L8</f>
        <v>7</v>
      </c>
      <c r="M11" s="10" t="n">
        <f aca="false">Inputs!$C$36-M8</f>
        <v>9</v>
      </c>
      <c r="N11" s="10" t="n">
        <f aca="false">Inputs!$C$36-N8</f>
        <v>6</v>
      </c>
      <c r="O11" s="10" t="n">
        <f aca="false">Inputs!$C$36-O8</f>
        <v>9</v>
      </c>
      <c r="P11" s="10" t="n">
        <f aca="false">Inputs!$C$36-P8</f>
        <v>6</v>
      </c>
      <c r="Q11" s="10" t="n">
        <f aca="false">Inputs!$C$36-Q8</f>
        <v>5</v>
      </c>
      <c r="R11" s="10" t="n">
        <f aca="false">Inputs!$C$36-R8</f>
        <v>2</v>
      </c>
      <c r="S11" s="10" t="n">
        <f aca="false">Inputs!$C$36-S8</f>
        <v>3</v>
      </c>
    </row>
    <row r="12" customFormat="false" ht="15" hidden="false" customHeight="true" outlineLevel="0" collapsed="false">
      <c r="A12" s="2"/>
      <c r="B12" s="2"/>
      <c r="C12" s="2"/>
      <c r="D12" s="2"/>
      <c r="E12" s="2"/>
      <c r="F12" s="2"/>
      <c r="G12" s="2"/>
      <c r="H12" s="2"/>
      <c r="I12" s="2"/>
      <c r="J12" s="2"/>
      <c r="K12" s="2"/>
      <c r="L12" s="2"/>
      <c r="M12" s="2"/>
      <c r="N12" s="2"/>
      <c r="O12" s="2"/>
      <c r="P12" s="2"/>
      <c r="Q12" s="2"/>
      <c r="R12" s="2"/>
      <c r="S12" s="2"/>
    </row>
    <row r="13" customFormat="false" ht="15" hidden="false" customHeight="true" outlineLevel="0" collapsed="false">
      <c r="A13" s="6" t="s">
        <v>999</v>
      </c>
      <c r="B13" s="7"/>
      <c r="C13" s="7"/>
      <c r="D13" s="7"/>
      <c r="E13" s="7"/>
      <c r="F13" s="7"/>
      <c r="G13" s="7"/>
      <c r="H13" s="7"/>
      <c r="I13" s="7"/>
      <c r="J13" s="7"/>
      <c r="K13" s="7"/>
      <c r="L13" s="7"/>
      <c r="M13" s="7"/>
      <c r="N13" s="7"/>
      <c r="O13" s="7"/>
      <c r="P13" s="7"/>
      <c r="Q13" s="7"/>
      <c r="R13" s="7"/>
      <c r="S13" s="7"/>
    </row>
    <row r="14" customFormat="false" ht="15" hidden="false" customHeight="true" outlineLevel="0" collapsed="false">
      <c r="A14" s="51" t="s">
        <v>1000</v>
      </c>
      <c r="B14" s="3" t="s">
        <v>26</v>
      </c>
      <c r="C14" s="99" t="n">
        <f aca="false">MAX(E14:G14)</f>
        <v>0</v>
      </c>
      <c r="D14" s="99" t="n">
        <f aca="false">MAX(H14:S14)</f>
        <v>5.33333333333333</v>
      </c>
      <c r="E14" s="8" t="n">
        <f aca="false">AVERAGE(Volume!E29:E29)</f>
        <v>0</v>
      </c>
      <c r="F14" s="8" t="n">
        <f aca="false">AVERAGE(Volume!E29:F29)</f>
        <v>0</v>
      </c>
      <c r="G14" s="8" t="n">
        <f aca="false">AVERAGE(Volume!E29:G29)</f>
        <v>0</v>
      </c>
      <c r="H14" s="8" t="n">
        <f aca="false">AVERAGE(Volume!F29:H29)</f>
        <v>0</v>
      </c>
      <c r="I14" s="8" t="n">
        <f aca="false">AVERAGE(Volume!G29:I29)</f>
        <v>0</v>
      </c>
      <c r="J14" s="8" t="n">
        <f aca="false">AVERAGE(Volume!H29:J29)</f>
        <v>0.666666666666667</v>
      </c>
      <c r="K14" s="8" t="n">
        <f aca="false">AVERAGE(Volume!I29:K29)</f>
        <v>1</v>
      </c>
      <c r="L14" s="8" t="n">
        <f aca="false">AVERAGE(Volume!J29:L29)</f>
        <v>1.66666666666667</v>
      </c>
      <c r="M14" s="8" t="n">
        <f aca="false">AVERAGE(Volume!K29:M29)</f>
        <v>1.33333333333333</v>
      </c>
      <c r="N14" s="8" t="n">
        <f aca="false">AVERAGE(Volume!L29:N29)</f>
        <v>2</v>
      </c>
      <c r="O14" s="8" t="n">
        <f aca="false">AVERAGE(Volume!M29:O29)</f>
        <v>1.66666666666667</v>
      </c>
      <c r="P14" s="8" t="n">
        <f aca="false">AVERAGE(Volume!N29:P29)</f>
        <v>2.33333333333333</v>
      </c>
      <c r="Q14" s="8" t="n">
        <f aca="false">AVERAGE(Volume!O29:Q29)</f>
        <v>2.66666666666667</v>
      </c>
      <c r="R14" s="8" t="n">
        <f aca="false">AVERAGE(Volume!P29:R29)</f>
        <v>4.33333333333333</v>
      </c>
      <c r="S14" s="8" t="n">
        <f aca="false">AVERAGE(Volume!Q29:S29)</f>
        <v>5.33333333333333</v>
      </c>
    </row>
    <row r="15" customFormat="false" ht="15" hidden="false" customHeight="true" outlineLevel="0" collapsed="false">
      <c r="A15" s="51" t="s">
        <v>1001</v>
      </c>
      <c r="B15" s="3" t="s">
        <v>278</v>
      </c>
      <c r="C15" s="92" t="n">
        <f aca="false">G15</f>
        <v>0</v>
      </c>
      <c r="D15" s="92" t="n">
        <f aca="false">S15</f>
        <v>1</v>
      </c>
      <c r="E15" s="10" t="n">
        <f aca="false">0</f>
        <v>0</v>
      </c>
      <c r="F15" s="10" t="n">
        <f aca="false">IF(OR(E15=1,E14&gt;=Inputs!$C$57),1,0)</f>
        <v>0</v>
      </c>
      <c r="G15" s="10" t="n">
        <f aca="false">IF(OR(F15=1,F14&gt;=Inputs!$C$57),1,0)</f>
        <v>0</v>
      </c>
      <c r="H15" s="10" t="n">
        <f aca="false">IF(OR(G15=1,G14&gt;=Inputs!$C$57),1,0)</f>
        <v>0</v>
      </c>
      <c r="I15" s="10" t="n">
        <f aca="false">IF(OR(H15=1,H14&gt;=Inputs!$C$57),1,0)</f>
        <v>0</v>
      </c>
      <c r="J15" s="10" t="n">
        <f aca="false">IF(OR(I15=1,I14&gt;=Inputs!$C$57),1,0)</f>
        <v>0</v>
      </c>
      <c r="K15" s="10" t="n">
        <f aca="false">IF(OR(J15=1,J14&gt;=Inputs!$C$57),1,0)</f>
        <v>0</v>
      </c>
      <c r="L15" s="10" t="n">
        <f aca="false">IF(OR(K15=1,K14&gt;=Inputs!$C$57),1,0)</f>
        <v>0</v>
      </c>
      <c r="M15" s="10" t="n">
        <f aca="false">IF(OR(L15=1,L14&gt;=Inputs!$C$57),1,0)</f>
        <v>0</v>
      </c>
      <c r="N15" s="10" t="n">
        <f aca="false">IF(OR(M15=1,M14&gt;=Inputs!$C$57),1,0)</f>
        <v>0</v>
      </c>
      <c r="O15" s="10" t="n">
        <f aca="false">IF(OR(N15=1,N14&gt;=Inputs!$C$57),1,0)</f>
        <v>0</v>
      </c>
      <c r="P15" s="10" t="n">
        <f aca="false">IF(OR(O15=1,O14&gt;=Inputs!$C$57),1,0)</f>
        <v>0</v>
      </c>
      <c r="Q15" s="10" t="n">
        <f aca="false">IF(OR(P15=1,P14&gt;=Inputs!$C$57),1,0)</f>
        <v>0</v>
      </c>
      <c r="R15" s="10" t="n">
        <f aca="false">IF(OR(Q15=1,Q14&gt;=Inputs!$C$57),1,0)</f>
        <v>0</v>
      </c>
      <c r="S15" s="10" t="n">
        <f aca="false">IF(OR(R15=1,R14&gt;=Inputs!$C$57),1,0)</f>
        <v>1</v>
      </c>
    </row>
    <row r="16" customFormat="false" ht="15" hidden="false" customHeight="true" outlineLevel="0" collapsed="false">
      <c r="A16" s="51" t="s">
        <v>1002</v>
      </c>
      <c r="B16" s="3" t="s">
        <v>278</v>
      </c>
      <c r="C16" s="92" t="n">
        <f aca="false">G16</f>
        <v>0</v>
      </c>
      <c r="D16" s="92" t="n">
        <f aca="false">S16</f>
        <v>0</v>
      </c>
      <c r="E16" s="10" t="n">
        <f aca="false">IF(AND(Inputs!$C$52=1,Volume!E6&gt;=IFERROR(MATCH(Inputs!$C$54,Volume!$E$4:$S$4,0),99)),1,0)</f>
        <v>0</v>
      </c>
      <c r="F16" s="10" t="n">
        <f aca="false">IF(AND(Inputs!$C$52=1,Volume!F6&gt;=IFERROR(MATCH(Inputs!$C$54,Volume!$E$4:$S$4,0),99)),1,0)</f>
        <v>0</v>
      </c>
      <c r="G16" s="10" t="n">
        <f aca="false">IF(AND(Inputs!$C$52=1,Volume!G6&gt;=IFERROR(MATCH(Inputs!$C$54,Volume!$E$4:$S$4,0),99)),1,0)</f>
        <v>0</v>
      </c>
      <c r="H16" s="10" t="n">
        <f aca="false">IF(AND(Inputs!$C$52=1,Volume!H6&gt;=IFERROR(MATCH(Inputs!$C$54,Volume!$E$4:$S$4,0),99)),1,0)</f>
        <v>0</v>
      </c>
      <c r="I16" s="10" t="n">
        <f aca="false">IF(AND(Inputs!$C$52=1,Volume!I6&gt;=IFERROR(MATCH(Inputs!$C$54,Volume!$E$4:$S$4,0),99)),1,0)</f>
        <v>0</v>
      </c>
      <c r="J16" s="10" t="n">
        <f aca="false">IF(AND(Inputs!$C$52=1,Volume!J6&gt;=IFERROR(MATCH(Inputs!$C$54,Volume!$E$4:$S$4,0),99)),1,0)</f>
        <v>0</v>
      </c>
      <c r="K16" s="10" t="n">
        <f aca="false">IF(AND(Inputs!$C$52=1,Volume!K6&gt;=IFERROR(MATCH(Inputs!$C$54,Volume!$E$4:$S$4,0),99)),1,0)</f>
        <v>0</v>
      </c>
      <c r="L16" s="10" t="n">
        <f aca="false">IF(AND(Inputs!$C$52=1,Volume!L6&gt;=IFERROR(MATCH(Inputs!$C$54,Volume!$E$4:$S$4,0),99)),1,0)</f>
        <v>0</v>
      </c>
      <c r="M16" s="10" t="n">
        <f aca="false">IF(AND(Inputs!$C$52=1,Volume!M6&gt;=IFERROR(MATCH(Inputs!$C$54,Volume!$E$4:$S$4,0),99)),1,0)</f>
        <v>0</v>
      </c>
      <c r="N16" s="10" t="n">
        <f aca="false">IF(AND(Inputs!$C$52=1,Volume!N6&gt;=IFERROR(MATCH(Inputs!$C$54,Volume!$E$4:$S$4,0),99)),1,0)</f>
        <v>0</v>
      </c>
      <c r="O16" s="10" t="n">
        <f aca="false">IF(AND(Inputs!$C$52=1,Volume!O6&gt;=IFERROR(MATCH(Inputs!$C$54,Volume!$E$4:$S$4,0),99)),1,0)</f>
        <v>0</v>
      </c>
      <c r="P16" s="10" t="n">
        <f aca="false">IF(AND(Inputs!$C$52=1,Volume!P6&gt;=IFERROR(MATCH(Inputs!$C$54,Volume!$E$4:$S$4,0),99)),1,0)</f>
        <v>0</v>
      </c>
      <c r="Q16" s="10" t="n">
        <f aca="false">IF(AND(Inputs!$C$52=1,Volume!Q6&gt;=IFERROR(MATCH(Inputs!$C$54,Volume!$E$4:$S$4,0),99)),1,0)</f>
        <v>0</v>
      </c>
      <c r="R16" s="10" t="n">
        <f aca="false">IF(AND(Inputs!$C$52=1,Volume!R6&gt;=IFERROR(MATCH(Inputs!$C$54,Volume!$E$4:$S$4,0),99)),1,0)</f>
        <v>0</v>
      </c>
      <c r="S16" s="10" t="n">
        <f aca="false">IF(AND(Inputs!$C$52=1,Volume!S6&gt;=IFERROR(MATCH(Inputs!$C$54,Volume!$E$4:$S$4,0),99)),1,0)</f>
        <v>0</v>
      </c>
    </row>
    <row r="17" customFormat="false" ht="15" hidden="false" customHeight="true" outlineLevel="0" collapsed="false">
      <c r="A17" s="51" t="s">
        <v>1003</v>
      </c>
      <c r="B17" s="3" t="s">
        <v>278</v>
      </c>
      <c r="C17" s="92" t="n">
        <f aca="false">G17</f>
        <v>0</v>
      </c>
      <c r="D17" s="92" t="n">
        <f aca="false">S17</f>
        <v>1</v>
      </c>
      <c r="E17" s="10" t="n">
        <f aca="false">IF(Volume!E6&gt;=IFERROR(MATCH(Inputs!$C$51,Volume!$E$4:$S$4,0),99),1,0)</f>
        <v>0</v>
      </c>
      <c r="F17" s="10" t="n">
        <f aca="false">IF(Volume!F6&gt;=IFERROR(MATCH(Inputs!$C$51,Volume!$E$4:$S$4,0),99),1,0)</f>
        <v>0</v>
      </c>
      <c r="G17" s="10" t="n">
        <f aca="false">IF(Volume!G6&gt;=IFERROR(MATCH(Inputs!$C$51,Volume!$E$4:$S$4,0),99),1,0)</f>
        <v>0</v>
      </c>
      <c r="H17" s="10" t="n">
        <f aca="false">IF(Volume!H6&gt;=IFERROR(MATCH(Inputs!$C$51,Volume!$E$4:$S$4,0),99),1,0)</f>
        <v>1</v>
      </c>
      <c r="I17" s="10" t="n">
        <f aca="false">IF(Volume!I6&gt;=IFERROR(MATCH(Inputs!$C$51,Volume!$E$4:$S$4,0),99),1,0)</f>
        <v>1</v>
      </c>
      <c r="J17" s="10" t="n">
        <f aca="false">IF(Volume!J6&gt;=IFERROR(MATCH(Inputs!$C$51,Volume!$E$4:$S$4,0),99),1,0)</f>
        <v>1</v>
      </c>
      <c r="K17" s="10" t="n">
        <f aca="false">IF(Volume!K6&gt;=IFERROR(MATCH(Inputs!$C$51,Volume!$E$4:$S$4,0),99),1,0)</f>
        <v>1</v>
      </c>
      <c r="L17" s="10" t="n">
        <f aca="false">IF(Volume!L6&gt;=IFERROR(MATCH(Inputs!$C$51,Volume!$E$4:$S$4,0),99),1,0)</f>
        <v>1</v>
      </c>
      <c r="M17" s="10" t="n">
        <f aca="false">IF(Volume!M6&gt;=IFERROR(MATCH(Inputs!$C$51,Volume!$E$4:$S$4,0),99),1,0)</f>
        <v>1</v>
      </c>
      <c r="N17" s="10" t="n">
        <f aca="false">IF(Volume!N6&gt;=IFERROR(MATCH(Inputs!$C$51,Volume!$E$4:$S$4,0),99),1,0)</f>
        <v>1</v>
      </c>
      <c r="O17" s="10" t="n">
        <f aca="false">IF(Volume!O6&gt;=IFERROR(MATCH(Inputs!$C$51,Volume!$E$4:$S$4,0),99),1,0)</f>
        <v>1</v>
      </c>
      <c r="P17" s="10" t="n">
        <f aca="false">IF(Volume!P6&gt;=IFERROR(MATCH(Inputs!$C$51,Volume!$E$4:$S$4,0),99),1,0)</f>
        <v>1</v>
      </c>
      <c r="Q17" s="10" t="n">
        <f aca="false">IF(Volume!Q6&gt;=IFERROR(MATCH(Inputs!$C$51,Volume!$E$4:$S$4,0),99),1,0)</f>
        <v>1</v>
      </c>
      <c r="R17" s="10" t="n">
        <f aca="false">IF(Volume!R6&gt;=IFERROR(MATCH(Inputs!$C$51,Volume!$E$4:$S$4,0),99),1,0)</f>
        <v>1</v>
      </c>
      <c r="S17" s="10" t="n">
        <f aca="false">IF(Volume!S6&gt;=IFERROR(MATCH(Inputs!$C$51,Volume!$E$4:$S$4,0),99),1,0)</f>
        <v>1</v>
      </c>
    </row>
    <row r="18" customFormat="false" ht="15" hidden="false" customHeight="true" outlineLevel="0" collapsed="false">
      <c r="A18" s="51" t="s">
        <v>1004</v>
      </c>
      <c r="B18" s="3" t="s">
        <v>510</v>
      </c>
      <c r="C18" s="99" t="n">
        <f aca="false">MAX(E18:G18)</f>
        <v>3.33</v>
      </c>
      <c r="D18" s="99" t="n">
        <f aca="false">MAX(H18:S18)</f>
        <v>14.5</v>
      </c>
      <c r="E18" s="8" t="n">
        <f aca="false">Volume!E23+Volume!E24+Volume!E25+Volume!E26+Volume!E27+Inputs!$C$59+Volume!E39+Volume!E40+Volume!E41+Volume!E44+Volume!E45+Volume!E46+Volume!E47</f>
        <v>3.33</v>
      </c>
      <c r="F18" s="8" t="n">
        <f aca="false">Volume!F23+Volume!F24+Volume!F25+Volume!F26+Volume!F27+Inputs!$C$59+Volume!F39+Volume!F40+Volume!F41+Volume!F44+Volume!F45+Volume!F46+Volume!F47</f>
        <v>3.33</v>
      </c>
      <c r="G18" s="8" t="n">
        <f aca="false">Volume!G23+Volume!G24+Volume!G25+Volume!G26+Volume!G27+Inputs!$C$59+Volume!G39+Volume!G40+Volume!G41+Volume!G44+Volume!G45+Volume!G46+Volume!G47</f>
        <v>2.33</v>
      </c>
      <c r="H18" s="8" t="n">
        <f aca="false">Volume!H23+Volume!H24+Volume!H25+Volume!H26+Volume!H27+Inputs!$C$59+Volume!H39+Volume!H40+Volume!H41+Volume!H44+Volume!H45+Volume!H46+Volume!H47</f>
        <v>2.33</v>
      </c>
      <c r="I18" s="8" t="n">
        <f aca="false">Volume!I23+Volume!I24+Volume!I25+Volume!I26+Volume!I27+Inputs!$C$59+Volume!I39+Volume!I40+Volume!I41+Volume!I44+Volume!I45+Volume!I46+Volume!I47</f>
        <v>6.91</v>
      </c>
      <c r="J18" s="8" t="n">
        <f aca="false">Volume!J23+Volume!J24+Volume!J25+Volume!J26+Volume!J27+Inputs!$C$59+Volume!J39+Volume!J40+Volume!J41+Volume!J44+Volume!J45+Volume!J46+Volume!J47</f>
        <v>6.33</v>
      </c>
      <c r="K18" s="8" t="n">
        <f aca="false">Volume!K23+Volume!K24+Volume!K25+Volume!K26+Volume!K27+Inputs!$C$59+Volume!K39+Volume!K40+Volume!K41+Volume!K44+Volume!K45+Volume!K46+Volume!K47</f>
        <v>5.33</v>
      </c>
      <c r="L18" s="8" t="n">
        <f aca="false">Volume!L23+Volume!L24+Volume!L25+Volume!L26+Volume!L27+Inputs!$C$59+Volume!L39+Volume!L40+Volume!L41+Volume!L44+Volume!L45+Volume!L46+Volume!L47</f>
        <v>7.41</v>
      </c>
      <c r="M18" s="8" t="n">
        <f aca="false">Volume!M23+Volume!M24+Volume!M25+Volume!M26+Volume!M27+Inputs!$C$59+Volume!M39+Volume!M40+Volume!M41+Volume!M44+Volume!M45+Volume!M46+Volume!M47</f>
        <v>5.16</v>
      </c>
      <c r="N18" s="8" t="n">
        <f aca="false">Volume!N23+Volume!N24+Volume!N25+Volume!N26+Volume!N27+Inputs!$C$59+Volume!N39+Volume!N40+Volume!N41+Volume!N44+Volume!N45+Volume!N46+Volume!N47</f>
        <v>10.5</v>
      </c>
      <c r="O18" s="8" t="n">
        <f aca="false">Volume!O23+Volume!O24+Volume!O25+Volume!O26+Volume!O27+Inputs!$C$59+Volume!O39+Volume!O40+Volume!O41+Volume!O44+Volume!O45+Volume!O46+Volume!O47</f>
        <v>8.5</v>
      </c>
      <c r="P18" s="8" t="n">
        <f aca="false">Volume!P23+Volume!P24+Volume!P25+Volume!P26+Volume!P27+Inputs!$C$59+Volume!P39+Volume!P40+Volume!P41+Volume!P44+Volume!P45+Volume!P46+Volume!P47</f>
        <v>9.67</v>
      </c>
      <c r="Q18" s="8" t="n">
        <f aca="false">Volume!Q23+Volume!Q24+Volume!Q25+Volume!Q26+Volume!Q27+Inputs!$C$59+Volume!Q39+Volume!Q40+Volume!Q41+Volume!Q44+Volume!Q45+Volume!Q46+Volume!Q47</f>
        <v>13.75</v>
      </c>
      <c r="R18" s="8" t="n">
        <f aca="false">Volume!R23+Volume!R24+Volume!R25+Volume!R26+Volume!R27+Inputs!$C$59+Volume!R39+Volume!R40+Volume!R41+Volume!R44+Volume!R45+Volume!R46+Volume!R47</f>
        <v>14.5</v>
      </c>
      <c r="S18" s="8" t="n">
        <f aca="false">Volume!S23+Volume!S24+Volume!S25+Volume!S26+Volume!S27+Inputs!$C$59+Volume!S39+Volume!S40+Volume!S41+Volume!S44+Volume!S45+Volume!S46+Volume!S47</f>
        <v>12.5</v>
      </c>
    </row>
    <row r="19" customFormat="false" ht="15" hidden="false" customHeight="true" outlineLevel="0" collapsed="false">
      <c r="A19" s="51" t="s">
        <v>1005</v>
      </c>
      <c r="B19" s="3" t="s">
        <v>278</v>
      </c>
      <c r="C19" s="92" t="n">
        <f aca="false">G19</f>
        <v>0</v>
      </c>
      <c r="D19" s="92" t="n">
        <f aca="false">S19</f>
        <v>1</v>
      </c>
      <c r="E19" s="10" t="n">
        <f aca="false">IF(E18&gt;Inputs!$C$58,1,0)</f>
        <v>0</v>
      </c>
      <c r="F19" s="10" t="n">
        <f aca="false">IF(OR(E19=1,F18&gt;Inputs!$C$58),1,0)</f>
        <v>0</v>
      </c>
      <c r="G19" s="10" t="n">
        <f aca="false">IF(OR(F19=1,G18&gt;Inputs!$C$58),1,0)</f>
        <v>0</v>
      </c>
      <c r="H19" s="10" t="n">
        <f aca="false">IF(OR(G19=1,H18&gt;Inputs!$C$58),1,0)</f>
        <v>0</v>
      </c>
      <c r="I19" s="10" t="n">
        <f aca="false">IF(OR(H19=1,I18&gt;Inputs!$C$58),1,0)</f>
        <v>0</v>
      </c>
      <c r="J19" s="10" t="n">
        <f aca="false">IF(OR(I19=1,J18&gt;Inputs!$C$58),1,0)</f>
        <v>0</v>
      </c>
      <c r="K19" s="10" t="n">
        <f aca="false">IF(OR(J19=1,K18&gt;Inputs!$C$58),1,0)</f>
        <v>0</v>
      </c>
      <c r="L19" s="10" t="n">
        <f aca="false">IF(OR(K19=1,L18&gt;Inputs!$C$58),1,0)</f>
        <v>0</v>
      </c>
      <c r="M19" s="10" t="n">
        <f aca="false">IF(OR(L19=1,M18&gt;Inputs!$C$58),1,0)</f>
        <v>0</v>
      </c>
      <c r="N19" s="10" t="n">
        <f aca="false">IF(OR(M19=1,N18&gt;Inputs!$C$58),1,0)</f>
        <v>0</v>
      </c>
      <c r="O19" s="10" t="n">
        <f aca="false">IF(OR(N19=1,O18&gt;Inputs!$C$58),1,0)</f>
        <v>0</v>
      </c>
      <c r="P19" s="10" t="n">
        <f aca="false">IF(OR(O19=1,P18&gt;Inputs!$C$58),1,0)</f>
        <v>0</v>
      </c>
      <c r="Q19" s="10" t="n">
        <f aca="false">IF(OR(P19=1,Q18&gt;Inputs!$C$58),1,0)</f>
        <v>1</v>
      </c>
      <c r="R19" s="10" t="n">
        <f aca="false">IF(OR(Q19=1,R18&gt;Inputs!$C$58),1,0)</f>
        <v>1</v>
      </c>
      <c r="S19" s="10" t="n">
        <f aca="false">IF(OR(R19=1,S18&gt;Inputs!$C$58),1,0)</f>
        <v>1</v>
      </c>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row>
    <row r="21" customFormat="false" ht="15" hidden="false" customHeight="true" outlineLevel="0" collapsed="false">
      <c r="A21" s="6" t="s">
        <v>1006</v>
      </c>
      <c r="B21" s="7"/>
      <c r="C21" s="7"/>
      <c r="D21" s="7"/>
      <c r="E21" s="7"/>
      <c r="F21" s="7"/>
      <c r="G21" s="7"/>
      <c r="H21" s="7"/>
      <c r="I21" s="7"/>
      <c r="J21" s="7"/>
      <c r="K21" s="7"/>
      <c r="L21" s="7"/>
      <c r="M21" s="7"/>
      <c r="N21" s="7"/>
      <c r="O21" s="7"/>
      <c r="P21" s="7"/>
      <c r="Q21" s="7"/>
      <c r="R21" s="7"/>
      <c r="S21" s="7"/>
    </row>
    <row r="22" customFormat="false" ht="15" hidden="false" customHeight="true" outlineLevel="0" collapsed="false">
      <c r="A22" s="51" t="s">
        <v>1007</v>
      </c>
      <c r="B22" s="3" t="s">
        <v>10</v>
      </c>
      <c r="C22" s="99" t="n">
        <f aca="false">SUM(E22:G22)</f>
        <v>33.9</v>
      </c>
      <c r="D22" s="99" t="n">
        <f aca="false">SUM(H22:S22)</f>
        <v>135.6</v>
      </c>
      <c r="E22" s="8" t="n">
        <f aca="false">Inputs!$C$39+Inputs!$C$40+Inputs!$C$41+Inputs!$C$42+Inputs!$C$43+Inputs!$C$44</f>
        <v>11.3</v>
      </c>
      <c r="F22" s="8" t="n">
        <f aca="false">Inputs!$C$39+Inputs!$C$40+Inputs!$C$41+Inputs!$C$42+Inputs!$C$43+Inputs!$C$44</f>
        <v>11.3</v>
      </c>
      <c r="G22" s="8" t="n">
        <f aca="false">Inputs!$C$39+Inputs!$C$40+Inputs!$C$41+Inputs!$C$42+Inputs!$C$43+Inputs!$C$44</f>
        <v>11.3</v>
      </c>
      <c r="H22" s="8" t="n">
        <f aca="false">Inputs!$C$39+Inputs!$C$40+Inputs!$C$41+Inputs!$C$42+Inputs!$C$43+Inputs!$C$44</f>
        <v>11.3</v>
      </c>
      <c r="I22" s="8" t="n">
        <f aca="false">Inputs!$C$39+Inputs!$C$40+Inputs!$C$41+Inputs!$C$42+Inputs!$C$43+Inputs!$C$44</f>
        <v>11.3</v>
      </c>
      <c r="J22" s="8" t="n">
        <f aca="false">Inputs!$C$39+Inputs!$C$40+Inputs!$C$41+Inputs!$C$42+Inputs!$C$43+Inputs!$C$44</f>
        <v>11.3</v>
      </c>
      <c r="K22" s="8" t="n">
        <f aca="false">Inputs!$C$39+Inputs!$C$40+Inputs!$C$41+Inputs!$C$42+Inputs!$C$43+Inputs!$C$44</f>
        <v>11.3</v>
      </c>
      <c r="L22" s="8" t="n">
        <f aca="false">Inputs!$C$39+Inputs!$C$40+Inputs!$C$41+Inputs!$C$42+Inputs!$C$43+Inputs!$C$44</f>
        <v>11.3</v>
      </c>
      <c r="M22" s="8" t="n">
        <f aca="false">Inputs!$C$39+Inputs!$C$40+Inputs!$C$41+Inputs!$C$42+Inputs!$C$43+Inputs!$C$44</f>
        <v>11.3</v>
      </c>
      <c r="N22" s="8" t="n">
        <f aca="false">Inputs!$C$39+Inputs!$C$40+Inputs!$C$41+Inputs!$C$42+Inputs!$C$43+Inputs!$C$44</f>
        <v>11.3</v>
      </c>
      <c r="O22" s="8" t="n">
        <f aca="false">Inputs!$C$39+Inputs!$C$40+Inputs!$C$41+Inputs!$C$42+Inputs!$C$43+Inputs!$C$44</f>
        <v>11.3</v>
      </c>
      <c r="P22" s="8" t="n">
        <f aca="false">Inputs!$C$39+Inputs!$C$40+Inputs!$C$41+Inputs!$C$42+Inputs!$C$43+Inputs!$C$44</f>
        <v>11.3</v>
      </c>
      <c r="Q22" s="8" t="n">
        <f aca="false">Inputs!$C$39+Inputs!$C$40+Inputs!$C$41+Inputs!$C$42+Inputs!$C$43+Inputs!$C$44</f>
        <v>11.3</v>
      </c>
      <c r="R22" s="8" t="n">
        <f aca="false">Inputs!$C$39+Inputs!$C$40+Inputs!$C$41+Inputs!$C$42+Inputs!$C$43+Inputs!$C$44</f>
        <v>11.3</v>
      </c>
      <c r="S22" s="8" t="n">
        <f aca="false">Inputs!$C$39+Inputs!$C$40+Inputs!$C$41+Inputs!$C$42+Inputs!$C$43+Inputs!$C$44</f>
        <v>11.3</v>
      </c>
    </row>
    <row r="23" customFormat="false" ht="15" hidden="false" customHeight="true" outlineLevel="0" collapsed="false">
      <c r="A23" s="51" t="s">
        <v>1008</v>
      </c>
      <c r="B23" s="3" t="s">
        <v>10</v>
      </c>
      <c r="C23" s="99" t="n">
        <f aca="false">SUM(E23:G23)</f>
        <v>6.23975000000001</v>
      </c>
      <c r="D23" s="99" t="n">
        <f aca="false">SUM(H23:S23)</f>
        <v>24.959</v>
      </c>
      <c r="E23" s="8" t="n">
        <f aca="false">Inputs!$C$45</f>
        <v>2.07991666666667</v>
      </c>
      <c r="F23" s="8" t="n">
        <f aca="false">Inputs!$C$45</f>
        <v>2.07991666666667</v>
      </c>
      <c r="G23" s="8" t="n">
        <f aca="false">Inputs!$C$45</f>
        <v>2.07991666666667</v>
      </c>
      <c r="H23" s="8" t="n">
        <f aca="false">Inputs!$C$45</f>
        <v>2.07991666666667</v>
      </c>
      <c r="I23" s="8" t="n">
        <f aca="false">Inputs!$C$45</f>
        <v>2.07991666666667</v>
      </c>
      <c r="J23" s="8" t="n">
        <f aca="false">Inputs!$C$45</f>
        <v>2.07991666666667</v>
      </c>
      <c r="K23" s="8" t="n">
        <f aca="false">Inputs!$C$45</f>
        <v>2.07991666666667</v>
      </c>
      <c r="L23" s="8" t="n">
        <f aca="false">Inputs!$C$45</f>
        <v>2.07991666666667</v>
      </c>
      <c r="M23" s="8" t="n">
        <f aca="false">Inputs!$C$45</f>
        <v>2.07991666666667</v>
      </c>
      <c r="N23" s="8" t="n">
        <f aca="false">Inputs!$C$45</f>
        <v>2.07991666666667</v>
      </c>
      <c r="O23" s="8" t="n">
        <f aca="false">Inputs!$C$45</f>
        <v>2.07991666666667</v>
      </c>
      <c r="P23" s="8" t="n">
        <f aca="false">Inputs!$C$45</f>
        <v>2.07991666666667</v>
      </c>
      <c r="Q23" s="8" t="n">
        <f aca="false">Inputs!$C$45</f>
        <v>2.07991666666667</v>
      </c>
      <c r="R23" s="8" t="n">
        <f aca="false">Inputs!$C$45</f>
        <v>2.07991666666667</v>
      </c>
      <c r="S23" s="8" t="n">
        <f aca="false">Inputs!$C$45</f>
        <v>2.07991666666667</v>
      </c>
    </row>
    <row r="24" customFormat="false" ht="15" hidden="false" customHeight="true" outlineLevel="0" collapsed="false">
      <c r="A24" s="51" t="s">
        <v>1009</v>
      </c>
      <c r="B24" s="3" t="s">
        <v>10</v>
      </c>
      <c r="C24" s="99" t="n">
        <f aca="false">SUM(E24:G24)</f>
        <v>17.4</v>
      </c>
      <c r="D24" s="99" t="n">
        <f aca="false">SUM(H24:S24)</f>
        <v>69.6</v>
      </c>
      <c r="E24" s="8" t="n">
        <f aca="false">Inputs!$C$46</f>
        <v>5.8</v>
      </c>
      <c r="F24" s="8" t="n">
        <f aca="false">Inputs!$C$46</f>
        <v>5.8</v>
      </c>
      <c r="G24" s="8" t="n">
        <f aca="false">Inputs!$C$46</f>
        <v>5.8</v>
      </c>
      <c r="H24" s="8" t="n">
        <f aca="false">Inputs!$C$46</f>
        <v>5.8</v>
      </c>
      <c r="I24" s="8" t="n">
        <f aca="false">Inputs!$C$46</f>
        <v>5.8</v>
      </c>
      <c r="J24" s="8" t="n">
        <f aca="false">Inputs!$C$46</f>
        <v>5.8</v>
      </c>
      <c r="K24" s="8" t="n">
        <f aca="false">Inputs!$C$46</f>
        <v>5.8</v>
      </c>
      <c r="L24" s="8" t="n">
        <f aca="false">Inputs!$C$46</f>
        <v>5.8</v>
      </c>
      <c r="M24" s="8" t="n">
        <f aca="false">Inputs!$C$46</f>
        <v>5.8</v>
      </c>
      <c r="N24" s="8" t="n">
        <f aca="false">Inputs!$C$46</f>
        <v>5.8</v>
      </c>
      <c r="O24" s="8" t="n">
        <f aca="false">Inputs!$C$46</f>
        <v>5.8</v>
      </c>
      <c r="P24" s="8" t="n">
        <f aca="false">Inputs!$C$46</f>
        <v>5.8</v>
      </c>
      <c r="Q24" s="8" t="n">
        <f aca="false">Inputs!$C$46</f>
        <v>5.8</v>
      </c>
      <c r="R24" s="8" t="n">
        <f aca="false">Inputs!$C$46</f>
        <v>5.8</v>
      </c>
      <c r="S24" s="8" t="n">
        <f aca="false">Inputs!$C$46</f>
        <v>5.8</v>
      </c>
    </row>
    <row r="25" customFormat="false" ht="15" hidden="false" customHeight="true" outlineLevel="0" collapsed="false">
      <c r="A25" s="51" t="s">
        <v>1010</v>
      </c>
      <c r="B25" s="3" t="s">
        <v>10</v>
      </c>
      <c r="C25" s="99" t="n">
        <f aca="false">SUM(E25:G25)</f>
        <v>4.5</v>
      </c>
      <c r="D25" s="99" t="n">
        <f aca="false">SUM(H25:S25)</f>
        <v>18</v>
      </c>
      <c r="E25" s="8" t="n">
        <f aca="false">Inputs!$C$47</f>
        <v>1.5</v>
      </c>
      <c r="F25" s="8" t="n">
        <f aca="false">Inputs!$C$47</f>
        <v>1.5</v>
      </c>
      <c r="G25" s="8" t="n">
        <f aca="false">Inputs!$C$47</f>
        <v>1.5</v>
      </c>
      <c r="H25" s="8" t="n">
        <f aca="false">Inputs!$C$47</f>
        <v>1.5</v>
      </c>
      <c r="I25" s="8" t="n">
        <f aca="false">Inputs!$C$47</f>
        <v>1.5</v>
      </c>
      <c r="J25" s="8" t="n">
        <f aca="false">Inputs!$C$47</f>
        <v>1.5</v>
      </c>
      <c r="K25" s="8" t="n">
        <f aca="false">Inputs!$C$47</f>
        <v>1.5</v>
      </c>
      <c r="L25" s="8" t="n">
        <f aca="false">Inputs!$C$47</f>
        <v>1.5</v>
      </c>
      <c r="M25" s="8" t="n">
        <f aca="false">Inputs!$C$47</f>
        <v>1.5</v>
      </c>
      <c r="N25" s="8" t="n">
        <f aca="false">Inputs!$C$47</f>
        <v>1.5</v>
      </c>
      <c r="O25" s="8" t="n">
        <f aca="false">Inputs!$C$47</f>
        <v>1.5</v>
      </c>
      <c r="P25" s="8" t="n">
        <f aca="false">Inputs!$C$47</f>
        <v>1.5</v>
      </c>
      <c r="Q25" s="8" t="n">
        <f aca="false">Inputs!$C$47</f>
        <v>1.5</v>
      </c>
      <c r="R25" s="8" t="n">
        <f aca="false">Inputs!$C$47</f>
        <v>1.5</v>
      </c>
      <c r="S25" s="8" t="n">
        <f aca="false">Inputs!$C$47</f>
        <v>1.5</v>
      </c>
    </row>
    <row r="26" customFormat="false" ht="15" hidden="false" customHeight="true" outlineLevel="0" collapsed="false">
      <c r="A26" s="51" t="s">
        <v>1011</v>
      </c>
      <c r="B26" s="3" t="s">
        <v>10</v>
      </c>
      <c r="C26" s="99" t="n">
        <f aca="false">SUM(E26:G26)</f>
        <v>30</v>
      </c>
      <c r="D26" s="99" t="n">
        <f aca="false">SUM(H26:S26)</f>
        <v>270</v>
      </c>
      <c r="E26" s="8" t="n">
        <f aca="false">IF(Inputs!$C$105=1,Pay_Plan!E11,E17*(Inputs!$C$49+Inputs!$C$50))</f>
        <v>10</v>
      </c>
      <c r="F26" s="8" t="n">
        <f aca="false">IF(Inputs!$C$105=1,Pay_Plan!F11,F17*(Inputs!$C$49+Inputs!$C$50))</f>
        <v>10</v>
      </c>
      <c r="G26" s="8" t="n">
        <f aca="false">IF(Inputs!$C$105=1,Pay_Plan!G11,G17*(Inputs!$C$49+Inputs!$C$50))</f>
        <v>10</v>
      </c>
      <c r="H26" s="8" t="n">
        <f aca="false">IF(Inputs!$C$105=1,Pay_Plan!H11,H17*(Inputs!$C$49+Inputs!$C$50))</f>
        <v>10</v>
      </c>
      <c r="I26" s="8" t="n">
        <f aca="false">IF(Inputs!$C$105=1,Pay_Plan!I11,I17*(Inputs!$C$49+Inputs!$C$50))</f>
        <v>10</v>
      </c>
      <c r="J26" s="8" t="n">
        <f aca="false">IF(Inputs!$C$105=1,Pay_Plan!J11,J17*(Inputs!$C$49+Inputs!$C$50))</f>
        <v>25</v>
      </c>
      <c r="K26" s="8" t="n">
        <f aca="false">IF(Inputs!$C$105=1,Pay_Plan!K11,K17*(Inputs!$C$49+Inputs!$C$50))</f>
        <v>25</v>
      </c>
      <c r="L26" s="8" t="n">
        <f aca="false">IF(Inputs!$C$105=1,Pay_Plan!L11,L17*(Inputs!$C$49+Inputs!$C$50))</f>
        <v>25</v>
      </c>
      <c r="M26" s="8" t="n">
        <f aca="false">IF(Inputs!$C$105=1,Pay_Plan!M11,M17*(Inputs!$C$49+Inputs!$C$50))</f>
        <v>25</v>
      </c>
      <c r="N26" s="8" t="n">
        <f aca="false">IF(Inputs!$C$105=1,Pay_Plan!N11,N17*(Inputs!$C$49+Inputs!$C$50))</f>
        <v>25</v>
      </c>
      <c r="O26" s="8" t="n">
        <f aca="false">IF(Inputs!$C$105=1,Pay_Plan!O11,O17*(Inputs!$C$49+Inputs!$C$50))</f>
        <v>25</v>
      </c>
      <c r="P26" s="8" t="n">
        <f aca="false">IF(Inputs!$C$105=1,Pay_Plan!P11,P17*(Inputs!$C$49+Inputs!$C$50))</f>
        <v>25</v>
      </c>
      <c r="Q26" s="8" t="n">
        <f aca="false">IF(Inputs!$C$105=1,Pay_Plan!Q11,Q17*(Inputs!$C$49+Inputs!$C$50))</f>
        <v>25</v>
      </c>
      <c r="R26" s="8" t="n">
        <f aca="false">IF(Inputs!$C$105=1,Pay_Plan!R11,R17*(Inputs!$C$49+Inputs!$C$50))</f>
        <v>25</v>
      </c>
      <c r="S26" s="8" t="n">
        <f aca="false">IF(Inputs!$C$105=1,Pay_Plan!S11,S17*(Inputs!$C$49+Inputs!$C$50))</f>
        <v>25</v>
      </c>
    </row>
    <row r="27" customFormat="false" ht="15" hidden="false" customHeight="true" outlineLevel="0" collapsed="false">
      <c r="A27" s="51" t="s">
        <v>1012</v>
      </c>
      <c r="B27" s="3" t="s">
        <v>10</v>
      </c>
      <c r="C27" s="99" t="n">
        <f aca="false">SUM(E27:G27)</f>
        <v>0</v>
      </c>
      <c r="D27" s="99" t="n">
        <f aca="false">SUM(H27:S27)</f>
        <v>0</v>
      </c>
      <c r="E27" s="8" t="n">
        <f aca="false">E16*Inputs!$C$53</f>
        <v>0</v>
      </c>
      <c r="F27" s="8" t="n">
        <f aca="false">F16*Inputs!$C$53</f>
        <v>0</v>
      </c>
      <c r="G27" s="8" t="n">
        <f aca="false">G16*Inputs!$C$53</f>
        <v>0</v>
      </c>
      <c r="H27" s="8" t="n">
        <f aca="false">H16*Inputs!$C$53</f>
        <v>0</v>
      </c>
      <c r="I27" s="8" t="n">
        <f aca="false">I16*Inputs!$C$53</f>
        <v>0</v>
      </c>
      <c r="J27" s="8" t="n">
        <f aca="false">J16*Inputs!$C$53</f>
        <v>0</v>
      </c>
      <c r="K27" s="8" t="n">
        <f aca="false">K16*Inputs!$C$53</f>
        <v>0</v>
      </c>
      <c r="L27" s="8" t="n">
        <f aca="false">L16*Inputs!$C$53</f>
        <v>0</v>
      </c>
      <c r="M27" s="8" t="n">
        <f aca="false">M16*Inputs!$C$53</f>
        <v>0</v>
      </c>
      <c r="N27" s="8" t="n">
        <f aca="false">N16*Inputs!$C$53</f>
        <v>0</v>
      </c>
      <c r="O27" s="8" t="n">
        <f aca="false">O16*Inputs!$C$53</f>
        <v>0</v>
      </c>
      <c r="P27" s="8" t="n">
        <f aca="false">P16*Inputs!$C$53</f>
        <v>0</v>
      </c>
      <c r="Q27" s="8" t="n">
        <f aca="false">Q16*Inputs!$C$53</f>
        <v>0</v>
      </c>
      <c r="R27" s="8" t="n">
        <f aca="false">R16*Inputs!$C$53</f>
        <v>0</v>
      </c>
      <c r="S27" s="8" t="n">
        <f aca="false">S16*Inputs!$C$53</f>
        <v>0</v>
      </c>
    </row>
    <row r="28" customFormat="false" ht="15" hidden="false" customHeight="true" outlineLevel="0" collapsed="false">
      <c r="A28" s="51" t="s">
        <v>1013</v>
      </c>
      <c r="B28" s="3" t="s">
        <v>10</v>
      </c>
      <c r="C28" s="99" t="n">
        <f aca="false">SUM(E28:G28)</f>
        <v>6</v>
      </c>
      <c r="D28" s="99" t="n">
        <f aca="false">SUM(H28:S28)</f>
        <v>24</v>
      </c>
      <c r="E28" s="8" t="n">
        <f aca="false">IF(Inputs!$C$105=1,Inputs!$C$55,IF(Volume!E6&gt;=IFERROR(MATCH(Inputs!$C$54,Volume!$E$4:$S$4,0),99),Inputs!$C$55,0))</f>
        <v>2</v>
      </c>
      <c r="F28" s="8" t="n">
        <f aca="false">IF(Inputs!$C$105=1,Inputs!$C$55,IF(Volume!F6&gt;=IFERROR(MATCH(Inputs!$C$54,Volume!$E$4:$S$4,0),99),Inputs!$C$55,0))</f>
        <v>2</v>
      </c>
      <c r="G28" s="8" t="n">
        <f aca="false">IF(Inputs!$C$105=1,Inputs!$C$55,IF(Volume!G6&gt;=IFERROR(MATCH(Inputs!$C$54,Volume!$E$4:$S$4,0),99),Inputs!$C$55,0))</f>
        <v>2</v>
      </c>
      <c r="H28" s="8" t="n">
        <f aca="false">IF(Inputs!$C$105=1,Inputs!$C$55,IF(Volume!H6&gt;=IFERROR(MATCH(Inputs!$C$54,Volume!$E$4:$S$4,0),99),Inputs!$C$55,0))</f>
        <v>2</v>
      </c>
      <c r="I28" s="8" t="n">
        <f aca="false">IF(Inputs!$C$105=1,Inputs!$C$55,IF(Volume!I6&gt;=IFERROR(MATCH(Inputs!$C$54,Volume!$E$4:$S$4,0),99),Inputs!$C$55,0))</f>
        <v>2</v>
      </c>
      <c r="J28" s="8" t="n">
        <f aca="false">IF(Inputs!$C$105=1,Inputs!$C$55,IF(Volume!J6&gt;=IFERROR(MATCH(Inputs!$C$54,Volume!$E$4:$S$4,0),99),Inputs!$C$55,0))</f>
        <v>2</v>
      </c>
      <c r="K28" s="8" t="n">
        <f aca="false">IF(Inputs!$C$105=1,Inputs!$C$55,IF(Volume!K6&gt;=IFERROR(MATCH(Inputs!$C$54,Volume!$E$4:$S$4,0),99),Inputs!$C$55,0))</f>
        <v>2</v>
      </c>
      <c r="L28" s="8" t="n">
        <f aca="false">IF(Inputs!$C$105=1,Inputs!$C$55,IF(Volume!L6&gt;=IFERROR(MATCH(Inputs!$C$54,Volume!$E$4:$S$4,0),99),Inputs!$C$55,0))</f>
        <v>2</v>
      </c>
      <c r="M28" s="8" t="n">
        <f aca="false">IF(Inputs!$C$105=1,Inputs!$C$55,IF(Volume!M6&gt;=IFERROR(MATCH(Inputs!$C$54,Volume!$E$4:$S$4,0),99),Inputs!$C$55,0))</f>
        <v>2</v>
      </c>
      <c r="N28" s="8" t="n">
        <f aca="false">IF(Inputs!$C$105=1,Inputs!$C$55,IF(Volume!N6&gt;=IFERROR(MATCH(Inputs!$C$54,Volume!$E$4:$S$4,0),99),Inputs!$C$55,0))</f>
        <v>2</v>
      </c>
      <c r="O28" s="8" t="n">
        <f aca="false">IF(Inputs!$C$105=1,Inputs!$C$55,IF(Volume!O6&gt;=IFERROR(MATCH(Inputs!$C$54,Volume!$E$4:$S$4,0),99),Inputs!$C$55,0))</f>
        <v>2</v>
      </c>
      <c r="P28" s="8" t="n">
        <f aca="false">IF(Inputs!$C$105=1,Inputs!$C$55,IF(Volume!P6&gt;=IFERROR(MATCH(Inputs!$C$54,Volume!$E$4:$S$4,0),99),Inputs!$C$55,0))</f>
        <v>2</v>
      </c>
      <c r="Q28" s="8" t="n">
        <f aca="false">IF(Inputs!$C$105=1,Inputs!$C$55,IF(Volume!Q6&gt;=IFERROR(MATCH(Inputs!$C$54,Volume!$E$4:$S$4,0),99),Inputs!$C$55,0))</f>
        <v>2</v>
      </c>
      <c r="R28" s="8" t="n">
        <f aca="false">IF(Inputs!$C$105=1,Inputs!$C$55,IF(Volume!R6&gt;=IFERROR(MATCH(Inputs!$C$54,Volume!$E$4:$S$4,0),99),Inputs!$C$55,0))</f>
        <v>2</v>
      </c>
      <c r="S28" s="8" t="n">
        <f aca="false">IF(Inputs!$C$105=1,Inputs!$C$55,IF(Volume!S6&gt;=IFERROR(MATCH(Inputs!$C$54,Volume!$E$4:$S$4,0),99),Inputs!$C$55,0))</f>
        <v>2</v>
      </c>
    </row>
    <row r="29" customFormat="false" ht="15" hidden="false" customHeight="true" outlineLevel="0" collapsed="false">
      <c r="A29" s="51" t="s">
        <v>1014</v>
      </c>
      <c r="B29" s="3" t="s">
        <v>10</v>
      </c>
      <c r="C29" s="99" t="n">
        <f aca="false">SUM(E29:G29)</f>
        <v>0</v>
      </c>
      <c r="D29" s="99" t="n">
        <f aca="false">SUM(H29:S29)</f>
        <v>78.58</v>
      </c>
      <c r="E29" s="8" t="n">
        <f aca="false">IF(Inputs!$C$105=1,Inputs!$C$114*E43,E15*Inputs!$C$56)</f>
        <v>0</v>
      </c>
      <c r="F29" s="8" t="n">
        <f aca="false">IF(Inputs!$C$105=1,Inputs!$C$114*F43,F15*Inputs!$C$56)</f>
        <v>0</v>
      </c>
      <c r="G29" s="8" t="n">
        <f aca="false">IF(Inputs!$C$105=1,Inputs!$C$114*G43,G15*Inputs!$C$56)</f>
        <v>0</v>
      </c>
      <c r="H29" s="8" t="n">
        <f aca="false">IF(Inputs!$C$105=1,Inputs!$C$114*H43,H15*Inputs!$C$56)</f>
        <v>0</v>
      </c>
      <c r="I29" s="8" t="n">
        <f aca="false">IF(Inputs!$C$105=1,Inputs!$C$114*I43,I15*Inputs!$C$56)</f>
        <v>2</v>
      </c>
      <c r="J29" s="8" t="n">
        <f aca="false">IF(Inputs!$C$105=1,Inputs!$C$114*J43,J15*Inputs!$C$56)</f>
        <v>4</v>
      </c>
      <c r="K29" s="8" t="n">
        <f aca="false">IF(Inputs!$C$105=1,Inputs!$C$114*K43,K15*Inputs!$C$56)</f>
        <v>2</v>
      </c>
      <c r="L29" s="8" t="n">
        <f aca="false">IF(Inputs!$C$105=1,Inputs!$C$114*L43,L15*Inputs!$C$56)</f>
        <v>5</v>
      </c>
      <c r="M29" s="8" t="n">
        <f aca="false">IF(Inputs!$C$105=1,Inputs!$C$114*M43,M15*Inputs!$C$56)</f>
        <v>2.5</v>
      </c>
      <c r="N29" s="8" t="n">
        <f aca="false">IF(Inputs!$C$105=1,Inputs!$C$114*N43,N15*Inputs!$C$56)</f>
        <v>9.18</v>
      </c>
      <c r="O29" s="8" t="n">
        <f aca="false">IF(Inputs!$C$105=1,Inputs!$C$114*O43,O15*Inputs!$C$56)</f>
        <v>5.18</v>
      </c>
      <c r="P29" s="8" t="n">
        <f aca="false">IF(Inputs!$C$105=1,Inputs!$C$114*P43,P15*Inputs!$C$56)</f>
        <v>8.68</v>
      </c>
      <c r="Q29" s="8" t="n">
        <f aca="false">IF(Inputs!$C$105=1,Inputs!$C$114*Q43,Q15*Inputs!$C$56)</f>
        <v>11.68</v>
      </c>
      <c r="R29" s="8" t="n">
        <f aca="false">IF(Inputs!$C$105=1,Inputs!$C$114*R43,R15*Inputs!$C$56)</f>
        <v>15.18</v>
      </c>
      <c r="S29" s="8" t="n">
        <f aca="false">IF(Inputs!$C$105=1,Inputs!$C$114*S43,S15*Inputs!$C$56)</f>
        <v>13.18</v>
      </c>
    </row>
    <row r="30" customFormat="false" ht="15" hidden="false" customHeight="true" outlineLevel="0" collapsed="false">
      <c r="A30" s="51" t="s">
        <v>1015</v>
      </c>
      <c r="B30" s="3" t="s">
        <v>10</v>
      </c>
      <c r="C30" s="99" t="n">
        <f aca="false">SUM(E30:G30)</f>
        <v>0</v>
      </c>
      <c r="D30" s="99" t="n">
        <f aca="false">SUM(H30:S30)</f>
        <v>9</v>
      </c>
      <c r="E30" s="8" t="n">
        <f aca="false">E19*Inputs!$C$43</f>
        <v>0</v>
      </c>
      <c r="F30" s="8" t="n">
        <f aca="false">F19*Inputs!$C$43</f>
        <v>0</v>
      </c>
      <c r="G30" s="8" t="n">
        <f aca="false">G19*Inputs!$C$43</f>
        <v>0</v>
      </c>
      <c r="H30" s="8" t="n">
        <f aca="false">H19*Inputs!$C$43</f>
        <v>0</v>
      </c>
      <c r="I30" s="8" t="n">
        <f aca="false">I19*Inputs!$C$43</f>
        <v>0</v>
      </c>
      <c r="J30" s="8" t="n">
        <f aca="false">J19*Inputs!$C$43</f>
        <v>0</v>
      </c>
      <c r="K30" s="8" t="n">
        <f aca="false">K19*Inputs!$C$43</f>
        <v>0</v>
      </c>
      <c r="L30" s="8" t="n">
        <f aca="false">L19*Inputs!$C$43</f>
        <v>0</v>
      </c>
      <c r="M30" s="8" t="n">
        <f aca="false">M19*Inputs!$C$43</f>
        <v>0</v>
      </c>
      <c r="N30" s="8" t="n">
        <f aca="false">N19*Inputs!$C$43</f>
        <v>0</v>
      </c>
      <c r="O30" s="8" t="n">
        <f aca="false">O19*Inputs!$C$43</f>
        <v>0</v>
      </c>
      <c r="P30" s="8" t="n">
        <f aca="false">P19*Inputs!$C$43</f>
        <v>0</v>
      </c>
      <c r="Q30" s="8" t="n">
        <f aca="false">Q19*Inputs!$C$43</f>
        <v>3</v>
      </c>
      <c r="R30" s="8" t="n">
        <f aca="false">R19*Inputs!$C$43</f>
        <v>3</v>
      </c>
      <c r="S30" s="8" t="n">
        <f aca="false">S19*Inputs!$C$43</f>
        <v>3</v>
      </c>
    </row>
    <row r="31" customFormat="false" ht="15" hidden="false" customHeight="true" outlineLevel="0" collapsed="false">
      <c r="A31" s="51" t="s">
        <v>1016</v>
      </c>
      <c r="B31" s="3" t="s">
        <v>10</v>
      </c>
      <c r="C31" s="99" t="n">
        <f aca="false">SUM(E31:G31)</f>
        <v>0</v>
      </c>
      <c r="D31" s="99" t="n">
        <f aca="false">SUM(H31:S31)</f>
        <v>17.5</v>
      </c>
      <c r="E31" s="8" t="n">
        <f aca="false">E47*Inputs!$C$37</f>
        <v>0</v>
      </c>
      <c r="F31" s="8" t="n">
        <f aca="false">F47*Inputs!$C$37</f>
        <v>0</v>
      </c>
      <c r="G31" s="8" t="n">
        <f aca="false">G47*Inputs!$C$37</f>
        <v>0</v>
      </c>
      <c r="H31" s="8" t="n">
        <f aca="false">H47*Inputs!$C$37</f>
        <v>2.5</v>
      </c>
      <c r="I31" s="8" t="n">
        <f aca="false">I47*Inputs!$C$37</f>
        <v>0</v>
      </c>
      <c r="J31" s="8" t="n">
        <f aca="false">J47*Inputs!$C$37</f>
        <v>2.5</v>
      </c>
      <c r="K31" s="8" t="n">
        <f aca="false">K47*Inputs!$C$37</f>
        <v>0</v>
      </c>
      <c r="L31" s="8" t="n">
        <f aca="false">L47*Inputs!$C$37</f>
        <v>2.5</v>
      </c>
      <c r="M31" s="8" t="n">
        <f aca="false">M47*Inputs!$C$37</f>
        <v>0</v>
      </c>
      <c r="N31" s="8" t="n">
        <f aca="false">N47*Inputs!$C$37</f>
        <v>0</v>
      </c>
      <c r="O31" s="8" t="n">
        <f aca="false">O47*Inputs!$C$37</f>
        <v>2.5</v>
      </c>
      <c r="P31" s="8" t="n">
        <f aca="false">P47*Inputs!$C$37</f>
        <v>7.5</v>
      </c>
      <c r="Q31" s="8" t="n">
        <f aca="false">Q47*Inputs!$C$37</f>
        <v>0</v>
      </c>
      <c r="R31" s="8" t="n">
        <f aca="false">R47*Inputs!$C$37</f>
        <v>0</v>
      </c>
      <c r="S31" s="8" t="n">
        <f aca="false">S47*Inputs!$C$37</f>
        <v>0</v>
      </c>
    </row>
    <row r="32" customFormat="false" ht="15" hidden="false" customHeight="true" outlineLevel="0" collapsed="false">
      <c r="A32" s="11" t="s">
        <v>1017</v>
      </c>
      <c r="B32" s="3" t="s">
        <v>10</v>
      </c>
      <c r="C32" s="99" t="n">
        <f aca="false">SUM(E32:G32)</f>
        <v>96.6363902683354</v>
      </c>
      <c r="D32" s="99" t="n">
        <f aca="false">SUM(H32:S32)</f>
        <v>882.925775566125</v>
      </c>
      <c r="E32" s="100" t="n">
        <f aca="false">SUM(E22:E31)+E40</f>
        <v>31.685442289788</v>
      </c>
      <c r="F32" s="100" t="n">
        <f aca="false">SUM(F22:F31)+F40</f>
        <v>32.4745864908808</v>
      </c>
      <c r="G32" s="100" t="n">
        <f aca="false">SUM(G22:G31)+G40</f>
        <v>32.4763614876667</v>
      </c>
      <c r="H32" s="100" t="n">
        <f aca="false">SUM(H22:H31)+H40</f>
        <v>42.8823666586085</v>
      </c>
      <c r="I32" s="100" t="n">
        <f aca="false">SUM(I22:I31)+I40</f>
        <v>42.7855820587183</v>
      </c>
      <c r="J32" s="100" t="n">
        <f aca="false">SUM(J22:J31)+J40</f>
        <v>62.4113058599167</v>
      </c>
      <c r="K32" s="100" t="n">
        <f aca="false">SUM(K22:K31)+K40</f>
        <v>58.3008338319975</v>
      </c>
      <c r="L32" s="100" t="n">
        <f aca="false">SUM(L22:L31)+L40</f>
        <v>67.36043172097</v>
      </c>
      <c r="M32" s="100" t="n">
        <f aca="false">SUM(M22:M31)+M40</f>
        <v>66.7188410222222</v>
      </c>
      <c r="N32" s="100" t="n">
        <f aca="false">SUM(N22:N31)+N40</f>
        <v>81.5218039591502</v>
      </c>
      <c r="O32" s="100" t="n">
        <f aca="false">SUM(O22:O31)+O40</f>
        <v>80.0426013780738</v>
      </c>
      <c r="P32" s="100" t="n">
        <f aca="false">SUM(P22:P31)+P40</f>
        <v>88.5651825301961</v>
      </c>
      <c r="Q32" s="100" t="n">
        <f aca="false">SUM(Q22:Q31)+Q40</f>
        <v>95.7457980839032</v>
      </c>
      <c r="R32" s="100" t="n">
        <f aca="false">SUM(R22:R31)+R40</f>
        <v>99.2781407621023</v>
      </c>
      <c r="S32" s="100" t="n">
        <f aca="false">SUM(S22:S31)+S40</f>
        <v>97.3128877002667</v>
      </c>
    </row>
    <row r="34" customFormat="false" ht="15" hidden="false" customHeight="false" outlineLevel="0" collapsed="false">
      <c r="A34" s="6" t="s">
        <v>1018</v>
      </c>
    </row>
    <row r="35" customFormat="false" ht="15" hidden="false" customHeight="false" outlineLevel="0" collapsed="false">
      <c r="A35" s="51" t="s">
        <v>1019</v>
      </c>
      <c r="B35" s="3" t="s">
        <v>278</v>
      </c>
      <c r="C35" s="92" t="n">
        <f aca="false">MAX(E35:G35)</f>
        <v>1</v>
      </c>
      <c r="D35" s="92" t="n">
        <f aca="false">MAX(H35:S35)</f>
        <v>1</v>
      </c>
      <c r="E35" s="10" t="n">
        <f aca="false">Inputs!$C$105</f>
        <v>1</v>
      </c>
      <c r="F35" s="10" t="n">
        <f aca="false">Inputs!$C$105</f>
        <v>1</v>
      </c>
      <c r="G35" s="10" t="n">
        <f aca="false">Inputs!$C$105</f>
        <v>1</v>
      </c>
      <c r="H35" s="10" t="n">
        <f aca="false">Inputs!$C$105</f>
        <v>1</v>
      </c>
      <c r="I35" s="10" t="n">
        <f aca="false">Inputs!$C$105</f>
        <v>1</v>
      </c>
      <c r="J35" s="10" t="n">
        <f aca="false">Inputs!$C$105</f>
        <v>1</v>
      </c>
      <c r="K35" s="10" t="n">
        <f aca="false">Inputs!$C$105</f>
        <v>1</v>
      </c>
      <c r="L35" s="10" t="n">
        <f aca="false">Inputs!$C$105</f>
        <v>1</v>
      </c>
      <c r="M35" s="10" t="n">
        <f aca="false">Inputs!$C$105</f>
        <v>1</v>
      </c>
      <c r="N35" s="10" t="n">
        <f aca="false">Inputs!$C$105</f>
        <v>1</v>
      </c>
      <c r="O35" s="10" t="n">
        <f aca="false">Inputs!$C$105</f>
        <v>1</v>
      </c>
      <c r="P35" s="10" t="n">
        <f aca="false">Inputs!$C$105</f>
        <v>1</v>
      </c>
      <c r="Q35" s="10" t="n">
        <f aca="false">Inputs!$C$105</f>
        <v>1</v>
      </c>
      <c r="R35" s="10" t="n">
        <f aca="false">Inputs!$C$105</f>
        <v>1</v>
      </c>
      <c r="S35" s="10" t="n">
        <f aca="false">Inputs!$C$105</f>
        <v>1</v>
      </c>
    </row>
    <row r="36" customFormat="false" ht="15" hidden="false" customHeight="false" outlineLevel="0" collapsed="false">
      <c r="A36" s="51" t="s">
        <v>1020</v>
      </c>
      <c r="B36" s="3" t="s">
        <v>278</v>
      </c>
      <c r="C36" s="92" t="n">
        <f aca="false">MAX(E36:G36)</f>
        <v>0</v>
      </c>
      <c r="D36" s="92" t="n">
        <f aca="false">MAX(H36:S36)</f>
        <v>1</v>
      </c>
      <c r="E36" s="10" t="n">
        <f aca="false">E35*Pay_Plan!E14</f>
        <v>0</v>
      </c>
      <c r="F36" s="10" t="n">
        <f aca="false">F35*Pay_Plan!F14</f>
        <v>0</v>
      </c>
      <c r="G36" s="10" t="n">
        <f aca="false">G35*Pay_Plan!G14</f>
        <v>0</v>
      </c>
      <c r="H36" s="10" t="n">
        <f aca="false">H35*Pay_Plan!H14</f>
        <v>1</v>
      </c>
      <c r="I36" s="10" t="n">
        <f aca="false">I35*Pay_Plan!I14</f>
        <v>1</v>
      </c>
      <c r="J36" s="10" t="n">
        <f aca="false">J35*Pay_Plan!J14</f>
        <v>1</v>
      </c>
      <c r="K36" s="10" t="n">
        <f aca="false">K35*Pay_Plan!K14</f>
        <v>1</v>
      </c>
      <c r="L36" s="10" t="n">
        <f aca="false">L35*Pay_Plan!L14</f>
        <v>1</v>
      </c>
      <c r="M36" s="10" t="n">
        <f aca="false">M35*Pay_Plan!M14</f>
        <v>1</v>
      </c>
      <c r="N36" s="10" t="n">
        <f aca="false">N35*Pay_Plan!N14</f>
        <v>1</v>
      </c>
      <c r="O36" s="10" t="n">
        <f aca="false">O35*Pay_Plan!O14</f>
        <v>1</v>
      </c>
      <c r="P36" s="10" t="n">
        <f aca="false">P35*Pay_Plan!P14</f>
        <v>1</v>
      </c>
      <c r="Q36" s="10" t="n">
        <f aca="false">Q35*Pay_Plan!Q14</f>
        <v>1</v>
      </c>
      <c r="R36" s="10" t="n">
        <f aca="false">R35*Pay_Plan!R14</f>
        <v>1</v>
      </c>
      <c r="S36" s="10" t="n">
        <f aca="false">S35*Pay_Plan!S14</f>
        <v>1</v>
      </c>
    </row>
    <row r="37" customFormat="false" ht="15" hidden="false" customHeight="false" outlineLevel="0" collapsed="false">
      <c r="A37" s="51" t="s">
        <v>1021</v>
      </c>
      <c r="B37" s="3" t="s">
        <v>10</v>
      </c>
      <c r="C37" s="99" t="n">
        <f aca="false">SUM(E37:G37)</f>
        <v>-1.4033597316646</v>
      </c>
      <c r="D37" s="99" t="n">
        <f aca="false">SUM(H37:S37)</f>
        <v>143.057834155892</v>
      </c>
      <c r="E37" s="8" t="n">
        <f aca="false">E35*(Pay_Plan!E15-E22)</f>
        <v>-0.994474376878699</v>
      </c>
      <c r="F37" s="8" t="n">
        <f aca="false">F35*(Pay_Plan!F15-F22)</f>
        <v>-0.2053301757859</v>
      </c>
      <c r="G37" s="8" t="n">
        <f aca="false">G35*(Pay_Plan!G15-G22)</f>
        <v>-0.203555179000002</v>
      </c>
      <c r="H37" s="8" t="n">
        <f aca="false">H35*(Pay_Plan!H15-H22)</f>
        <v>4.17105880129074</v>
      </c>
      <c r="I37" s="8" t="n">
        <f aca="false">I35*(Pay_Plan!I15-I22)</f>
        <v>4.5718502570015</v>
      </c>
      <c r="J37" s="8" t="n">
        <f aca="false">J35*(Pay_Plan!J15-J22)</f>
        <v>4.69496294325</v>
      </c>
      <c r="K37" s="8" t="n">
        <f aca="false">K35*(Pay_Plan!K15-K22)</f>
        <v>5.01952997272701</v>
      </c>
      <c r="L37" s="8" t="n">
        <f aca="false">L35*(Pay_Plan!L15-L22)</f>
        <v>8.57043218162297</v>
      </c>
      <c r="M37" s="8" t="n">
        <f aca="false">M35*(Pay_Plan!M15-M22)</f>
        <v>12.9194</v>
      </c>
      <c r="N37" s="8" t="n">
        <f aca="false">N35*(Pay_Plan!N15-N22)</f>
        <v>12.9194</v>
      </c>
      <c r="O37" s="8" t="n">
        <f aca="false">O35*(Pay_Plan!O15-O22)</f>
        <v>12.9194</v>
      </c>
      <c r="P37" s="8" t="n">
        <f aca="false">P35*(Pay_Plan!P15-P22)</f>
        <v>12.9194</v>
      </c>
      <c r="Q37" s="8" t="n">
        <f aca="false">Q35*(Pay_Plan!Q15-Q22)</f>
        <v>21.4508</v>
      </c>
      <c r="R37" s="8" t="n">
        <f aca="false">R35*(Pay_Plan!R15-R22)</f>
        <v>21.4508</v>
      </c>
      <c r="S37" s="8" t="n">
        <f aca="false">S35*(Pay_Plan!S15-S22)</f>
        <v>21.4508</v>
      </c>
    </row>
    <row r="38" customFormat="false" ht="15" hidden="false" customHeight="false" outlineLevel="0" collapsed="false">
      <c r="A38" s="51" t="s">
        <v>1022</v>
      </c>
      <c r="B38" s="3" t="s">
        <v>10</v>
      </c>
      <c r="C38" s="99" t="n">
        <f aca="false">SUM(E38:G38)</f>
        <v>0</v>
      </c>
      <c r="D38" s="99" t="n">
        <f aca="false">SUM(H38:S38)</f>
        <v>44.6289414102331</v>
      </c>
      <c r="E38" s="8" t="n">
        <f aca="false">E35*(Pay_Plan!E12+B2C!E53)</f>
        <v>0</v>
      </c>
      <c r="F38" s="8" t="n">
        <f aca="false">F35*(Pay_Plan!F12+B2C!F53)</f>
        <v>0</v>
      </c>
      <c r="G38" s="8" t="n">
        <f aca="false">G35*(Pay_Plan!G12+B2C!G53)</f>
        <v>0</v>
      </c>
      <c r="H38" s="8" t="n">
        <f aca="false">H35*(Pay_Plan!H12+B2C!H53)</f>
        <v>3.53139119065111</v>
      </c>
      <c r="I38" s="8" t="n">
        <f aca="false">I35*(Pay_Plan!I12+B2C!I53)</f>
        <v>3.53381513505008</v>
      </c>
      <c r="J38" s="8" t="n">
        <f aca="false">J35*(Pay_Plan!J12+B2C!J53)</f>
        <v>3.53642625</v>
      </c>
      <c r="K38" s="8" t="n">
        <f aca="false">K35*(Pay_Plan!K12+B2C!K53)</f>
        <v>3.6013871926038</v>
      </c>
      <c r="L38" s="8" t="n">
        <f aca="false">L35*(Pay_Plan!L12+B2C!L53)</f>
        <v>3.61008287268034</v>
      </c>
      <c r="M38" s="8" t="n">
        <f aca="false">M35*(Pay_Plan!M12+B2C!M53)</f>
        <v>3.61952435555556</v>
      </c>
      <c r="N38" s="8" t="n">
        <f aca="false">N35*(Pay_Plan!N12+B2C!N53)</f>
        <v>3.74248729248355</v>
      </c>
      <c r="O38" s="8" t="n">
        <f aca="false">O35*(Pay_Plan!O12+B2C!O53)</f>
        <v>3.7632847114071</v>
      </c>
      <c r="P38" s="8" t="n">
        <f aca="false">P35*(Pay_Plan!P12+B2C!P53)</f>
        <v>3.78586586352941</v>
      </c>
      <c r="Q38" s="8" t="n">
        <f aca="false">Q35*(Pay_Plan!Q12+B2C!Q53)</f>
        <v>3.93508141723655</v>
      </c>
      <c r="R38" s="8" t="n">
        <f aca="false">R35*(Pay_Plan!R12+B2C!R53)</f>
        <v>3.96742409543565</v>
      </c>
      <c r="S38" s="8" t="n">
        <f aca="false">S35*(Pay_Plan!S12+B2C!S53)</f>
        <v>4.0021710336</v>
      </c>
    </row>
    <row r="39" customFormat="false" ht="15" hidden="false" customHeight="false" outlineLevel="0" collapsed="false">
      <c r="A39" s="51" t="s">
        <v>149</v>
      </c>
      <c r="B39" s="3" t="s">
        <v>10</v>
      </c>
      <c r="C39" s="99" t="n">
        <f aca="false">SUM(E39:G39)</f>
        <v>0</v>
      </c>
      <c r="D39" s="99" t="n">
        <f aca="false">SUM(H39:S39)</f>
        <v>48</v>
      </c>
      <c r="E39" s="8" t="n">
        <f aca="false">Inputs!$C$105*IF(Volume!E6&gt;=IFERROR(MATCH(Inputs!$C$110,Volume!$E$4:$S$4,0),99),Inputs!$C$109,0)</f>
        <v>0</v>
      </c>
      <c r="F39" s="8" t="n">
        <f aca="false">Inputs!$C$105*IF(Volume!F6&gt;=IFERROR(MATCH(Inputs!$C$110,Volume!$E$4:$S$4,0),99),Inputs!$C$109,0)</f>
        <v>0</v>
      </c>
      <c r="G39" s="8" t="n">
        <f aca="false">Inputs!$C$105*IF(Volume!G6&gt;=IFERROR(MATCH(Inputs!$C$110,Volume!$E$4:$S$4,0),99),Inputs!$C$109,0)</f>
        <v>0</v>
      </c>
      <c r="H39" s="8" t="n">
        <f aca="false">Inputs!$C$105*IF(Volume!H6&gt;=IFERROR(MATCH(Inputs!$C$110,Volume!$E$4:$S$4,0),99),Inputs!$C$109,0)</f>
        <v>0</v>
      </c>
      <c r="I39" s="8" t="n">
        <f aca="false">Inputs!$C$105*IF(Volume!I6&gt;=IFERROR(MATCH(Inputs!$C$110,Volume!$E$4:$S$4,0),99),Inputs!$C$109,0)</f>
        <v>0</v>
      </c>
      <c r="J39" s="8" t="n">
        <f aca="false">Inputs!$C$105*IF(Volume!J6&gt;=IFERROR(MATCH(Inputs!$C$110,Volume!$E$4:$S$4,0),99),Inputs!$C$109,0)</f>
        <v>0</v>
      </c>
      <c r="K39" s="8" t="n">
        <f aca="false">Inputs!$C$105*IF(Volume!K6&gt;=IFERROR(MATCH(Inputs!$C$110,Volume!$E$4:$S$4,0),99),Inputs!$C$109,0)</f>
        <v>0</v>
      </c>
      <c r="L39" s="8" t="n">
        <f aca="false">Inputs!$C$105*IF(Volume!L6&gt;=IFERROR(MATCH(Inputs!$C$110,Volume!$E$4:$S$4,0),99),Inputs!$C$109,0)</f>
        <v>0</v>
      </c>
      <c r="M39" s="8" t="n">
        <f aca="false">Inputs!$C$105*IF(Volume!M6&gt;=IFERROR(MATCH(Inputs!$C$110,Volume!$E$4:$S$4,0),99),Inputs!$C$109,0)</f>
        <v>0</v>
      </c>
      <c r="N39" s="8" t="n">
        <f aca="false">Inputs!$C$105*IF(Volume!N6&gt;=IFERROR(MATCH(Inputs!$C$110,Volume!$E$4:$S$4,0),99),Inputs!$C$109,0)</f>
        <v>8</v>
      </c>
      <c r="O39" s="8" t="n">
        <f aca="false">Inputs!$C$105*IF(Volume!O6&gt;=IFERROR(MATCH(Inputs!$C$110,Volume!$E$4:$S$4,0),99),Inputs!$C$109,0)</f>
        <v>8</v>
      </c>
      <c r="P39" s="8" t="n">
        <f aca="false">Inputs!$C$105*IF(Volume!P6&gt;=IFERROR(MATCH(Inputs!$C$110,Volume!$E$4:$S$4,0),99),Inputs!$C$109,0)</f>
        <v>8</v>
      </c>
      <c r="Q39" s="8" t="n">
        <f aca="false">Inputs!$C$105*IF(Volume!Q6&gt;=IFERROR(MATCH(Inputs!$C$110,Volume!$E$4:$S$4,0),99),Inputs!$C$109,0)</f>
        <v>8</v>
      </c>
      <c r="R39" s="8" t="n">
        <f aca="false">Inputs!$C$105*IF(Volume!R6&gt;=IFERROR(MATCH(Inputs!$C$110,Volume!$E$4:$S$4,0),99),Inputs!$C$109,0)</f>
        <v>8</v>
      </c>
      <c r="S39" s="8" t="n">
        <f aca="false">Inputs!$C$105*IF(Volume!S6&gt;=IFERROR(MATCH(Inputs!$C$110,Volume!$E$4:$S$4,0),99),Inputs!$C$109,0)</f>
        <v>8</v>
      </c>
    </row>
    <row r="40" customFormat="false" ht="15" hidden="false" customHeight="false" outlineLevel="0" collapsed="false">
      <c r="A40" s="11" t="s">
        <v>1023</v>
      </c>
      <c r="B40" s="3" t="s">
        <v>10</v>
      </c>
      <c r="C40" s="99" t="n">
        <f aca="false">SUM(E40:G40)</f>
        <v>-1.4033597316646</v>
      </c>
      <c r="D40" s="99" t="n">
        <f aca="false">SUM(H40:S40)</f>
        <v>235.686775566125</v>
      </c>
      <c r="E40" s="100" t="n">
        <f aca="false">SUM(E37:E39)</f>
        <v>-0.994474376878699</v>
      </c>
      <c r="F40" s="100" t="n">
        <f aca="false">SUM(F37:F39)</f>
        <v>-0.2053301757859</v>
      </c>
      <c r="G40" s="100" t="n">
        <f aca="false">SUM(G37:G39)</f>
        <v>-0.203555179000002</v>
      </c>
      <c r="H40" s="100" t="n">
        <f aca="false">SUM(H37:H39)</f>
        <v>7.70244999194185</v>
      </c>
      <c r="I40" s="100" t="n">
        <f aca="false">SUM(I37:I39)</f>
        <v>8.10566539205158</v>
      </c>
      <c r="J40" s="100" t="n">
        <f aca="false">SUM(J37:J39)</f>
        <v>8.23138919325</v>
      </c>
      <c r="K40" s="100" t="n">
        <f aca="false">SUM(K37:K39)</f>
        <v>8.62091716533081</v>
      </c>
      <c r="L40" s="100" t="n">
        <f aca="false">SUM(L37:L39)</f>
        <v>12.1805150543033</v>
      </c>
      <c r="M40" s="100" t="n">
        <f aca="false">SUM(M37:M39)</f>
        <v>16.5389243555556</v>
      </c>
      <c r="N40" s="100" t="n">
        <f aca="false">SUM(N37:N39)</f>
        <v>24.6618872924835</v>
      </c>
      <c r="O40" s="100" t="n">
        <f aca="false">SUM(O37:O39)</f>
        <v>24.6826847114071</v>
      </c>
      <c r="P40" s="100" t="n">
        <f aca="false">SUM(P37:P39)</f>
        <v>24.7052658635294</v>
      </c>
      <c r="Q40" s="100" t="n">
        <f aca="false">SUM(Q37:Q39)</f>
        <v>33.3858814172366</v>
      </c>
      <c r="R40" s="100" t="n">
        <f aca="false">SUM(R37:R39)</f>
        <v>33.4182240954357</v>
      </c>
      <c r="S40" s="100" t="n">
        <f aca="false">SUM(S37:S39)</f>
        <v>33.4529710336</v>
      </c>
    </row>
    <row r="42" customFormat="false" ht="15" hidden="false" customHeight="false" outlineLevel="0" collapsed="false">
      <c r="A42" s="6" t="s">
        <v>1024</v>
      </c>
    </row>
    <row r="43" customFormat="false" ht="15" hidden="false" customHeight="false" outlineLevel="0" collapsed="false">
      <c r="A43" s="51" t="s">
        <v>1025</v>
      </c>
      <c r="B43" s="3" t="s">
        <v>663</v>
      </c>
      <c r="C43" s="92" t="n">
        <f aca="false">SUM(E43:G43)</f>
        <v>0</v>
      </c>
      <c r="D43" s="92" t="n">
        <f aca="false">SUM(H43:S43)</f>
        <v>39.29</v>
      </c>
      <c r="E43" s="10" t="n">
        <f aca="false">Volume!E29+Volume!E44+Volume!E45+Volume!E46+Volume!E47</f>
        <v>0</v>
      </c>
      <c r="F43" s="10" t="n">
        <f aca="false">Volume!F29+Volume!F44+Volume!F45+Volume!F46+Volume!F47</f>
        <v>0</v>
      </c>
      <c r="G43" s="10" t="n">
        <f aca="false">Volume!G29+Volume!G44+Volume!G45+Volume!G46+Volume!G47</f>
        <v>0</v>
      </c>
      <c r="H43" s="10" t="n">
        <f aca="false">Volume!H29+Volume!H44+Volume!H45+Volume!H46+Volume!H47</f>
        <v>0</v>
      </c>
      <c r="I43" s="10" t="n">
        <f aca="false">Volume!I29+Volume!I44+Volume!I45+Volume!I46+Volume!I47</f>
        <v>1</v>
      </c>
      <c r="J43" s="10" t="n">
        <f aca="false">Volume!J29+Volume!J44+Volume!J45+Volume!J46+Volume!J47</f>
        <v>2</v>
      </c>
      <c r="K43" s="10" t="n">
        <f aca="false">Volume!K29+Volume!K44+Volume!K45+Volume!K46+Volume!K47</f>
        <v>1</v>
      </c>
      <c r="L43" s="10" t="n">
        <f aca="false">Volume!L29+Volume!L44+Volume!L45+Volume!L46+Volume!L47</f>
        <v>2.5</v>
      </c>
      <c r="M43" s="10" t="n">
        <f aca="false">Volume!M29+Volume!M44+Volume!M45+Volume!M46+Volume!M47</f>
        <v>1.25</v>
      </c>
      <c r="N43" s="10" t="n">
        <f aca="false">Volume!N29+Volume!N44+Volume!N45+Volume!N46+Volume!N47</f>
        <v>4.59</v>
      </c>
      <c r="O43" s="10" t="n">
        <f aca="false">Volume!O29+Volume!O44+Volume!O45+Volume!O46+Volume!O47</f>
        <v>2.59</v>
      </c>
      <c r="P43" s="10" t="n">
        <f aca="false">Volume!P29+Volume!P44+Volume!P45+Volume!P46+Volume!P47</f>
        <v>4.34</v>
      </c>
      <c r="Q43" s="10" t="n">
        <f aca="false">Volume!Q29+Volume!Q44+Volume!Q45+Volume!Q46+Volume!Q47</f>
        <v>5.84</v>
      </c>
      <c r="R43" s="10" t="n">
        <f aca="false">Volume!R29+Volume!R44+Volume!R45+Volume!R46+Volume!R47</f>
        <v>7.59</v>
      </c>
      <c r="S43" s="10" t="n">
        <f aca="false">Volume!S29+Volume!S44+Volume!S45+Volume!S46+Volume!S47</f>
        <v>6.59</v>
      </c>
    </row>
    <row r="44" customFormat="false" ht="15" hidden="false" customHeight="false" outlineLevel="0" collapsed="false">
      <c r="A44" s="51" t="s">
        <v>1026</v>
      </c>
      <c r="B44" s="3" t="s">
        <v>43</v>
      </c>
      <c r="C44" s="92" t="n">
        <f aca="false">MAX(E44:G44)</f>
        <v>0</v>
      </c>
      <c r="D44" s="92" t="n">
        <f aca="false">MAX(H44:S44)</f>
        <v>4</v>
      </c>
      <c r="E44" s="10" t="n">
        <f aca="false">ROUNDUP(E43/Inputs!$C$115,0)</f>
        <v>0</v>
      </c>
      <c r="F44" s="10" t="n">
        <f aca="false">ROUNDUP(F43/Inputs!$C$115,0)</f>
        <v>0</v>
      </c>
      <c r="G44" s="10" t="n">
        <f aca="false">ROUNDUP(G43/Inputs!$C$115,0)</f>
        <v>0</v>
      </c>
      <c r="H44" s="10" t="n">
        <f aca="false">ROUNDUP(H43/Inputs!$C$115,0)</f>
        <v>0</v>
      </c>
      <c r="I44" s="10" t="n">
        <f aca="false">ROUNDUP(I43/Inputs!$C$115,0)</f>
        <v>1</v>
      </c>
      <c r="J44" s="10" t="n">
        <f aca="false">ROUNDUP(J43/Inputs!$C$115,0)</f>
        <v>1</v>
      </c>
      <c r="K44" s="10" t="n">
        <f aca="false">ROUNDUP(K43/Inputs!$C$115,0)</f>
        <v>1</v>
      </c>
      <c r="L44" s="10" t="n">
        <f aca="false">ROUNDUP(L43/Inputs!$C$115,0)</f>
        <v>2</v>
      </c>
      <c r="M44" s="10" t="n">
        <f aca="false">ROUNDUP(M43/Inputs!$C$115,0)</f>
        <v>1</v>
      </c>
      <c r="N44" s="10" t="n">
        <f aca="false">ROUNDUP(N43/Inputs!$C$115,0)</f>
        <v>3</v>
      </c>
      <c r="O44" s="10" t="n">
        <f aca="false">ROUNDUP(O43/Inputs!$C$115,0)</f>
        <v>2</v>
      </c>
      <c r="P44" s="10" t="n">
        <f aca="false">ROUNDUP(P43/Inputs!$C$115,0)</f>
        <v>3</v>
      </c>
      <c r="Q44" s="10" t="n">
        <f aca="false">ROUNDUP(Q43/Inputs!$C$115,0)</f>
        <v>3</v>
      </c>
      <c r="R44" s="10" t="n">
        <f aca="false">ROUNDUP(R43/Inputs!$C$115,0)</f>
        <v>4</v>
      </c>
      <c r="S44" s="10" t="n">
        <f aca="false">ROUNDUP(S43/Inputs!$C$115,0)</f>
        <v>4</v>
      </c>
    </row>
    <row r="45" customFormat="false" ht="15" hidden="false" customHeight="false" outlineLevel="0" collapsed="false">
      <c r="A45" s="51" t="s">
        <v>1027</v>
      </c>
      <c r="B45" s="3" t="s">
        <v>21</v>
      </c>
      <c r="C45" s="60" t="n">
        <f aca="false">MAX(E45:G45)</f>
        <v>0</v>
      </c>
      <c r="D45" s="60" t="n">
        <f aca="false">MAX(H45:S45)</f>
        <v>3.795</v>
      </c>
      <c r="E45" s="16" t="n">
        <f aca="false">E43/Inputs!$C$115</f>
        <v>0</v>
      </c>
      <c r="F45" s="16" t="n">
        <f aca="false">F43/Inputs!$C$115</f>
        <v>0</v>
      </c>
      <c r="G45" s="16" t="n">
        <f aca="false">G43/Inputs!$C$115</f>
        <v>0</v>
      </c>
      <c r="H45" s="16" t="n">
        <f aca="false">H43/Inputs!$C$115</f>
        <v>0</v>
      </c>
      <c r="I45" s="16" t="n">
        <f aca="false">I43/Inputs!$C$115</f>
        <v>0.5</v>
      </c>
      <c r="J45" s="16" t="n">
        <f aca="false">J43/Inputs!$C$115</f>
        <v>1</v>
      </c>
      <c r="K45" s="16" t="n">
        <f aca="false">K43/Inputs!$C$115</f>
        <v>0.5</v>
      </c>
      <c r="L45" s="16" t="n">
        <f aca="false">L43/Inputs!$C$115</f>
        <v>1.25</v>
      </c>
      <c r="M45" s="16" t="n">
        <f aca="false">M43/Inputs!$C$115</f>
        <v>0.625</v>
      </c>
      <c r="N45" s="16" t="n">
        <f aca="false">N43/Inputs!$C$115</f>
        <v>2.295</v>
      </c>
      <c r="O45" s="16" t="n">
        <f aca="false">O43/Inputs!$C$115</f>
        <v>1.295</v>
      </c>
      <c r="P45" s="16" t="n">
        <f aca="false">P43/Inputs!$C$115</f>
        <v>2.17</v>
      </c>
      <c r="Q45" s="16" t="n">
        <f aca="false">Q43/Inputs!$C$115</f>
        <v>2.92</v>
      </c>
      <c r="R45" s="16" t="n">
        <f aca="false">R43/Inputs!$C$115</f>
        <v>3.795</v>
      </c>
      <c r="S45" s="16" t="n">
        <f aca="false">S43/Inputs!$C$115</f>
        <v>3.295</v>
      </c>
    </row>
    <row r="46" customFormat="false" ht="15" hidden="false" customHeight="false" outlineLevel="0" collapsed="false">
      <c r="A46" s="51" t="s">
        <v>1028</v>
      </c>
      <c r="B46" s="3" t="s">
        <v>21</v>
      </c>
      <c r="C46" s="60" t="n">
        <f aca="false">MAX(E46:G46)</f>
        <v>0.5</v>
      </c>
      <c r="D46" s="60" t="n">
        <f aca="false">MAX(H46:S46)</f>
        <v>1</v>
      </c>
      <c r="E46" s="16" t="n">
        <f aca="false">IF(E9=0,0,E6/(E9*Inputs!$C$34))</f>
        <v>0.5</v>
      </c>
      <c r="F46" s="16" t="n">
        <f aca="false">IF(F9=0,0,F6/(F9*Inputs!$C$34))</f>
        <v>0</v>
      </c>
      <c r="G46" s="16" t="n">
        <f aca="false">IF(G9=0,0,G6/(G9*Inputs!$C$34))</f>
        <v>0</v>
      </c>
      <c r="H46" s="16" t="n">
        <f aca="false">IF(H9=0,0,H6/(H9*Inputs!$C$34))</f>
        <v>0</v>
      </c>
      <c r="I46" s="16" t="n">
        <f aca="false">IF(I9=0,0,I6/(I9*Inputs!$C$34))</f>
        <v>0.5</v>
      </c>
      <c r="J46" s="16" t="n">
        <f aca="false">IF(J9=0,0,J6/(J9*Inputs!$C$34))</f>
        <v>1</v>
      </c>
      <c r="K46" s="16" t="n">
        <f aca="false">IF(K9=0,0,K6/(K9*Inputs!$C$34))</f>
        <v>0.333333333333333</v>
      </c>
      <c r="L46" s="16" t="n">
        <f aca="false">IF(L9=0,0,L6/(L9*Inputs!$C$34))</f>
        <v>0.875</v>
      </c>
      <c r="M46" s="16" t="n">
        <f aca="false">IF(M9=0,0,M6/(M9*Inputs!$C$34))</f>
        <v>0.3125</v>
      </c>
      <c r="N46" s="16" t="n">
        <f aca="false">IF(N9=0,0,N6/(N9*Inputs!$C$34))</f>
        <v>0.918</v>
      </c>
      <c r="O46" s="16" t="n">
        <f aca="false">IF(O9=0,0,O6/(O9*Inputs!$C$34))</f>
        <v>0.318</v>
      </c>
      <c r="P46" s="16" t="n">
        <f aca="false">IF(P9=0,0,P6/(P9*Inputs!$C$34))</f>
        <v>0.868</v>
      </c>
      <c r="Q46" s="16" t="n">
        <f aca="false">IF(Q9=0,0,Q6/(Q9*Inputs!$C$34))</f>
        <v>0.973333333333333</v>
      </c>
      <c r="R46" s="16" t="n">
        <f aca="false">IF(R9=0,0,R6/(R9*Inputs!$C$34))</f>
        <v>0.954444444444444</v>
      </c>
      <c r="S46" s="16" t="n">
        <f aca="false">IF(S9=0,0,S6/(S9*Inputs!$C$34))</f>
        <v>0.843333333333333</v>
      </c>
    </row>
    <row r="47" customFormat="false" ht="15" hidden="false" customHeight="false" outlineLevel="0" collapsed="false">
      <c r="A47" s="51" t="s">
        <v>1029</v>
      </c>
      <c r="B47" s="3" t="s">
        <v>43</v>
      </c>
      <c r="C47" s="92" t="n">
        <f aca="false">SUM(E47:G47)</f>
        <v>0</v>
      </c>
      <c r="D47" s="92" t="n">
        <f aca="false">SUM(H47:S47)</f>
        <v>7</v>
      </c>
      <c r="E47" s="10" t="n">
        <f aca="false">IF(Inputs!$C$105=1,IFERROR(INDEX($E$10:$S$10,Volume!E6+Inputs!$C$116),0),E10)</f>
        <v>0</v>
      </c>
      <c r="F47" s="10" t="n">
        <f aca="false">IF(Inputs!$C$105=1,IFERROR(INDEX($E$10:$S$10,Volume!F6+Inputs!$C$116),0),F10)</f>
        <v>0</v>
      </c>
      <c r="G47" s="10" t="n">
        <f aca="false">IF(Inputs!$C$105=1,IFERROR(INDEX($E$10:$S$10,Volume!G6+Inputs!$C$116),0),G10)</f>
        <v>0</v>
      </c>
      <c r="H47" s="10" t="n">
        <f aca="false">IF(Inputs!$C$105=1,IFERROR(INDEX($E$10:$S$10,Volume!H6+Inputs!$C$116),0),H10)</f>
        <v>1</v>
      </c>
      <c r="I47" s="10" t="n">
        <f aca="false">IF(Inputs!$C$105=1,IFERROR(INDEX($E$10:$S$10,Volume!I6+Inputs!$C$116),0),I10)</f>
        <v>0</v>
      </c>
      <c r="J47" s="10" t="n">
        <f aca="false">IF(Inputs!$C$105=1,IFERROR(INDEX($E$10:$S$10,Volume!J6+Inputs!$C$116),0),J10)</f>
        <v>1</v>
      </c>
      <c r="K47" s="10" t="n">
        <f aca="false">IF(Inputs!$C$105=1,IFERROR(INDEX($E$10:$S$10,Volume!K6+Inputs!$C$116),0),K10)</f>
        <v>0</v>
      </c>
      <c r="L47" s="10" t="n">
        <f aca="false">IF(Inputs!$C$105=1,IFERROR(INDEX($E$10:$S$10,Volume!L6+Inputs!$C$116),0),L10)</f>
        <v>1</v>
      </c>
      <c r="M47" s="10" t="n">
        <f aca="false">IF(Inputs!$C$105=1,IFERROR(INDEX($E$10:$S$10,Volume!M6+Inputs!$C$116),0),M10)</f>
        <v>0</v>
      </c>
      <c r="N47" s="10" t="n">
        <f aca="false">IF(Inputs!$C$105=1,IFERROR(INDEX($E$10:$S$10,Volume!N6+Inputs!$C$116),0),N10)</f>
        <v>0</v>
      </c>
      <c r="O47" s="10" t="n">
        <f aca="false">IF(Inputs!$C$105=1,IFERROR(INDEX($E$10:$S$10,Volume!O6+Inputs!$C$116),0),O10)</f>
        <v>1</v>
      </c>
      <c r="P47" s="10" t="n">
        <f aca="false">IF(Inputs!$C$105=1,IFERROR(INDEX($E$10:$S$10,Volume!P6+Inputs!$C$116),0),P10)</f>
        <v>3</v>
      </c>
      <c r="Q47" s="10" t="n">
        <f aca="false">IF(Inputs!$C$105=1,IFERROR(INDEX($E$10:$S$10,Volume!Q6+Inputs!$C$116),0),Q10)</f>
        <v>0</v>
      </c>
      <c r="R47" s="10" t="n">
        <f aca="false">IF(Inputs!$C$105=1,IFERROR(INDEX($E$10:$S$10,Volume!R6+Inputs!$C$116),0),R10)</f>
        <v>0</v>
      </c>
      <c r="S47" s="10" t="n">
        <f aca="false">IF(Inputs!$C$105=1,IFERROR(INDEX($E$10:$S$10,Volume!S6+Inputs!$C$116),0),S10)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19" min="3" style="0" width="10.51"/>
  </cols>
  <sheetData>
    <row r="1" customFormat="false" ht="17.25" hidden="false" customHeight="true" outlineLevel="0" collapsed="false">
      <c r="A1" s="1" t="s">
        <v>1030</v>
      </c>
      <c r="B1" s="2"/>
      <c r="C1" s="2"/>
      <c r="D1" s="2"/>
      <c r="E1" s="2"/>
      <c r="F1" s="2"/>
      <c r="G1" s="2"/>
      <c r="H1" s="2"/>
      <c r="I1" s="2"/>
      <c r="J1" s="2"/>
      <c r="K1" s="2"/>
      <c r="L1" s="2"/>
      <c r="M1" s="2"/>
      <c r="N1" s="2"/>
      <c r="O1" s="2"/>
      <c r="P1" s="2"/>
      <c r="Q1" s="2"/>
      <c r="R1" s="2"/>
      <c r="S1" s="2"/>
    </row>
    <row r="2" customFormat="false" ht="15" hidden="false" customHeight="true" outlineLevel="0" collapsed="false">
      <c r="A2" s="3" t="s">
        <v>824</v>
      </c>
      <c r="B2" s="2"/>
      <c r="C2" s="2"/>
      <c r="D2" s="2"/>
      <c r="E2" s="2"/>
      <c r="F2" s="2"/>
      <c r="G2" s="2"/>
      <c r="H2" s="2"/>
      <c r="I2" s="2"/>
      <c r="J2" s="2"/>
      <c r="K2" s="2"/>
      <c r="L2" s="2"/>
      <c r="M2" s="2"/>
      <c r="N2" s="2"/>
      <c r="O2" s="2"/>
      <c r="P2" s="2"/>
      <c r="Q2" s="2"/>
      <c r="R2" s="2"/>
      <c r="S2" s="2"/>
    </row>
    <row r="3" customFormat="false" ht="15" hidden="false" customHeight="true" outlineLevel="0" collapsed="false">
      <c r="A3" s="2"/>
      <c r="B3" s="2"/>
      <c r="C3" s="2"/>
      <c r="D3" s="2"/>
      <c r="E3" s="2"/>
      <c r="F3" s="2"/>
      <c r="G3" s="2"/>
      <c r="H3" s="2"/>
      <c r="I3" s="2"/>
      <c r="J3" s="2"/>
      <c r="K3" s="2"/>
      <c r="L3" s="2"/>
      <c r="M3" s="2"/>
      <c r="N3" s="2"/>
      <c r="O3" s="2"/>
      <c r="P3" s="2"/>
      <c r="Q3" s="2"/>
      <c r="R3" s="2"/>
      <c r="S3" s="2"/>
    </row>
    <row r="4" customFormat="false" ht="15" hidden="false" customHeight="true" outlineLevel="0" collapsed="false">
      <c r="A4" s="35" t="s">
        <v>176</v>
      </c>
      <c r="B4" s="35" t="s">
        <v>6</v>
      </c>
      <c r="C4" s="35" t="s">
        <v>177</v>
      </c>
      <c r="D4" s="35" t="s">
        <v>178</v>
      </c>
      <c r="E4" s="35" t="s">
        <v>735</v>
      </c>
      <c r="F4" s="35" t="s">
        <v>825</v>
      </c>
      <c r="G4" s="35" t="s">
        <v>826</v>
      </c>
      <c r="H4" s="35" t="s">
        <v>67</v>
      </c>
      <c r="I4" s="35" t="s">
        <v>66</v>
      </c>
      <c r="J4" s="35" t="s">
        <v>624</v>
      </c>
      <c r="K4" s="35" t="s">
        <v>68</v>
      </c>
      <c r="L4" s="35" t="s">
        <v>827</v>
      </c>
      <c r="M4" s="35" t="s">
        <v>828</v>
      </c>
      <c r="N4" s="35" t="s">
        <v>641</v>
      </c>
      <c r="O4" s="35" t="s">
        <v>829</v>
      </c>
      <c r="P4" s="35" t="s">
        <v>830</v>
      </c>
      <c r="Q4" s="35" t="s">
        <v>651</v>
      </c>
      <c r="R4" s="35" t="s">
        <v>831</v>
      </c>
      <c r="S4" s="35" t="s">
        <v>832</v>
      </c>
    </row>
    <row r="5" customFormat="false" ht="15" hidden="false" customHeight="true" outlineLevel="0" collapsed="false">
      <c r="A5" s="6" t="s">
        <v>256</v>
      </c>
      <c r="B5" s="7"/>
      <c r="C5" s="7"/>
      <c r="D5" s="7"/>
      <c r="E5" s="7"/>
      <c r="F5" s="7"/>
      <c r="G5" s="7"/>
      <c r="H5" s="7"/>
      <c r="I5" s="7"/>
      <c r="J5" s="7"/>
      <c r="K5" s="7"/>
      <c r="L5" s="7"/>
      <c r="M5" s="7"/>
      <c r="N5" s="7"/>
      <c r="O5" s="7"/>
      <c r="P5" s="7"/>
      <c r="Q5" s="7"/>
      <c r="R5" s="7"/>
      <c r="S5" s="7"/>
    </row>
    <row r="6" customFormat="false" ht="15" hidden="false" customHeight="true" outlineLevel="0" collapsed="false">
      <c r="A6" s="51" t="s">
        <v>842</v>
      </c>
      <c r="B6" s="3" t="s">
        <v>10</v>
      </c>
      <c r="C6" s="99" t="n">
        <f aca="false">SUM(E6:G6)</f>
        <v>0</v>
      </c>
      <c r="D6" s="99" t="n">
        <f aca="false">SUM(H6:S6)</f>
        <v>500</v>
      </c>
      <c r="E6" s="8" t="n">
        <f aca="false">Volume!E23*IF(Volume!E11=1,Unit_Economics!$B$4,Unit_Economics!$N$4)</f>
        <v>0</v>
      </c>
      <c r="F6" s="8" t="n">
        <f aca="false">Volume!F23*IF(Volume!F11=1,Unit_Economics!$B$4,Unit_Economics!$N$4)</f>
        <v>0</v>
      </c>
      <c r="G6" s="8" t="n">
        <f aca="false">Volume!G23*IF(Volume!G11=1,Unit_Economics!$B$4,Unit_Economics!$N$4)</f>
        <v>0</v>
      </c>
      <c r="H6" s="8" t="n">
        <f aca="false">Volume!H23*IF(Volume!H11=1,Unit_Economics!$B$4,Unit_Economics!$N$4)</f>
        <v>0</v>
      </c>
      <c r="I6" s="8" t="n">
        <f aca="false">Volume!I23*IF(Volume!I11=1,Unit_Economics!$B$4,Unit_Economics!$N$4)</f>
        <v>0</v>
      </c>
      <c r="J6" s="8" t="n">
        <f aca="false">Volume!J23*IF(Volume!J11=1,Unit_Economics!$B$4,Unit_Economics!$N$4)</f>
        <v>100</v>
      </c>
      <c r="K6" s="8" t="n">
        <f aca="false">Volume!K23*IF(Volume!K11=1,Unit_Economics!$B$4,Unit_Economics!$N$4)</f>
        <v>0</v>
      </c>
      <c r="L6" s="8" t="n">
        <f aca="false">Volume!L23*IF(Volume!L11=1,Unit_Economics!$B$4,Unit_Economics!$N$4)</f>
        <v>100</v>
      </c>
      <c r="M6" s="8" t="n">
        <f aca="false">Volume!M23*IF(Volume!M11=1,Unit_Economics!$B$4,Unit_Economics!$N$4)</f>
        <v>0</v>
      </c>
      <c r="N6" s="8" t="n">
        <f aca="false">Volume!N23*IF(Volume!N11=1,Unit_Economics!$B$4,Unit_Economics!$N$4)</f>
        <v>100</v>
      </c>
      <c r="O6" s="8" t="n">
        <f aca="false">Volume!O23*IF(Volume!O11=1,Unit_Economics!$B$4,Unit_Economics!$N$4)</f>
        <v>0</v>
      </c>
      <c r="P6" s="8" t="n">
        <f aca="false">Volume!P23*IF(Volume!P11=1,Unit_Economics!$B$4,Unit_Economics!$N$4)</f>
        <v>100</v>
      </c>
      <c r="Q6" s="8" t="n">
        <f aca="false">Volume!Q23*IF(Volume!Q11=1,Unit_Economics!$B$4,Unit_Economics!$N$4)</f>
        <v>0</v>
      </c>
      <c r="R6" s="8" t="n">
        <f aca="false">Volume!R23*IF(Volume!R11=1,Unit_Economics!$B$4,Unit_Economics!$N$4)</f>
        <v>100</v>
      </c>
      <c r="S6" s="8" t="n">
        <f aca="false">Volume!S23*IF(Volume!S11=1,Unit_Economics!$B$4,Unit_Economics!$N$4)</f>
        <v>0</v>
      </c>
    </row>
    <row r="7" customFormat="false" ht="15" hidden="false" customHeight="true" outlineLevel="0" collapsed="false">
      <c r="A7" s="51" t="s">
        <v>843</v>
      </c>
      <c r="B7" s="3" t="s">
        <v>10</v>
      </c>
      <c r="C7" s="99" t="n">
        <f aca="false">SUM(E7:G7)</f>
        <v>0</v>
      </c>
      <c r="D7" s="99" t="n">
        <f aca="false">SUM(H7:S7)</f>
        <v>484.5</v>
      </c>
      <c r="E7" s="8" t="n">
        <f aca="false">Volume!E24*IF(Volume!E11=1,Unit_Economics!$B$5,Unit_Economics!$N$5)</f>
        <v>0</v>
      </c>
      <c r="F7" s="8" t="n">
        <f aca="false">Volume!F24*IF(Volume!F11=1,Unit_Economics!$B$5,Unit_Economics!$N$5)</f>
        <v>0</v>
      </c>
      <c r="G7" s="8" t="n">
        <f aca="false">Volume!G24*IF(Volume!G11=1,Unit_Economics!$B$5,Unit_Economics!$N$5)</f>
        <v>0</v>
      </c>
      <c r="H7" s="8" t="n">
        <f aca="false">Volume!H24*IF(Volume!H11=1,Unit_Economics!$B$5,Unit_Economics!$N$5)</f>
        <v>0</v>
      </c>
      <c r="I7" s="8" t="n">
        <f aca="false">Volume!I24*IF(Volume!I11=1,Unit_Economics!$B$5,Unit_Economics!$N$5)</f>
        <v>0</v>
      </c>
      <c r="J7" s="8" t="n">
        <f aca="false">Volume!J24*IF(Volume!J11=1,Unit_Economics!$B$5,Unit_Economics!$N$5)</f>
        <v>28.5</v>
      </c>
      <c r="K7" s="8" t="n">
        <f aca="false">Volume!K24*IF(Volume!K11=1,Unit_Economics!$B$5,Unit_Economics!$N$5)</f>
        <v>0</v>
      </c>
      <c r="L7" s="8" t="n">
        <f aca="false">Volume!L24*IF(Volume!L11=1,Unit_Economics!$B$5,Unit_Economics!$N$5)</f>
        <v>28.5</v>
      </c>
      <c r="M7" s="8" t="n">
        <f aca="false">Volume!M24*IF(Volume!M11=1,Unit_Economics!$B$5,Unit_Economics!$N$5)</f>
        <v>28.5</v>
      </c>
      <c r="N7" s="8" t="n">
        <f aca="false">Volume!N24*IF(Volume!N11=1,Unit_Economics!$B$5,Unit_Economics!$N$5)</f>
        <v>28.5</v>
      </c>
      <c r="O7" s="8" t="n">
        <f aca="false">Volume!O24*IF(Volume!O11=1,Unit_Economics!$B$5,Unit_Economics!$N$5)</f>
        <v>28.5</v>
      </c>
      <c r="P7" s="8" t="n">
        <f aca="false">Volume!P24*IF(Volume!P11=1,Unit_Economics!$B$5,Unit_Economics!$N$5)</f>
        <v>57</v>
      </c>
      <c r="Q7" s="8" t="n">
        <f aca="false">Volume!Q24*IF(Volume!Q11=1,Unit_Economics!$B$5,Unit_Economics!$N$5)</f>
        <v>57</v>
      </c>
      <c r="R7" s="8" t="n">
        <f aca="false">Volume!R24*IF(Volume!R11=1,Unit_Economics!$B$5,Unit_Economics!$N$5)</f>
        <v>85.5</v>
      </c>
      <c r="S7" s="8" t="n">
        <f aca="false">Volume!S24*IF(Volume!S11=1,Unit_Economics!$B$5,Unit_Economics!$N$5)</f>
        <v>142.5</v>
      </c>
    </row>
    <row r="8" customFormat="false" ht="15" hidden="false" customHeight="true" outlineLevel="0" collapsed="false">
      <c r="A8" s="51" t="s">
        <v>844</v>
      </c>
      <c r="B8" s="3" t="s">
        <v>10</v>
      </c>
      <c r="C8" s="99" t="n">
        <f aca="false">SUM(E8:G8)</f>
        <v>0</v>
      </c>
      <c r="D8" s="99" t="n">
        <f aca="false">SUM(H8:S8)</f>
        <v>374.5</v>
      </c>
      <c r="E8" s="8" t="n">
        <f aca="false">Volume!E25*IF(Volume!E11=1,Unit_Economics!$B$6,Unit_Economics!$N$6)</f>
        <v>0</v>
      </c>
      <c r="F8" s="8" t="n">
        <f aca="false">Volume!F25*IF(Volume!F11=1,Unit_Economics!$B$6,Unit_Economics!$N$6)</f>
        <v>0</v>
      </c>
      <c r="G8" s="8" t="n">
        <f aca="false">Volume!G25*IF(Volume!G11=1,Unit_Economics!$B$6,Unit_Economics!$N$6)</f>
        <v>0</v>
      </c>
      <c r="H8" s="8" t="n">
        <f aca="false">Volume!H25*IF(Volume!H11=1,Unit_Economics!$B$6,Unit_Economics!$N$6)</f>
        <v>0</v>
      </c>
      <c r="I8" s="8" t="n">
        <f aca="false">Volume!I25*IF(Volume!I11=1,Unit_Economics!$B$6,Unit_Economics!$N$6)</f>
        <v>0</v>
      </c>
      <c r="J8" s="8" t="n">
        <f aca="false">Volume!J25*IF(Volume!J11=1,Unit_Economics!$B$6,Unit_Economics!$N$6)</f>
        <v>0</v>
      </c>
      <c r="K8" s="8" t="n">
        <f aca="false">Volume!K25*IF(Volume!K11=1,Unit_Economics!$B$6,Unit_Economics!$N$6)</f>
        <v>53.5</v>
      </c>
      <c r="L8" s="8" t="n">
        <f aca="false">Volume!L25*IF(Volume!L11=1,Unit_Economics!$B$6,Unit_Economics!$N$6)</f>
        <v>0</v>
      </c>
      <c r="M8" s="8" t="n">
        <f aca="false">Volume!M25*IF(Volume!M11=1,Unit_Economics!$B$6,Unit_Economics!$N$6)</f>
        <v>0</v>
      </c>
      <c r="N8" s="8" t="n">
        <f aca="false">Volume!N25*IF(Volume!N11=1,Unit_Economics!$B$6,Unit_Economics!$N$6)</f>
        <v>53.5</v>
      </c>
      <c r="O8" s="8" t="n">
        <f aca="false">Volume!O25*IF(Volume!O11=1,Unit_Economics!$B$6,Unit_Economics!$N$6)</f>
        <v>0</v>
      </c>
      <c r="P8" s="8" t="n">
        <f aca="false">Volume!P25*IF(Volume!P11=1,Unit_Economics!$B$6,Unit_Economics!$N$6)</f>
        <v>0</v>
      </c>
      <c r="Q8" s="8" t="n">
        <f aca="false">Volume!Q25*IF(Volume!Q11=1,Unit_Economics!$B$6,Unit_Economics!$N$6)</f>
        <v>107</v>
      </c>
      <c r="R8" s="8" t="n">
        <f aca="false">Volume!R25*IF(Volume!R11=1,Unit_Economics!$B$6,Unit_Economics!$N$6)</f>
        <v>107</v>
      </c>
      <c r="S8" s="8" t="n">
        <f aca="false">Volume!S25*IF(Volume!S11=1,Unit_Economics!$B$6,Unit_Economics!$N$6)</f>
        <v>53.5</v>
      </c>
    </row>
    <row r="9" customFormat="false" ht="15" hidden="false" customHeight="true" outlineLevel="0" collapsed="false">
      <c r="A9" s="51" t="s">
        <v>1031</v>
      </c>
      <c r="B9" s="3" t="s">
        <v>10</v>
      </c>
      <c r="C9" s="99" t="n">
        <f aca="false">SUM(E9:G9)</f>
        <v>45</v>
      </c>
      <c r="D9" s="99" t="n">
        <f aca="false">SUM(H9:S9)</f>
        <v>435</v>
      </c>
      <c r="E9" s="8" t="n">
        <f aca="false">Volume!E26*IF(Volume!E11=1,Unit_Economics!$B$7,Unit_Economics!$N$7)</f>
        <v>15</v>
      </c>
      <c r="F9" s="8" t="n">
        <f aca="false">Volume!F26*IF(Volume!F11=1,Unit_Economics!$B$7,Unit_Economics!$N$7)</f>
        <v>15</v>
      </c>
      <c r="G9" s="8" t="n">
        <f aca="false">Volume!G26*IF(Volume!G11=1,Unit_Economics!$B$7,Unit_Economics!$N$7)</f>
        <v>15</v>
      </c>
      <c r="H9" s="8" t="n">
        <f aca="false">Volume!H26*IF(Volume!H11=1,Unit_Economics!$B$7,Unit_Economics!$N$7)</f>
        <v>15</v>
      </c>
      <c r="I9" s="8" t="n">
        <f aca="false">Volume!I26*IF(Volume!I11=1,Unit_Economics!$B$7,Unit_Economics!$N$7)</f>
        <v>30</v>
      </c>
      <c r="J9" s="8" t="n">
        <f aca="false">Volume!J26*IF(Volume!J11=1,Unit_Economics!$B$7,Unit_Economics!$N$7)</f>
        <v>30</v>
      </c>
      <c r="K9" s="8" t="n">
        <f aca="false">Volume!K26*IF(Volume!K11=1,Unit_Economics!$B$7,Unit_Economics!$N$7)</f>
        <v>30</v>
      </c>
      <c r="L9" s="8" t="n">
        <f aca="false">Volume!L26*IF(Volume!L11=1,Unit_Economics!$B$7,Unit_Economics!$N$7)</f>
        <v>30</v>
      </c>
      <c r="M9" s="8" t="n">
        <f aca="false">Volume!M26*IF(Volume!M11=1,Unit_Economics!$B$7,Unit_Economics!$N$7)</f>
        <v>30</v>
      </c>
      <c r="N9" s="8" t="n">
        <f aca="false">Volume!N26*IF(Volume!N11=1,Unit_Economics!$B$7,Unit_Economics!$N$7)</f>
        <v>45</v>
      </c>
      <c r="O9" s="8" t="n">
        <f aca="false">Volume!O26*IF(Volume!O11=1,Unit_Economics!$B$7,Unit_Economics!$N$7)</f>
        <v>45</v>
      </c>
      <c r="P9" s="8" t="n">
        <f aca="false">Volume!P26*IF(Volume!P11=1,Unit_Economics!$B$7,Unit_Economics!$N$7)</f>
        <v>45</v>
      </c>
      <c r="Q9" s="8" t="n">
        <f aca="false">Volume!Q26*IF(Volume!Q11=1,Unit_Economics!$B$7,Unit_Economics!$N$7)</f>
        <v>45</v>
      </c>
      <c r="R9" s="8" t="n">
        <f aca="false">Volume!R26*IF(Volume!R11=1,Unit_Economics!$B$7,Unit_Economics!$N$7)</f>
        <v>45</v>
      </c>
      <c r="S9" s="8" t="n">
        <f aca="false">Volume!S26*IF(Volume!S11=1,Unit_Economics!$B$7,Unit_Economics!$N$7)</f>
        <v>45</v>
      </c>
    </row>
    <row r="10" customFormat="false" ht="15" hidden="false" customHeight="true" outlineLevel="0" collapsed="false">
      <c r="A10" s="51" t="s">
        <v>846</v>
      </c>
      <c r="B10" s="3" t="s">
        <v>10</v>
      </c>
      <c r="C10" s="99" t="n">
        <f aca="false">SUM(E10:G10)</f>
        <v>4.144</v>
      </c>
      <c r="D10" s="99" t="n">
        <f aca="false">SUM(H10:S10)</f>
        <v>16.576</v>
      </c>
      <c r="E10" s="8" t="n">
        <f aca="false">Volume!E27*IF(Volume!E11=1,Unit_Economics!$B$8,Unit_Economics!$N$8)</f>
        <v>4.144</v>
      </c>
      <c r="F10" s="8" t="n">
        <f aca="false">Volume!F27*IF(Volume!F11=1,Unit_Economics!$B$8,Unit_Economics!$N$8)</f>
        <v>0</v>
      </c>
      <c r="G10" s="8" t="n">
        <f aca="false">Volume!G27*IF(Volume!G11=1,Unit_Economics!$B$8,Unit_Economics!$N$8)</f>
        <v>0</v>
      </c>
      <c r="H10" s="8" t="n">
        <f aca="false">Volume!H27*IF(Volume!H11=1,Unit_Economics!$B$8,Unit_Economics!$N$8)</f>
        <v>0</v>
      </c>
      <c r="I10" s="8" t="n">
        <f aca="false">Volume!I27*IF(Volume!I11=1,Unit_Economics!$B$8,Unit_Economics!$N$8)</f>
        <v>4.144</v>
      </c>
      <c r="J10" s="8" t="n">
        <f aca="false">Volume!J27*IF(Volume!J11=1,Unit_Economics!$B$8,Unit_Economics!$N$8)</f>
        <v>0</v>
      </c>
      <c r="K10" s="8" t="n">
        <f aca="false">Volume!K27*IF(Volume!K11=1,Unit_Economics!$B$8,Unit_Economics!$N$8)</f>
        <v>0</v>
      </c>
      <c r="L10" s="8" t="n">
        <f aca="false">Volume!L27*IF(Volume!L11=1,Unit_Economics!$B$8,Unit_Economics!$N$8)</f>
        <v>0</v>
      </c>
      <c r="M10" s="8" t="n">
        <f aca="false">Volume!M27*IF(Volume!M11=1,Unit_Economics!$B$8,Unit_Economics!$N$8)</f>
        <v>0</v>
      </c>
      <c r="N10" s="8" t="n">
        <f aca="false">Volume!N27*IF(Volume!N11=1,Unit_Economics!$B$8,Unit_Economics!$N$8)</f>
        <v>0</v>
      </c>
      <c r="O10" s="8" t="n">
        <f aca="false">Volume!O27*IF(Volume!O11=1,Unit_Economics!$B$8,Unit_Economics!$N$8)</f>
        <v>0</v>
      </c>
      <c r="P10" s="8" t="n">
        <f aca="false">Volume!P27*IF(Volume!P11=1,Unit_Economics!$B$8,Unit_Economics!$N$8)</f>
        <v>0</v>
      </c>
      <c r="Q10" s="8" t="n">
        <f aca="false">Volume!Q27*IF(Volume!Q11=1,Unit_Economics!$B$8,Unit_Economics!$N$8)</f>
        <v>4.144</v>
      </c>
      <c r="R10" s="8" t="n">
        <f aca="false">Volume!R27*IF(Volume!R11=1,Unit_Economics!$B$8,Unit_Economics!$N$8)</f>
        <v>4.144</v>
      </c>
      <c r="S10" s="8" t="n">
        <f aca="false">Volume!S27*IF(Volume!S11=1,Unit_Economics!$B$8,Unit_Economics!$N$8)</f>
        <v>4.144</v>
      </c>
    </row>
    <row r="11" customFormat="false" ht="15" hidden="false" customHeight="true" outlineLevel="0" collapsed="false">
      <c r="A11" s="51" t="s">
        <v>1032</v>
      </c>
      <c r="B11" s="3" t="s">
        <v>10</v>
      </c>
      <c r="C11" s="99" t="n">
        <f aca="false">SUM(E11:G11)</f>
        <v>5.27001096779305</v>
      </c>
      <c r="D11" s="99" t="n">
        <f aca="false">SUM(H11:S11)</f>
        <v>142.710569034263</v>
      </c>
      <c r="E11" s="8" t="n">
        <f aca="false">Volume!E28*Inputs!$C$14</f>
        <v>1.284616980779</v>
      </c>
      <c r="F11" s="8" t="n">
        <f aca="false">Volume!F28*Inputs!$C$14</f>
        <v>1.96060479058906</v>
      </c>
      <c r="G11" s="8" t="n">
        <f aca="false">Volume!G28*Inputs!$C$14</f>
        <v>2.024789196425</v>
      </c>
      <c r="H11" s="8" t="n">
        <f aca="false">Volume!H28*Inputs!$C$14</f>
        <v>2.73738946403037</v>
      </c>
      <c r="I11" s="8" t="n">
        <f aca="false">Volume!I28*Inputs!$C$14</f>
        <v>5.71673647830248</v>
      </c>
      <c r="J11" s="8" t="n">
        <f aca="false">Volume!J28*Inputs!$C$14</f>
        <v>4.0491244184375</v>
      </c>
      <c r="K11" s="8" t="n">
        <f aca="false">Volume!K28*Inputs!$C$14</f>
        <v>8.5549431233356</v>
      </c>
      <c r="L11" s="8" t="n">
        <f aca="false">Volume!L28*Inputs!$C$14</f>
        <v>8.88903386927637</v>
      </c>
      <c r="M11" s="8" t="n">
        <f aca="false">Volume!M28*Inputs!$C$14</f>
        <v>8.99359409180556</v>
      </c>
      <c r="N11" s="8" t="n">
        <f aca="false">Volume!N28*Inputs!$C$14</f>
        <v>15.4025948740243</v>
      </c>
      <c r="O11" s="8" t="n">
        <f aca="false">Volume!O28*Inputs!$C$14</f>
        <v>15.9992138969206</v>
      </c>
      <c r="P11" s="8" t="n">
        <f aca="false">Volume!P28*Inputs!$C$14</f>
        <v>16.9051876713788</v>
      </c>
      <c r="Q11" s="8" t="n">
        <f aca="false">Volume!Q28*Inputs!$C$14</f>
        <v>18.6801708473759</v>
      </c>
      <c r="R11" s="8" t="n">
        <f aca="false">Volume!R28*Inputs!$C$14</f>
        <v>19.3760356973337</v>
      </c>
      <c r="S11" s="8" t="n">
        <f aca="false">Volume!S28*Inputs!$C$14</f>
        <v>17.4065446020416</v>
      </c>
    </row>
    <row r="12" customFormat="false" ht="15" hidden="false" customHeight="true" outlineLevel="0" collapsed="false">
      <c r="A12" s="11" t="s">
        <v>1033</v>
      </c>
      <c r="B12" s="3" t="s">
        <v>10</v>
      </c>
      <c r="C12" s="99" t="n">
        <f aca="false">SUM(E12:G12)</f>
        <v>64.5570109677931</v>
      </c>
      <c r="D12" s="99" t="n">
        <f aca="false">SUM(H12:S12)</f>
        <v>2432.55456903426</v>
      </c>
      <c r="E12" s="100" t="n">
        <f aca="false">SUM(E6:E11)+E51</f>
        <v>20.428616980779</v>
      </c>
      <c r="F12" s="100" t="n">
        <f aca="false">SUM(F6:F11)+F51</f>
        <v>22.0321047905891</v>
      </c>
      <c r="G12" s="100" t="n">
        <f aca="false">SUM(G6:G11)+G51</f>
        <v>22.096289196425</v>
      </c>
      <c r="H12" s="100" t="n">
        <f aca="false">SUM(H6:H11)+H51</f>
        <v>22.8088894640304</v>
      </c>
      <c r="I12" s="100" t="n">
        <f aca="false">SUM(I6:I11)+I51</f>
        <v>71.8302364783025</v>
      </c>
      <c r="J12" s="100" t="n">
        <f aca="false">SUM(J6:J11)+J51</f>
        <v>175.590124418437</v>
      </c>
      <c r="K12" s="100" t="n">
        <f aca="false">SUM(K6:K11)+K51</f>
        <v>110.167443123336</v>
      </c>
      <c r="L12" s="100" t="n">
        <f aca="false">SUM(L6:L11)+L51</f>
        <v>199.751533869276</v>
      </c>
      <c r="M12" s="100" t="n">
        <f aca="false">SUM(M6:M11)+M51</f>
        <v>90.5575940918056</v>
      </c>
      <c r="N12" s="100" t="n">
        <f aca="false">SUM(N6:N11)+N51</f>
        <v>302.054594874024</v>
      </c>
      <c r="O12" s="100" t="n">
        <f aca="false">SUM(O6:O11)+O51</f>
        <v>149.151213896921</v>
      </c>
      <c r="P12" s="100" t="n">
        <f aca="false">SUM(P6:P11)+P51</f>
        <v>273.605687671379</v>
      </c>
      <c r="Q12" s="100" t="n">
        <f aca="false">SUM(Q6:Q11)+Q51</f>
        <v>305.846170847376</v>
      </c>
      <c r="R12" s="100" t="n">
        <f aca="false">SUM(R6:R11)+R51</f>
        <v>427.917035697334</v>
      </c>
      <c r="S12" s="100" t="n">
        <f aca="false">SUM(S6:S11)+S51</f>
        <v>303.274044602042</v>
      </c>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row>
    <row r="14" customFormat="false" ht="15" hidden="false" customHeight="true" outlineLevel="0" collapsed="false">
      <c r="A14" s="6" t="s">
        <v>88</v>
      </c>
      <c r="B14" s="7"/>
      <c r="C14" s="7"/>
      <c r="D14" s="7"/>
      <c r="E14" s="7"/>
      <c r="F14" s="7"/>
      <c r="G14" s="7"/>
      <c r="H14" s="7"/>
      <c r="I14" s="7"/>
      <c r="J14" s="7"/>
      <c r="K14" s="7"/>
      <c r="L14" s="7"/>
      <c r="M14" s="7"/>
      <c r="N14" s="7"/>
      <c r="O14" s="7"/>
      <c r="P14" s="7"/>
      <c r="Q14" s="7"/>
      <c r="R14" s="7"/>
      <c r="S14" s="7"/>
    </row>
    <row r="15" customFormat="false" ht="15" hidden="false" customHeight="true" outlineLevel="0" collapsed="false">
      <c r="A15" s="51" t="s">
        <v>1034</v>
      </c>
      <c r="B15" s="3" t="s">
        <v>10</v>
      </c>
      <c r="C15" s="99" t="n">
        <f aca="false">SUM(E15:G15)</f>
        <v>0</v>
      </c>
      <c r="D15" s="99" t="n">
        <f aca="false">SUM(H15:S15)</f>
        <v>140</v>
      </c>
      <c r="E15" s="8" t="n">
        <f aca="false">Volume!E23*IF(Volume!E11=1,Unit_Economics!$F$4,Unit_Economics!$O$4)</f>
        <v>0</v>
      </c>
      <c r="F15" s="8" t="n">
        <f aca="false">Volume!F23*IF(Volume!F11=1,Unit_Economics!$F$4,Unit_Economics!$O$4)</f>
        <v>0</v>
      </c>
      <c r="G15" s="8" t="n">
        <f aca="false">Volume!G23*IF(Volume!G11=1,Unit_Economics!$F$4,Unit_Economics!$O$4)</f>
        <v>0</v>
      </c>
      <c r="H15" s="8" t="n">
        <f aca="false">Volume!H23*IF(Volume!H11=1,Unit_Economics!$F$4,Unit_Economics!$O$4)</f>
        <v>0</v>
      </c>
      <c r="I15" s="8" t="n">
        <f aca="false">Volume!I23*IF(Volume!I11=1,Unit_Economics!$F$4,Unit_Economics!$O$4)</f>
        <v>0</v>
      </c>
      <c r="J15" s="8" t="n">
        <f aca="false">Volume!J23*IF(Volume!J11=1,Unit_Economics!$F$4,Unit_Economics!$O$4)</f>
        <v>28</v>
      </c>
      <c r="K15" s="8" t="n">
        <f aca="false">Volume!K23*IF(Volume!K11=1,Unit_Economics!$F$4,Unit_Economics!$O$4)</f>
        <v>0</v>
      </c>
      <c r="L15" s="8" t="n">
        <f aca="false">Volume!L23*IF(Volume!L11=1,Unit_Economics!$F$4,Unit_Economics!$O$4)</f>
        <v>28</v>
      </c>
      <c r="M15" s="8" t="n">
        <f aca="false">Volume!M23*IF(Volume!M11=1,Unit_Economics!$F$4,Unit_Economics!$O$4)</f>
        <v>0</v>
      </c>
      <c r="N15" s="8" t="n">
        <f aca="false">Volume!N23*IF(Volume!N11=1,Unit_Economics!$F$4,Unit_Economics!$O$4)</f>
        <v>28</v>
      </c>
      <c r="O15" s="8" t="n">
        <f aca="false">Volume!O23*IF(Volume!O11=1,Unit_Economics!$F$4,Unit_Economics!$O$4)</f>
        <v>0</v>
      </c>
      <c r="P15" s="8" t="n">
        <f aca="false">Volume!P23*IF(Volume!P11=1,Unit_Economics!$F$4,Unit_Economics!$O$4)</f>
        <v>28</v>
      </c>
      <c r="Q15" s="8" t="n">
        <f aca="false">Volume!Q23*IF(Volume!Q11=1,Unit_Economics!$F$4,Unit_Economics!$O$4)</f>
        <v>0</v>
      </c>
      <c r="R15" s="8" t="n">
        <f aca="false">Volume!R23*IF(Volume!R11=1,Unit_Economics!$F$4,Unit_Economics!$O$4)</f>
        <v>28</v>
      </c>
      <c r="S15" s="8" t="n">
        <f aca="false">Volume!S23*IF(Volume!S11=1,Unit_Economics!$F$4,Unit_Economics!$O$4)</f>
        <v>0</v>
      </c>
    </row>
    <row r="16" customFormat="false" ht="15" hidden="false" customHeight="true" outlineLevel="0" collapsed="false">
      <c r="A16" s="51" t="s">
        <v>1035</v>
      </c>
      <c r="B16" s="3" t="s">
        <v>10</v>
      </c>
      <c r="C16" s="99" t="n">
        <f aca="false">SUM(E16:G16)</f>
        <v>0</v>
      </c>
      <c r="D16" s="99" t="n">
        <f aca="false">SUM(H16:S16)</f>
        <v>174.25</v>
      </c>
      <c r="E16" s="8" t="n">
        <f aca="false">Volume!E24*IF(Volume!E11=1,Unit_Economics!$F$5,Unit_Economics!$O$5)</f>
        <v>0</v>
      </c>
      <c r="F16" s="8" t="n">
        <f aca="false">Volume!F24*IF(Volume!F11=1,Unit_Economics!$F$5,Unit_Economics!$O$5)</f>
        <v>0</v>
      </c>
      <c r="G16" s="8" t="n">
        <f aca="false">Volume!G24*IF(Volume!G11=1,Unit_Economics!$F$5,Unit_Economics!$O$5)</f>
        <v>0</v>
      </c>
      <c r="H16" s="8" t="n">
        <f aca="false">Volume!H24*IF(Volume!H11=1,Unit_Economics!$F$5,Unit_Economics!$O$5)</f>
        <v>0</v>
      </c>
      <c r="I16" s="8" t="n">
        <f aca="false">Volume!I24*IF(Volume!I11=1,Unit_Economics!$F$5,Unit_Economics!$O$5)</f>
        <v>0</v>
      </c>
      <c r="J16" s="8" t="n">
        <f aca="false">Volume!J24*IF(Volume!J11=1,Unit_Economics!$F$5,Unit_Economics!$O$5)</f>
        <v>10.25</v>
      </c>
      <c r="K16" s="8" t="n">
        <f aca="false">Volume!K24*IF(Volume!K11=1,Unit_Economics!$F$5,Unit_Economics!$O$5)</f>
        <v>0</v>
      </c>
      <c r="L16" s="8" t="n">
        <f aca="false">Volume!L24*IF(Volume!L11=1,Unit_Economics!$F$5,Unit_Economics!$O$5)</f>
        <v>10.25</v>
      </c>
      <c r="M16" s="8" t="n">
        <f aca="false">Volume!M24*IF(Volume!M11=1,Unit_Economics!$F$5,Unit_Economics!$O$5)</f>
        <v>10.25</v>
      </c>
      <c r="N16" s="8" t="n">
        <f aca="false">Volume!N24*IF(Volume!N11=1,Unit_Economics!$F$5,Unit_Economics!$O$5)</f>
        <v>10.25</v>
      </c>
      <c r="O16" s="8" t="n">
        <f aca="false">Volume!O24*IF(Volume!O11=1,Unit_Economics!$F$5,Unit_Economics!$O$5)</f>
        <v>10.25</v>
      </c>
      <c r="P16" s="8" t="n">
        <f aca="false">Volume!P24*IF(Volume!P11=1,Unit_Economics!$F$5,Unit_Economics!$O$5)</f>
        <v>20.5</v>
      </c>
      <c r="Q16" s="8" t="n">
        <f aca="false">Volume!Q24*IF(Volume!Q11=1,Unit_Economics!$F$5,Unit_Economics!$O$5)</f>
        <v>20.5</v>
      </c>
      <c r="R16" s="8" t="n">
        <f aca="false">Volume!R24*IF(Volume!R11=1,Unit_Economics!$F$5,Unit_Economics!$O$5)</f>
        <v>30.75</v>
      </c>
      <c r="S16" s="8" t="n">
        <f aca="false">Volume!S24*IF(Volume!S11=1,Unit_Economics!$F$5,Unit_Economics!$O$5)</f>
        <v>51.25</v>
      </c>
    </row>
    <row r="17" customFormat="false" ht="15" hidden="false" customHeight="true" outlineLevel="0" collapsed="false">
      <c r="A17" s="51" t="s">
        <v>1036</v>
      </c>
      <c r="B17" s="3" t="s">
        <v>10</v>
      </c>
      <c r="C17" s="99" t="n">
        <f aca="false">SUM(E17:G17)</f>
        <v>0</v>
      </c>
      <c r="D17" s="99" t="n">
        <f aca="false">SUM(H17:S17)</f>
        <v>105</v>
      </c>
      <c r="E17" s="8" t="n">
        <f aca="false">Volume!E25*IF(Volume!E11=1,Unit_Economics!$F$6,Unit_Economics!$O$6)</f>
        <v>0</v>
      </c>
      <c r="F17" s="8" t="n">
        <f aca="false">Volume!F25*IF(Volume!F11=1,Unit_Economics!$F$6,Unit_Economics!$O$6)</f>
        <v>0</v>
      </c>
      <c r="G17" s="8" t="n">
        <f aca="false">Volume!G25*IF(Volume!G11=1,Unit_Economics!$F$6,Unit_Economics!$O$6)</f>
        <v>0</v>
      </c>
      <c r="H17" s="8" t="n">
        <f aca="false">Volume!H25*IF(Volume!H11=1,Unit_Economics!$F$6,Unit_Economics!$O$6)</f>
        <v>0</v>
      </c>
      <c r="I17" s="8" t="n">
        <f aca="false">Volume!I25*IF(Volume!I11=1,Unit_Economics!$F$6,Unit_Economics!$O$6)</f>
        <v>0</v>
      </c>
      <c r="J17" s="8" t="n">
        <f aca="false">Volume!J25*IF(Volume!J11=1,Unit_Economics!$F$6,Unit_Economics!$O$6)</f>
        <v>0</v>
      </c>
      <c r="K17" s="8" t="n">
        <f aca="false">Volume!K25*IF(Volume!K11=1,Unit_Economics!$F$6,Unit_Economics!$O$6)</f>
        <v>15</v>
      </c>
      <c r="L17" s="8" t="n">
        <f aca="false">Volume!L25*IF(Volume!L11=1,Unit_Economics!$F$6,Unit_Economics!$O$6)</f>
        <v>0</v>
      </c>
      <c r="M17" s="8" t="n">
        <f aca="false">Volume!M25*IF(Volume!M11=1,Unit_Economics!$F$6,Unit_Economics!$O$6)</f>
        <v>0</v>
      </c>
      <c r="N17" s="8" t="n">
        <f aca="false">Volume!N25*IF(Volume!N11=1,Unit_Economics!$F$6,Unit_Economics!$O$6)</f>
        <v>15</v>
      </c>
      <c r="O17" s="8" t="n">
        <f aca="false">Volume!O25*IF(Volume!O11=1,Unit_Economics!$F$6,Unit_Economics!$O$6)</f>
        <v>0</v>
      </c>
      <c r="P17" s="8" t="n">
        <f aca="false">Volume!P25*IF(Volume!P11=1,Unit_Economics!$F$6,Unit_Economics!$O$6)</f>
        <v>0</v>
      </c>
      <c r="Q17" s="8" t="n">
        <f aca="false">Volume!Q25*IF(Volume!Q11=1,Unit_Economics!$F$6,Unit_Economics!$O$6)</f>
        <v>30</v>
      </c>
      <c r="R17" s="8" t="n">
        <f aca="false">Volume!R25*IF(Volume!R11=1,Unit_Economics!$F$6,Unit_Economics!$O$6)</f>
        <v>30</v>
      </c>
      <c r="S17" s="8" t="n">
        <f aca="false">Volume!S25*IF(Volume!S11=1,Unit_Economics!$F$6,Unit_Economics!$O$6)</f>
        <v>15</v>
      </c>
    </row>
    <row r="18" customFormat="false" ht="15" hidden="false" customHeight="true" outlineLevel="0" collapsed="false">
      <c r="A18" s="51" t="s">
        <v>1031</v>
      </c>
      <c r="B18" s="3" t="s">
        <v>10</v>
      </c>
      <c r="C18" s="99" t="n">
        <f aca="false">SUM(E18:G18)</f>
        <v>15</v>
      </c>
      <c r="D18" s="99" t="n">
        <f aca="false">SUM(H18:S18)</f>
        <v>145</v>
      </c>
      <c r="E18" s="8" t="n">
        <f aca="false">Volume!E26*IF(Volume!E11=1,Unit_Economics!$F$7,Unit_Economics!$O$7)</f>
        <v>5</v>
      </c>
      <c r="F18" s="8" t="n">
        <f aca="false">Volume!F26*IF(Volume!F11=1,Unit_Economics!$F$7,Unit_Economics!$O$7)</f>
        <v>5</v>
      </c>
      <c r="G18" s="8" t="n">
        <f aca="false">Volume!G26*IF(Volume!G11=1,Unit_Economics!$F$7,Unit_Economics!$O$7)</f>
        <v>5</v>
      </c>
      <c r="H18" s="8" t="n">
        <f aca="false">Volume!H26*IF(Volume!H11=1,Unit_Economics!$F$7,Unit_Economics!$O$7)</f>
        <v>5</v>
      </c>
      <c r="I18" s="8" t="n">
        <f aca="false">Volume!I26*IF(Volume!I11=1,Unit_Economics!$F$7,Unit_Economics!$O$7)</f>
        <v>10</v>
      </c>
      <c r="J18" s="8" t="n">
        <f aca="false">Volume!J26*IF(Volume!J11=1,Unit_Economics!$F$7,Unit_Economics!$O$7)</f>
        <v>10</v>
      </c>
      <c r="K18" s="8" t="n">
        <f aca="false">Volume!K26*IF(Volume!K11=1,Unit_Economics!$F$7,Unit_Economics!$O$7)</f>
        <v>10</v>
      </c>
      <c r="L18" s="8" t="n">
        <f aca="false">Volume!L26*IF(Volume!L11=1,Unit_Economics!$F$7,Unit_Economics!$O$7)</f>
        <v>10</v>
      </c>
      <c r="M18" s="8" t="n">
        <f aca="false">Volume!M26*IF(Volume!M11=1,Unit_Economics!$F$7,Unit_Economics!$O$7)</f>
        <v>10</v>
      </c>
      <c r="N18" s="8" t="n">
        <f aca="false">Volume!N26*IF(Volume!N11=1,Unit_Economics!$F$7,Unit_Economics!$O$7)</f>
        <v>15</v>
      </c>
      <c r="O18" s="8" t="n">
        <f aca="false">Volume!O26*IF(Volume!O11=1,Unit_Economics!$F$7,Unit_Economics!$O$7)</f>
        <v>15</v>
      </c>
      <c r="P18" s="8" t="n">
        <f aca="false">Volume!P26*IF(Volume!P11=1,Unit_Economics!$F$7,Unit_Economics!$O$7)</f>
        <v>15</v>
      </c>
      <c r="Q18" s="8" t="n">
        <f aca="false">Volume!Q26*IF(Volume!Q11=1,Unit_Economics!$F$7,Unit_Economics!$O$7)</f>
        <v>15</v>
      </c>
      <c r="R18" s="8" t="n">
        <f aca="false">Volume!R26*IF(Volume!R11=1,Unit_Economics!$F$7,Unit_Economics!$O$7)</f>
        <v>15</v>
      </c>
      <c r="S18" s="8" t="n">
        <f aca="false">Volume!S26*IF(Volume!S11=1,Unit_Economics!$F$7,Unit_Economics!$O$7)</f>
        <v>15</v>
      </c>
    </row>
    <row r="19" customFormat="false" ht="15" hidden="false" customHeight="true" outlineLevel="0" collapsed="false">
      <c r="A19" s="51" t="s">
        <v>1037</v>
      </c>
      <c r="B19" s="3" t="s">
        <v>10</v>
      </c>
      <c r="C19" s="99" t="n">
        <f aca="false">SUM(E19:G19)</f>
        <v>2.73</v>
      </c>
      <c r="D19" s="99" t="n">
        <f aca="false">SUM(H19:S19)</f>
        <v>10.92</v>
      </c>
      <c r="E19" s="8" t="n">
        <f aca="false">Volume!E27*IF(Volume!E11=1,Unit_Economics!$F$8,Unit_Economics!$O$8)</f>
        <v>2.73</v>
      </c>
      <c r="F19" s="8" t="n">
        <f aca="false">Volume!F27*IF(Volume!F11=1,Unit_Economics!$F$8,Unit_Economics!$O$8)</f>
        <v>0</v>
      </c>
      <c r="G19" s="8" t="n">
        <f aca="false">Volume!G27*IF(Volume!G11=1,Unit_Economics!$F$8,Unit_Economics!$O$8)</f>
        <v>0</v>
      </c>
      <c r="H19" s="8" t="n">
        <f aca="false">Volume!H27*IF(Volume!H11=1,Unit_Economics!$F$8,Unit_Economics!$O$8)</f>
        <v>0</v>
      </c>
      <c r="I19" s="8" t="n">
        <f aca="false">Volume!I27*IF(Volume!I11=1,Unit_Economics!$F$8,Unit_Economics!$O$8)</f>
        <v>2.73</v>
      </c>
      <c r="J19" s="8" t="n">
        <f aca="false">Volume!J27*IF(Volume!J11=1,Unit_Economics!$F$8,Unit_Economics!$O$8)</f>
        <v>0</v>
      </c>
      <c r="K19" s="8" t="n">
        <f aca="false">Volume!K27*IF(Volume!K11=1,Unit_Economics!$F$8,Unit_Economics!$O$8)</f>
        <v>0</v>
      </c>
      <c r="L19" s="8" t="n">
        <f aca="false">Volume!L27*IF(Volume!L11=1,Unit_Economics!$F$8,Unit_Economics!$O$8)</f>
        <v>0</v>
      </c>
      <c r="M19" s="8" t="n">
        <f aca="false">Volume!M27*IF(Volume!M11=1,Unit_Economics!$F$8,Unit_Economics!$O$8)</f>
        <v>0</v>
      </c>
      <c r="N19" s="8" t="n">
        <f aca="false">Volume!N27*IF(Volume!N11=1,Unit_Economics!$F$8,Unit_Economics!$O$8)</f>
        <v>0</v>
      </c>
      <c r="O19" s="8" t="n">
        <f aca="false">Volume!O27*IF(Volume!O11=1,Unit_Economics!$F$8,Unit_Economics!$O$8)</f>
        <v>0</v>
      </c>
      <c r="P19" s="8" t="n">
        <f aca="false">Volume!P27*IF(Volume!P11=1,Unit_Economics!$F$8,Unit_Economics!$O$8)</f>
        <v>0</v>
      </c>
      <c r="Q19" s="8" t="n">
        <f aca="false">Volume!Q27*IF(Volume!Q11=1,Unit_Economics!$F$8,Unit_Economics!$O$8)</f>
        <v>2.73</v>
      </c>
      <c r="R19" s="8" t="n">
        <f aca="false">Volume!R27*IF(Volume!R11=1,Unit_Economics!$F$8,Unit_Economics!$O$8)</f>
        <v>2.73</v>
      </c>
      <c r="S19" s="8" t="n">
        <f aca="false">Volume!S27*IF(Volume!S11=1,Unit_Economics!$F$8,Unit_Economics!$O$8)</f>
        <v>2.73</v>
      </c>
    </row>
    <row r="20" customFormat="false" ht="15" hidden="false" customHeight="true" outlineLevel="0" collapsed="false">
      <c r="A20" s="51" t="s">
        <v>1032</v>
      </c>
      <c r="B20" s="3" t="s">
        <v>10</v>
      </c>
      <c r="C20" s="99" t="n">
        <f aca="false">SUM(E20:G20)</f>
        <v>3.82417106014002</v>
      </c>
      <c r="D20" s="99" t="n">
        <f aca="false">SUM(H20:S20)</f>
        <v>103.557588667693</v>
      </c>
      <c r="E20" s="8" t="n">
        <f aca="false">E11*Inputs!$C$21</f>
        <v>0.932179289812135</v>
      </c>
      <c r="F20" s="8" t="n">
        <f aca="false">F11*Inputs!$C$21</f>
        <v>1.42270825361914</v>
      </c>
      <c r="G20" s="8" t="n">
        <f aca="false">G11*Inputs!$C$21</f>
        <v>1.46928351670875</v>
      </c>
      <c r="H20" s="8" t="n">
        <f aca="false">H11*Inputs!$C$21</f>
        <v>1.98638022437759</v>
      </c>
      <c r="I20" s="8" t="n">
        <f aca="false">I11*Inputs!$C$21</f>
        <v>4.1483363758399</v>
      </c>
      <c r="J20" s="8" t="n">
        <f aca="false">J11*Inputs!$C$21</f>
        <v>2.93823760795312</v>
      </c>
      <c r="K20" s="8" t="n">
        <f aca="false">K11*Inputs!$C$21</f>
        <v>6.20787435042177</v>
      </c>
      <c r="L20" s="8" t="n">
        <f aca="false">L11*Inputs!$C$21</f>
        <v>6.45030651420574</v>
      </c>
      <c r="M20" s="8" t="n">
        <f aca="false">M11*Inputs!$C$21</f>
        <v>6.5261803936875</v>
      </c>
      <c r="N20" s="8" t="n">
        <f aca="false">N11*Inputs!$C$21</f>
        <v>11.1768567329892</v>
      </c>
      <c r="O20" s="8" t="n">
        <f aca="false">O11*Inputs!$C$21</f>
        <v>11.6097919233015</v>
      </c>
      <c r="P20" s="8" t="n">
        <f aca="false">P11*Inputs!$C$21</f>
        <v>12.2672096612725</v>
      </c>
      <c r="Q20" s="8" t="n">
        <f aca="false">Q11*Inputs!$C$21</f>
        <v>13.5552220269708</v>
      </c>
      <c r="R20" s="8" t="n">
        <f aca="false">R11*Inputs!$C$21</f>
        <v>14.0601747181968</v>
      </c>
      <c r="S20" s="8" t="n">
        <f aca="false">S11*Inputs!$C$21</f>
        <v>12.6310181384765</v>
      </c>
    </row>
    <row r="21" customFormat="false" ht="15" hidden="false" customHeight="true" outlineLevel="0" collapsed="false">
      <c r="A21" s="11" t="s">
        <v>1038</v>
      </c>
      <c r="B21" s="3" t="s">
        <v>10</v>
      </c>
      <c r="C21" s="99" t="n">
        <f aca="false">SUM(E21:G21)</f>
        <v>29.62567106014</v>
      </c>
      <c r="D21" s="99" t="n">
        <f aca="false">SUM(H21:S21)</f>
        <v>980.840823667693</v>
      </c>
      <c r="E21" s="100" t="n">
        <f aca="false">SUM(E15:E20)+E57</f>
        <v>8.66217928981214</v>
      </c>
      <c r="F21" s="100" t="n">
        <f aca="false">SUM(F15:F20)+F57</f>
        <v>10.4984582536191</v>
      </c>
      <c r="G21" s="100" t="n">
        <f aca="false">SUM(G15:G20)+G57</f>
        <v>10.4650335167087</v>
      </c>
      <c r="H21" s="100" t="n">
        <f aca="false">SUM(H15:H20)+H57</f>
        <v>10.9821302243776</v>
      </c>
      <c r="I21" s="100" t="n">
        <f aca="false">SUM(I15:I20)+I57</f>
        <v>38.0716213758399</v>
      </c>
      <c r="J21" s="100" t="n">
        <f aca="false">SUM(J15:J20)+J57</f>
        <v>61.5772726079531</v>
      </c>
      <c r="K21" s="100" t="n">
        <f aca="false">SUM(K15:K20)+K57</f>
        <v>45.5926593504218</v>
      </c>
      <c r="L21" s="100" t="n">
        <f aca="false">SUM(L15:L20)+L57</f>
        <v>74.2100915142057</v>
      </c>
      <c r="M21" s="100" t="n">
        <f aca="false">SUM(M15:M20)+M57</f>
        <v>41.9652503936875</v>
      </c>
      <c r="N21" s="100" t="n">
        <f aca="false">SUM(N15:N20)+N57</f>
        <v>115.298461732989</v>
      </c>
      <c r="O21" s="100" t="n">
        <f aca="false">SUM(O15:O20)+O57</f>
        <v>72.7313969233015</v>
      </c>
      <c r="P21" s="100" t="n">
        <f aca="false">SUM(P15:P20)+P57</f>
        <v>110.754529661272</v>
      </c>
      <c r="Q21" s="100" t="n">
        <f aca="false">SUM(Q15:Q20)+Q57</f>
        <v>125.973292026971</v>
      </c>
      <c r="R21" s="100" t="n">
        <f aca="false">SUM(R15:R20)+R57</f>
        <v>162.085744718197</v>
      </c>
      <c r="S21" s="100" t="n">
        <f aca="false">SUM(S15:S20)+S57</f>
        <v>121.598373138476</v>
      </c>
    </row>
    <row r="22" customFormat="false" ht="15" hidden="false" customHeight="true" outlineLevel="0" collapsed="false">
      <c r="A22" s="2"/>
      <c r="B22" s="2"/>
      <c r="C22" s="2"/>
      <c r="D22" s="2"/>
      <c r="E22" s="2"/>
      <c r="F22" s="2"/>
      <c r="G22" s="2"/>
      <c r="H22" s="2"/>
      <c r="I22" s="2"/>
      <c r="J22" s="2"/>
      <c r="K22" s="2"/>
      <c r="L22" s="2"/>
      <c r="M22" s="2"/>
      <c r="N22" s="2"/>
      <c r="O22" s="2"/>
      <c r="P22" s="2"/>
      <c r="Q22" s="2"/>
      <c r="R22" s="2"/>
      <c r="S22" s="2"/>
    </row>
    <row r="23" customFormat="false" ht="15" hidden="false" customHeight="true" outlineLevel="0" collapsed="false">
      <c r="A23" s="11" t="s">
        <v>1039</v>
      </c>
      <c r="B23" s="3" t="s">
        <v>10</v>
      </c>
      <c r="C23" s="99" t="n">
        <f aca="false">SUM(E23:G23)</f>
        <v>34.931339907653</v>
      </c>
      <c r="D23" s="99" t="n">
        <f aca="false">SUM(H23:S23)</f>
        <v>1451.71374536657</v>
      </c>
      <c r="E23" s="100" t="n">
        <f aca="false">E12-E21</f>
        <v>11.7664376909669</v>
      </c>
      <c r="F23" s="100" t="n">
        <f aca="false">F12-F21</f>
        <v>11.5336465369699</v>
      </c>
      <c r="G23" s="100" t="n">
        <f aca="false">G12-G21</f>
        <v>11.6312556797163</v>
      </c>
      <c r="H23" s="100" t="n">
        <f aca="false">H12-H21</f>
        <v>11.8267592396528</v>
      </c>
      <c r="I23" s="100" t="n">
        <f aca="false">I12-I21</f>
        <v>33.7586151024626</v>
      </c>
      <c r="J23" s="100" t="n">
        <f aca="false">J12-J21</f>
        <v>114.012851810484</v>
      </c>
      <c r="K23" s="100" t="n">
        <f aca="false">K12-K21</f>
        <v>64.5747837729138</v>
      </c>
      <c r="L23" s="100" t="n">
        <f aca="false">L12-L21</f>
        <v>125.541442355071</v>
      </c>
      <c r="M23" s="100" t="n">
        <f aca="false">M12-M21</f>
        <v>48.5923436981181</v>
      </c>
      <c r="N23" s="100" t="n">
        <f aca="false">N12-N21</f>
        <v>186.756133141035</v>
      </c>
      <c r="O23" s="100" t="n">
        <f aca="false">O12-O21</f>
        <v>76.4198169736192</v>
      </c>
      <c r="P23" s="100" t="n">
        <f aca="false">P12-P21</f>
        <v>162.851158010106</v>
      </c>
      <c r="Q23" s="100" t="n">
        <f aca="false">Q12-Q21</f>
        <v>179.872878820405</v>
      </c>
      <c r="R23" s="100" t="n">
        <f aca="false">R12-R21</f>
        <v>265.831290979137</v>
      </c>
      <c r="S23" s="100" t="n">
        <f aca="false">S12-S21</f>
        <v>181.675671463565</v>
      </c>
    </row>
    <row r="24" customFormat="false" ht="15" hidden="false" customHeight="true" outlineLevel="0" collapsed="false">
      <c r="A24" s="51" t="s">
        <v>1040</v>
      </c>
      <c r="B24" s="3" t="s">
        <v>21</v>
      </c>
      <c r="C24" s="98" t="n">
        <f aca="false">IF(C12=0,0,C23/C12)</f>
        <v>0.541092894233904</v>
      </c>
      <c r="D24" s="98" t="n">
        <f aca="false">IF(D12=0,0,D23/D12)</f>
        <v>0.596785685240725</v>
      </c>
      <c r="E24" s="9" t="n">
        <f aca="false">IF(E12=0,0,E23/E12)</f>
        <v>0.575978183057509</v>
      </c>
      <c r="F24" s="9" t="n">
        <f aca="false">IF(F12=0,0,F23/F12)</f>
        <v>0.523492723305151</v>
      </c>
      <c r="G24" s="9" t="n">
        <f aca="false">IF(G12=0,0,G23/G12)</f>
        <v>0.526389547870241</v>
      </c>
      <c r="H24" s="9" t="n">
        <f aca="false">IF(H12=0,0,H23/H12)</f>
        <v>0.51851534719845</v>
      </c>
      <c r="I24" s="9" t="n">
        <f aca="false">IF(I12=0,0,I23/I12)</f>
        <v>0.469977780355212</v>
      </c>
      <c r="J24" s="9" t="n">
        <f aca="false">IF(J12=0,0,J23/J12)</f>
        <v>0.64931243820289</v>
      </c>
      <c r="K24" s="9" t="n">
        <f aca="false">IF(K12=0,0,K23/K12)</f>
        <v>0.586151243436053</v>
      </c>
      <c r="L24" s="9" t="n">
        <f aca="false">IF(L12=0,0,L23/L12)</f>
        <v>0.628488001685278</v>
      </c>
      <c r="M24" s="9" t="n">
        <f aca="false">IF(M12=0,0,M23/M12)</f>
        <v>0.536590489019133</v>
      </c>
      <c r="N24" s="9" t="n">
        <f aca="false">IF(N12=0,0,N23/N12)</f>
        <v>0.618286019515525</v>
      </c>
      <c r="O24" s="9" t="n">
        <f aca="false">IF(O12=0,0,O23/O12)</f>
        <v>0.512364700071656</v>
      </c>
      <c r="P24" s="9" t="n">
        <f aca="false">IF(P12=0,0,P23/P12)</f>
        <v>0.595203847537347</v>
      </c>
      <c r="Q24" s="9" t="n">
        <f aca="false">IF(Q12=0,0,Q23/Q12)</f>
        <v>0.588115516771226</v>
      </c>
      <c r="R24" s="9" t="n">
        <f aca="false">IF(R12=0,0,R23/R12)</f>
        <v>0.621221565871848</v>
      </c>
      <c r="S24" s="9" t="n">
        <f aca="false">IF(S12=0,0,S23/S12)</f>
        <v>0.599047873358108</v>
      </c>
    </row>
    <row r="25" customFormat="false" ht="15" hidden="false" customHeight="true" outlineLevel="0" collapsed="false">
      <c r="A25" s="2"/>
      <c r="B25" s="2"/>
      <c r="C25" s="2"/>
      <c r="D25" s="2"/>
      <c r="E25" s="2"/>
      <c r="F25" s="2"/>
      <c r="G25" s="2"/>
      <c r="H25" s="2"/>
      <c r="I25" s="2"/>
      <c r="J25" s="2"/>
      <c r="K25" s="2"/>
      <c r="L25" s="2"/>
      <c r="M25" s="2"/>
      <c r="N25" s="2"/>
      <c r="O25" s="2"/>
      <c r="P25" s="2"/>
      <c r="Q25" s="2"/>
      <c r="R25" s="2"/>
      <c r="S25" s="2"/>
    </row>
    <row r="26" customFormat="false" ht="15" hidden="false" customHeight="true" outlineLevel="0" collapsed="false">
      <c r="A26" s="6" t="s">
        <v>1041</v>
      </c>
      <c r="B26" s="7"/>
      <c r="C26" s="7"/>
      <c r="D26" s="7"/>
      <c r="E26" s="7"/>
      <c r="F26" s="7"/>
      <c r="G26" s="7"/>
      <c r="H26" s="7"/>
      <c r="I26" s="7"/>
      <c r="J26" s="7"/>
      <c r="K26" s="7"/>
      <c r="L26" s="7"/>
      <c r="M26" s="7"/>
      <c r="N26" s="7"/>
      <c r="O26" s="7"/>
      <c r="P26" s="7"/>
      <c r="Q26" s="7"/>
      <c r="R26" s="7"/>
      <c r="S26" s="7"/>
    </row>
    <row r="27" customFormat="false" ht="15" hidden="false" customHeight="true" outlineLevel="0" collapsed="false">
      <c r="A27" s="51" t="s">
        <v>1042</v>
      </c>
      <c r="B27" s="3" t="s">
        <v>10</v>
      </c>
      <c r="C27" s="99" t="n">
        <f aca="false">SUM(E27:G27)</f>
        <v>60.6363902683354</v>
      </c>
      <c r="D27" s="99" t="n">
        <f aca="false">SUM(H27:S27)</f>
        <v>435.845775566125</v>
      </c>
      <c r="E27" s="102" t="n">
        <f aca="false">Capacity_OPEX!E22+Capacity_OPEX!E23+Capacity_OPEX!E24+Capacity_OPEX!E25+Capacity_OPEX!E37+Capacity_OPEX!E38</f>
        <v>19.685442289788</v>
      </c>
      <c r="F27" s="102" t="n">
        <f aca="false">Capacity_OPEX!F22+Capacity_OPEX!F23+Capacity_OPEX!F24+Capacity_OPEX!F25+Capacity_OPEX!F37+Capacity_OPEX!F38</f>
        <v>20.4745864908808</v>
      </c>
      <c r="G27" s="102" t="n">
        <f aca="false">Capacity_OPEX!G22+Capacity_OPEX!G23+Capacity_OPEX!G24+Capacity_OPEX!G25+Capacity_OPEX!G37+Capacity_OPEX!G38</f>
        <v>20.4763614876667</v>
      </c>
      <c r="H27" s="102" t="n">
        <f aca="false">Capacity_OPEX!H22+Capacity_OPEX!H23+Capacity_OPEX!H24+Capacity_OPEX!H25+Capacity_OPEX!H37+Capacity_OPEX!H38</f>
        <v>28.3823666586085</v>
      </c>
      <c r="I27" s="102" t="n">
        <f aca="false">Capacity_OPEX!I22+Capacity_OPEX!I23+Capacity_OPEX!I24+Capacity_OPEX!I25+Capacity_OPEX!I37+Capacity_OPEX!I38</f>
        <v>28.7855820587182</v>
      </c>
      <c r="J27" s="102" t="n">
        <f aca="false">Capacity_OPEX!J22+Capacity_OPEX!J23+Capacity_OPEX!J24+Capacity_OPEX!J25+Capacity_OPEX!J37+Capacity_OPEX!J38</f>
        <v>28.9113058599167</v>
      </c>
      <c r="K27" s="102" t="n">
        <f aca="false">Capacity_OPEX!K22+Capacity_OPEX!K23+Capacity_OPEX!K24+Capacity_OPEX!K25+Capacity_OPEX!K37+Capacity_OPEX!K38</f>
        <v>29.3008338319975</v>
      </c>
      <c r="L27" s="102" t="n">
        <f aca="false">Capacity_OPEX!L22+Capacity_OPEX!L23+Capacity_OPEX!L24+Capacity_OPEX!L25+Capacity_OPEX!L37+Capacity_OPEX!L38</f>
        <v>32.86043172097</v>
      </c>
      <c r="M27" s="102" t="n">
        <f aca="false">Capacity_OPEX!M22+Capacity_OPEX!M23+Capacity_OPEX!M24+Capacity_OPEX!M25+Capacity_OPEX!M37+Capacity_OPEX!M38</f>
        <v>37.2188410222222</v>
      </c>
      <c r="N27" s="102" t="n">
        <f aca="false">Capacity_OPEX!N22+Capacity_OPEX!N23+Capacity_OPEX!N24+Capacity_OPEX!N25+Capacity_OPEX!N37+Capacity_OPEX!N38</f>
        <v>37.3418039591502</v>
      </c>
      <c r="O27" s="102" t="n">
        <f aca="false">Capacity_OPEX!O22+Capacity_OPEX!O23+Capacity_OPEX!O24+Capacity_OPEX!O25+Capacity_OPEX!O37+Capacity_OPEX!O38</f>
        <v>37.3626013780738</v>
      </c>
      <c r="P27" s="102" t="n">
        <f aca="false">Capacity_OPEX!P22+Capacity_OPEX!P23+Capacity_OPEX!P24+Capacity_OPEX!P25+Capacity_OPEX!P37+Capacity_OPEX!P38</f>
        <v>37.3851825301961</v>
      </c>
      <c r="Q27" s="102" t="n">
        <f aca="false">Capacity_OPEX!Q22+Capacity_OPEX!Q23+Capacity_OPEX!Q24+Capacity_OPEX!Q25+Capacity_OPEX!Q37+Capacity_OPEX!Q38</f>
        <v>46.0657980839032</v>
      </c>
      <c r="R27" s="102" t="n">
        <f aca="false">Capacity_OPEX!R22+Capacity_OPEX!R23+Capacity_OPEX!R24+Capacity_OPEX!R25+Capacity_OPEX!R37+Capacity_OPEX!R38</f>
        <v>46.0981407621023</v>
      </c>
      <c r="S27" s="102" t="n">
        <f aca="false">Capacity_OPEX!S22+Capacity_OPEX!S23+Capacity_OPEX!S24+Capacity_OPEX!S25+Capacity_OPEX!S37+Capacity_OPEX!S38</f>
        <v>46.1328877002667</v>
      </c>
    </row>
    <row r="28" customFormat="false" ht="15" hidden="false" customHeight="true" outlineLevel="0" collapsed="false">
      <c r="A28" s="51" t="s">
        <v>1043</v>
      </c>
      <c r="B28" s="3" t="s">
        <v>10</v>
      </c>
      <c r="C28" s="99" t="n">
        <f aca="false">SUM(E28:G28)</f>
        <v>30</v>
      </c>
      <c r="D28" s="99" t="n">
        <f aca="false">SUM(H28:S28)</f>
        <v>270</v>
      </c>
      <c r="E28" s="102" t="n">
        <f aca="false">Capacity_OPEX!E26</f>
        <v>10</v>
      </c>
      <c r="F28" s="102" t="n">
        <f aca="false">Capacity_OPEX!F26</f>
        <v>10</v>
      </c>
      <c r="G28" s="102" t="n">
        <f aca="false">Capacity_OPEX!G26</f>
        <v>10</v>
      </c>
      <c r="H28" s="102" t="n">
        <f aca="false">Capacity_OPEX!H26</f>
        <v>10</v>
      </c>
      <c r="I28" s="102" t="n">
        <f aca="false">Capacity_OPEX!I26</f>
        <v>10</v>
      </c>
      <c r="J28" s="102" t="n">
        <f aca="false">Capacity_OPEX!J26</f>
        <v>25</v>
      </c>
      <c r="K28" s="102" t="n">
        <f aca="false">Capacity_OPEX!K26</f>
        <v>25</v>
      </c>
      <c r="L28" s="102" t="n">
        <f aca="false">Capacity_OPEX!L26</f>
        <v>25</v>
      </c>
      <c r="M28" s="102" t="n">
        <f aca="false">Capacity_OPEX!M26</f>
        <v>25</v>
      </c>
      <c r="N28" s="102" t="n">
        <f aca="false">Capacity_OPEX!N26</f>
        <v>25</v>
      </c>
      <c r="O28" s="102" t="n">
        <f aca="false">Capacity_OPEX!O26</f>
        <v>25</v>
      </c>
      <c r="P28" s="102" t="n">
        <f aca="false">Capacity_OPEX!P26</f>
        <v>25</v>
      </c>
      <c r="Q28" s="102" t="n">
        <f aca="false">Capacity_OPEX!Q26</f>
        <v>25</v>
      </c>
      <c r="R28" s="102" t="n">
        <f aca="false">Capacity_OPEX!R26</f>
        <v>25</v>
      </c>
      <c r="S28" s="102" t="n">
        <f aca="false">Capacity_OPEX!S26</f>
        <v>25</v>
      </c>
    </row>
    <row r="29" customFormat="false" ht="15" hidden="false" customHeight="true" outlineLevel="0" collapsed="false">
      <c r="A29" s="51" t="s">
        <v>1044</v>
      </c>
      <c r="B29" s="3" t="s">
        <v>10</v>
      </c>
      <c r="C29" s="99" t="n">
        <f aca="false">SUM(E29:G29)</f>
        <v>6</v>
      </c>
      <c r="D29" s="99" t="n">
        <f aca="false">SUM(H29:S29)</f>
        <v>72</v>
      </c>
      <c r="E29" s="102" t="n">
        <f aca="false">Capacity_OPEX!E27+Capacity_OPEX!E28+Capacity_OPEX!E39</f>
        <v>2</v>
      </c>
      <c r="F29" s="102" t="n">
        <f aca="false">Capacity_OPEX!F27+Capacity_OPEX!F28+Capacity_OPEX!F39</f>
        <v>2</v>
      </c>
      <c r="G29" s="102" t="n">
        <f aca="false">Capacity_OPEX!G27+Capacity_OPEX!G28+Capacity_OPEX!G39</f>
        <v>2</v>
      </c>
      <c r="H29" s="102" t="n">
        <f aca="false">Capacity_OPEX!H27+Capacity_OPEX!H28+Capacity_OPEX!H39</f>
        <v>2</v>
      </c>
      <c r="I29" s="102" t="n">
        <f aca="false">Capacity_OPEX!I27+Capacity_OPEX!I28+Capacity_OPEX!I39</f>
        <v>2</v>
      </c>
      <c r="J29" s="102" t="n">
        <f aca="false">Capacity_OPEX!J27+Capacity_OPEX!J28+Capacity_OPEX!J39</f>
        <v>2</v>
      </c>
      <c r="K29" s="102" t="n">
        <f aca="false">Capacity_OPEX!K27+Capacity_OPEX!K28+Capacity_OPEX!K39</f>
        <v>2</v>
      </c>
      <c r="L29" s="102" t="n">
        <f aca="false">Capacity_OPEX!L27+Capacity_OPEX!L28+Capacity_OPEX!L39</f>
        <v>2</v>
      </c>
      <c r="M29" s="102" t="n">
        <f aca="false">Capacity_OPEX!M27+Capacity_OPEX!M28+Capacity_OPEX!M39</f>
        <v>2</v>
      </c>
      <c r="N29" s="102" t="n">
        <f aca="false">Capacity_OPEX!N27+Capacity_OPEX!N28+Capacity_OPEX!N39</f>
        <v>10</v>
      </c>
      <c r="O29" s="102" t="n">
        <f aca="false">Capacity_OPEX!O27+Capacity_OPEX!O28+Capacity_OPEX!O39</f>
        <v>10</v>
      </c>
      <c r="P29" s="102" t="n">
        <f aca="false">Capacity_OPEX!P27+Capacity_OPEX!P28+Capacity_OPEX!P39</f>
        <v>10</v>
      </c>
      <c r="Q29" s="102" t="n">
        <f aca="false">Capacity_OPEX!Q27+Capacity_OPEX!Q28+Capacity_OPEX!Q39</f>
        <v>10</v>
      </c>
      <c r="R29" s="102" t="n">
        <f aca="false">Capacity_OPEX!R27+Capacity_OPEX!R28+Capacity_OPEX!R39</f>
        <v>10</v>
      </c>
      <c r="S29" s="102" t="n">
        <f aca="false">Capacity_OPEX!S27+Capacity_OPEX!S28+Capacity_OPEX!S39</f>
        <v>10</v>
      </c>
    </row>
    <row r="30" customFormat="false" ht="15" hidden="false" customHeight="true" outlineLevel="0" collapsed="false">
      <c r="A30" s="51" t="s">
        <v>1045</v>
      </c>
      <c r="B30" s="3" t="s">
        <v>10</v>
      </c>
      <c r="C30" s="99" t="n">
        <f aca="false">SUM(E30:G30)</f>
        <v>0</v>
      </c>
      <c r="D30" s="99" t="n">
        <f aca="false">SUM(H30:S30)</f>
        <v>105.08</v>
      </c>
      <c r="E30" s="102" t="n">
        <f aca="false">Capacity_OPEX!E29+Capacity_OPEX!E30+Capacity_OPEX!E31</f>
        <v>0</v>
      </c>
      <c r="F30" s="102" t="n">
        <f aca="false">Capacity_OPEX!F29+Capacity_OPEX!F30+Capacity_OPEX!F31</f>
        <v>0</v>
      </c>
      <c r="G30" s="102" t="n">
        <f aca="false">Capacity_OPEX!G29+Capacity_OPEX!G30+Capacity_OPEX!G31</f>
        <v>0</v>
      </c>
      <c r="H30" s="102" t="n">
        <f aca="false">Capacity_OPEX!H29+Capacity_OPEX!H30+Capacity_OPEX!H31</f>
        <v>2.5</v>
      </c>
      <c r="I30" s="102" t="n">
        <f aca="false">Capacity_OPEX!I29+Capacity_OPEX!I30+Capacity_OPEX!I31</f>
        <v>2</v>
      </c>
      <c r="J30" s="102" t="n">
        <f aca="false">Capacity_OPEX!J29+Capacity_OPEX!J30+Capacity_OPEX!J31</f>
        <v>6.5</v>
      </c>
      <c r="K30" s="102" t="n">
        <f aca="false">Capacity_OPEX!K29+Capacity_OPEX!K30+Capacity_OPEX!K31</f>
        <v>2</v>
      </c>
      <c r="L30" s="102" t="n">
        <f aca="false">Capacity_OPEX!L29+Capacity_OPEX!L30+Capacity_OPEX!L31</f>
        <v>7.5</v>
      </c>
      <c r="M30" s="102" t="n">
        <f aca="false">Capacity_OPEX!M29+Capacity_OPEX!M30+Capacity_OPEX!M31</f>
        <v>2.5</v>
      </c>
      <c r="N30" s="102" t="n">
        <f aca="false">Capacity_OPEX!N29+Capacity_OPEX!N30+Capacity_OPEX!N31</f>
        <v>9.18</v>
      </c>
      <c r="O30" s="102" t="n">
        <f aca="false">Capacity_OPEX!O29+Capacity_OPEX!O30+Capacity_OPEX!O31</f>
        <v>7.68</v>
      </c>
      <c r="P30" s="102" t="n">
        <f aca="false">Capacity_OPEX!P29+Capacity_OPEX!P30+Capacity_OPEX!P31</f>
        <v>16.18</v>
      </c>
      <c r="Q30" s="102" t="n">
        <f aca="false">Capacity_OPEX!Q29+Capacity_OPEX!Q30+Capacity_OPEX!Q31</f>
        <v>14.68</v>
      </c>
      <c r="R30" s="102" t="n">
        <f aca="false">Capacity_OPEX!R29+Capacity_OPEX!R30+Capacity_OPEX!R31</f>
        <v>18.18</v>
      </c>
      <c r="S30" s="102" t="n">
        <f aca="false">Capacity_OPEX!S29+Capacity_OPEX!S30+Capacity_OPEX!S31</f>
        <v>16.18</v>
      </c>
    </row>
    <row r="31" customFormat="false" ht="15" hidden="false" customHeight="true" outlineLevel="0" collapsed="false">
      <c r="A31" s="11" t="s">
        <v>1017</v>
      </c>
      <c r="B31" s="3" t="s">
        <v>10</v>
      </c>
      <c r="C31" s="99" t="n">
        <f aca="false">SUM(E31:G31)</f>
        <v>96.6363902683354</v>
      </c>
      <c r="D31" s="99" t="n">
        <f aca="false">SUM(H31:S31)</f>
        <v>882.925775566125</v>
      </c>
      <c r="E31" s="100" t="n">
        <f aca="false">SUM(E27:E30)</f>
        <v>31.685442289788</v>
      </c>
      <c r="F31" s="100" t="n">
        <f aca="false">SUM(F27:F30)</f>
        <v>32.4745864908808</v>
      </c>
      <c r="G31" s="100" t="n">
        <f aca="false">SUM(G27:G30)</f>
        <v>32.4763614876667</v>
      </c>
      <c r="H31" s="100" t="n">
        <f aca="false">SUM(H27:H30)</f>
        <v>42.8823666586085</v>
      </c>
      <c r="I31" s="100" t="n">
        <f aca="false">SUM(I27:I30)</f>
        <v>42.7855820587183</v>
      </c>
      <c r="J31" s="100" t="n">
        <f aca="false">SUM(J27:J30)</f>
        <v>62.4113058599167</v>
      </c>
      <c r="K31" s="100" t="n">
        <f aca="false">SUM(K27:K30)</f>
        <v>58.3008338319975</v>
      </c>
      <c r="L31" s="100" t="n">
        <f aca="false">SUM(L27:L30)</f>
        <v>67.36043172097</v>
      </c>
      <c r="M31" s="100" t="n">
        <f aca="false">SUM(M27:M30)</f>
        <v>66.7188410222222</v>
      </c>
      <c r="N31" s="100" t="n">
        <f aca="false">SUM(N27:N30)</f>
        <v>81.5218039591502</v>
      </c>
      <c r="O31" s="100" t="n">
        <f aca="false">SUM(O27:O30)</f>
        <v>80.0426013780738</v>
      </c>
      <c r="P31" s="100" t="n">
        <f aca="false">SUM(P27:P30)</f>
        <v>88.5651825301961</v>
      </c>
      <c r="Q31" s="100" t="n">
        <f aca="false">SUM(Q27:Q30)</f>
        <v>95.7457980839032</v>
      </c>
      <c r="R31" s="100" t="n">
        <f aca="false">SUM(R27:R30)</f>
        <v>99.2781407621023</v>
      </c>
      <c r="S31" s="100" t="n">
        <f aca="false">SUM(S27:S30)</f>
        <v>97.3128877002667</v>
      </c>
    </row>
    <row r="32" customFormat="false" ht="15" hidden="false" customHeight="true" outlineLevel="0" collapsed="false">
      <c r="A32" s="2"/>
      <c r="B32" s="2"/>
      <c r="C32" s="2"/>
      <c r="D32" s="2"/>
      <c r="E32" s="2"/>
      <c r="F32" s="2"/>
      <c r="G32" s="2"/>
      <c r="H32" s="2"/>
      <c r="I32" s="2"/>
      <c r="J32" s="2"/>
      <c r="K32" s="2"/>
      <c r="L32" s="2"/>
      <c r="M32" s="2"/>
      <c r="N32" s="2"/>
      <c r="O32" s="2"/>
      <c r="P32" s="2"/>
      <c r="Q32" s="2"/>
      <c r="R32" s="2"/>
      <c r="S32" s="2"/>
    </row>
    <row r="33" customFormat="false" ht="15" hidden="false" customHeight="true" outlineLevel="0" collapsed="false">
      <c r="A33" s="11" t="s">
        <v>1046</v>
      </c>
      <c r="B33" s="3" t="s">
        <v>10</v>
      </c>
      <c r="C33" s="99" t="n">
        <f aca="false">SUM(E33:G33)</f>
        <v>-61.7050503606824</v>
      </c>
      <c r="D33" s="99" t="n">
        <f aca="false">SUM(H33:S33)</f>
        <v>568.787969800445</v>
      </c>
      <c r="E33" s="100" t="n">
        <f aca="false">E23-E31</f>
        <v>-19.9190045988211</v>
      </c>
      <c r="F33" s="100" t="n">
        <f aca="false">F23-F31</f>
        <v>-20.9409399539108</v>
      </c>
      <c r="G33" s="100" t="n">
        <f aca="false">G23-G31</f>
        <v>-20.8451058079504</v>
      </c>
      <c r="H33" s="100" t="n">
        <f aca="false">H23-H31</f>
        <v>-31.0556074189557</v>
      </c>
      <c r="I33" s="100" t="n">
        <f aca="false">I23-I31</f>
        <v>-9.02696695625566</v>
      </c>
      <c r="J33" s="100" t="n">
        <f aca="false">J23-J31</f>
        <v>51.6015459505677</v>
      </c>
      <c r="K33" s="100" t="n">
        <f aca="false">K23-K31</f>
        <v>6.27394994091635</v>
      </c>
      <c r="L33" s="100" t="n">
        <f aca="false">L23-L31</f>
        <v>58.1810106341007</v>
      </c>
      <c r="M33" s="100" t="n">
        <f aca="false">M23-M31</f>
        <v>-18.1264973241042</v>
      </c>
      <c r="N33" s="100" t="n">
        <f aca="false">N23-N31</f>
        <v>105.234329181885</v>
      </c>
      <c r="O33" s="100" t="n">
        <f aca="false">O23-O31</f>
        <v>-3.62278440445459</v>
      </c>
      <c r="P33" s="100" t="n">
        <f aca="false">P23-P31</f>
        <v>74.2859754799103</v>
      </c>
      <c r="Q33" s="100" t="n">
        <f aca="false">Q23-Q31</f>
        <v>84.1270807365019</v>
      </c>
      <c r="R33" s="100" t="n">
        <f aca="false">R23-R31</f>
        <v>166.553150217035</v>
      </c>
      <c r="S33" s="100" t="n">
        <f aca="false">S23-S31</f>
        <v>84.3627837632985</v>
      </c>
    </row>
    <row r="34" customFormat="false" ht="15" hidden="false" customHeight="true" outlineLevel="0" collapsed="false">
      <c r="A34" s="51" t="s">
        <v>1047</v>
      </c>
      <c r="B34" s="3" t="s">
        <v>10</v>
      </c>
      <c r="C34" s="99" t="n">
        <f aca="false">SUM(E34:G34)</f>
        <v>0.322785054838965</v>
      </c>
      <c r="D34" s="99" t="n">
        <f aca="false">SUM(H34:S34)</f>
        <v>12.1627728451713</v>
      </c>
      <c r="E34" s="8" t="n">
        <f aca="false">E12*Inputs!$C$80</f>
        <v>0.102143084903895</v>
      </c>
      <c r="F34" s="8" t="n">
        <f aca="false">F12*Inputs!$C$80</f>
        <v>0.110160523952945</v>
      </c>
      <c r="G34" s="8" t="n">
        <f aca="false">G12*Inputs!$C$80</f>
        <v>0.110481445982125</v>
      </c>
      <c r="H34" s="8" t="n">
        <f aca="false">H12*Inputs!$C$80</f>
        <v>0.114044447320152</v>
      </c>
      <c r="I34" s="8" t="n">
        <f aca="false">I12*Inputs!$C$80</f>
        <v>0.359151182391512</v>
      </c>
      <c r="J34" s="8" t="n">
        <f aca="false">J12*Inputs!$C$80</f>
        <v>0.877950622092187</v>
      </c>
      <c r="K34" s="8" t="n">
        <f aca="false">K12*Inputs!$C$80</f>
        <v>0.550837215616678</v>
      </c>
      <c r="L34" s="8" t="n">
        <f aca="false">L12*Inputs!$C$80</f>
        <v>0.998757669346382</v>
      </c>
      <c r="M34" s="8" t="n">
        <f aca="false">M12*Inputs!$C$80</f>
        <v>0.452787970459028</v>
      </c>
      <c r="N34" s="8" t="n">
        <f aca="false">N12*Inputs!$C$80</f>
        <v>1.51027297437012</v>
      </c>
      <c r="O34" s="8" t="n">
        <f aca="false">O12*Inputs!$C$80</f>
        <v>0.745756069484603</v>
      </c>
      <c r="P34" s="8" t="n">
        <f aca="false">P12*Inputs!$C$80</f>
        <v>1.36802843835689</v>
      </c>
      <c r="Q34" s="8" t="n">
        <f aca="false">Q12*Inputs!$C$80</f>
        <v>1.52923085423688</v>
      </c>
      <c r="R34" s="8" t="n">
        <f aca="false">R12*Inputs!$C$80</f>
        <v>2.13958517848667</v>
      </c>
      <c r="S34" s="8" t="n">
        <f aca="false">S12*Inputs!$C$80</f>
        <v>1.51637022301021</v>
      </c>
    </row>
    <row r="35" customFormat="false" ht="15" hidden="false" customHeight="true" outlineLevel="0" collapsed="false">
      <c r="A35" s="11" t="s">
        <v>92</v>
      </c>
      <c r="B35" s="3" t="s">
        <v>10</v>
      </c>
      <c r="C35" s="99" t="n">
        <f aca="false">SUM(E35:G35)</f>
        <v>-62.0278354155213</v>
      </c>
      <c r="D35" s="99" t="n">
        <f aca="false">SUM(H35:S35)</f>
        <v>556.625196955273</v>
      </c>
      <c r="E35" s="100" t="n">
        <f aca="false">E33-E34</f>
        <v>-20.021147683725</v>
      </c>
      <c r="F35" s="100" t="n">
        <f aca="false">F33-F34</f>
        <v>-21.0511004778638</v>
      </c>
      <c r="G35" s="100" t="n">
        <f aca="false">G33-G34</f>
        <v>-20.9555872539325</v>
      </c>
      <c r="H35" s="100" t="n">
        <f aca="false">H33-H34</f>
        <v>-31.1696518662759</v>
      </c>
      <c r="I35" s="100" t="n">
        <f aca="false">I33-I34</f>
        <v>-9.38611813864718</v>
      </c>
      <c r="J35" s="100" t="n">
        <f aca="false">J33-J34</f>
        <v>50.7235953284755</v>
      </c>
      <c r="K35" s="100" t="n">
        <f aca="false">K33-K34</f>
        <v>5.72311272529968</v>
      </c>
      <c r="L35" s="100" t="n">
        <f aca="false">L33-L34</f>
        <v>57.1822529647543</v>
      </c>
      <c r="M35" s="100" t="n">
        <f aca="false">M33-M34</f>
        <v>-18.5792852945632</v>
      </c>
      <c r="N35" s="100" t="n">
        <f aca="false">N33-N34</f>
        <v>103.724056207515</v>
      </c>
      <c r="O35" s="100" t="n">
        <f aca="false">O33-O34</f>
        <v>-4.3685404739392</v>
      </c>
      <c r="P35" s="100" t="n">
        <f aca="false">P33-P34</f>
        <v>72.9179470415534</v>
      </c>
      <c r="Q35" s="100" t="n">
        <f aca="false">Q33-Q34</f>
        <v>82.597849882265</v>
      </c>
      <c r="R35" s="100" t="n">
        <f aca="false">R33-R34</f>
        <v>164.413565038548</v>
      </c>
      <c r="S35" s="100" t="n">
        <f aca="false">S33-S34</f>
        <v>82.8464135402883</v>
      </c>
    </row>
    <row r="36" customFormat="false" ht="15" hidden="false" customHeight="true" outlineLevel="0" collapsed="false">
      <c r="A36" s="51" t="s">
        <v>1048</v>
      </c>
      <c r="B36" s="3" t="s">
        <v>21</v>
      </c>
      <c r="C36" s="98" t="n">
        <f aca="false">IF(C12=0,0,C35/C12)</f>
        <v>-0.960822604480038</v>
      </c>
      <c r="D36" s="98" t="n">
        <f aca="false">IF(D12=0,0,D35/D12)</f>
        <v>0.228823313581926</v>
      </c>
      <c r="E36" s="9" t="n">
        <f aca="false">IF(E12=0,0,E35/E12)</f>
        <v>-0.980053994970028</v>
      </c>
      <c r="F36" s="9" t="n">
        <f aca="false">IF(F12=0,0,F35/F12)</f>
        <v>-0.9554738722401</v>
      </c>
      <c r="G36" s="9" t="n">
        <f aca="false">IF(G12=0,0,G35/G12)</f>
        <v>-0.948375859296908</v>
      </c>
      <c r="H36" s="9" t="n">
        <f aca="false">IF(H12=0,0,H35/H12)</f>
        <v>-1.36655718882896</v>
      </c>
      <c r="I36" s="9" t="n">
        <f aca="false">IF(I12=0,0,I35/I12)</f>
        <v>-0.130670851146124</v>
      </c>
      <c r="J36" s="9" t="n">
        <f aca="false">IF(J12=0,0,J35/J12)</f>
        <v>0.28887498939063</v>
      </c>
      <c r="K36" s="9" t="n">
        <f aca="false">IF(K12=0,0,K35/K12)</f>
        <v>0.0519492198697258</v>
      </c>
      <c r="L36" s="9" t="n">
        <f aca="false">IF(L12=0,0,L35/L12)</f>
        <v>0.28626690297245</v>
      </c>
      <c r="M36" s="9" t="n">
        <f aca="false">IF(M12=0,0,M35/M12)</f>
        <v>-0.205165403088424</v>
      </c>
      <c r="N36" s="9" t="n">
        <f aca="false">IF(N12=0,0,N35/N12)</f>
        <v>0.343395061580752</v>
      </c>
      <c r="O36" s="9" t="n">
        <f aca="false">IF(O12=0,0,O35/O12)</f>
        <v>-0.0292893390526363</v>
      </c>
      <c r="P36" s="9" t="n">
        <f aca="false">IF(P12=0,0,P35/P12)</f>
        <v>0.266507424104185</v>
      </c>
      <c r="Q36" s="9" t="n">
        <f aca="false">IF(Q12=0,0,Q35/Q12)</f>
        <v>0.270063377460047</v>
      </c>
      <c r="R36" s="9" t="n">
        <f aca="false">IF(R12=0,0,R35/R12)</f>
        <v>0.384218321129982</v>
      </c>
      <c r="S36" s="9" t="n">
        <f aca="false">IF(S12=0,0,S35/S12)</f>
        <v>0.273173438396286</v>
      </c>
    </row>
    <row r="37" customFormat="false" ht="15" hidden="false" customHeight="true" outlineLevel="0" collapsed="false">
      <c r="A37" s="51" t="s">
        <v>1049</v>
      </c>
      <c r="B37" s="3" t="s">
        <v>10</v>
      </c>
      <c r="C37" s="99" t="n">
        <f aca="false">SUM(E37:G37)</f>
        <v>-32.0278354155213</v>
      </c>
      <c r="D37" s="99" t="n">
        <f aca="false">SUM(H37:S37)</f>
        <v>826.625196955273</v>
      </c>
      <c r="E37" s="8" t="n">
        <f aca="false">E35+E28</f>
        <v>-10.021147683725</v>
      </c>
      <c r="F37" s="8" t="n">
        <f aca="false">F35+F28</f>
        <v>-11.0511004778638</v>
      </c>
      <c r="G37" s="8" t="n">
        <f aca="false">G35+G28</f>
        <v>-10.9555872539325</v>
      </c>
      <c r="H37" s="8" t="n">
        <f aca="false">H35+H28</f>
        <v>-21.1696518662759</v>
      </c>
      <c r="I37" s="8" t="n">
        <f aca="false">I35+I28</f>
        <v>0.613881861352825</v>
      </c>
      <c r="J37" s="8" t="n">
        <f aca="false">J35+J28</f>
        <v>75.7235953284755</v>
      </c>
      <c r="K37" s="8" t="n">
        <f aca="false">K35+K28</f>
        <v>30.7231127252997</v>
      </c>
      <c r="L37" s="8" t="n">
        <f aca="false">L35+L28</f>
        <v>82.1822529647543</v>
      </c>
      <c r="M37" s="8" t="n">
        <f aca="false">M35+M28</f>
        <v>6.42071470543681</v>
      </c>
      <c r="N37" s="8" t="n">
        <f aca="false">N35+N28</f>
        <v>128.724056207515</v>
      </c>
      <c r="O37" s="8" t="n">
        <f aca="false">O35+O28</f>
        <v>20.6314595260608</v>
      </c>
      <c r="P37" s="8" t="n">
        <f aca="false">P35+P28</f>
        <v>97.9179470415534</v>
      </c>
      <c r="Q37" s="8" t="n">
        <f aca="false">Q35+Q28</f>
        <v>107.597849882265</v>
      </c>
      <c r="R37" s="8" t="n">
        <f aca="false">R35+R28</f>
        <v>189.413565038548</v>
      </c>
      <c r="S37" s="8" t="n">
        <f aca="false">S35+S28</f>
        <v>107.846413540288</v>
      </c>
    </row>
    <row r="38" customFormat="false" ht="15" hidden="false" customHeight="true" outlineLevel="0" collapsed="false">
      <c r="A38" s="2"/>
      <c r="B38" s="2"/>
      <c r="C38" s="2"/>
      <c r="D38" s="2"/>
      <c r="E38" s="2"/>
      <c r="F38" s="2"/>
      <c r="G38" s="2"/>
      <c r="H38" s="2"/>
      <c r="I38" s="2"/>
      <c r="J38" s="2"/>
      <c r="K38" s="2"/>
      <c r="L38" s="2"/>
      <c r="M38" s="2"/>
      <c r="N38" s="2"/>
      <c r="O38" s="2"/>
      <c r="P38" s="2"/>
      <c r="Q38" s="2"/>
      <c r="R38" s="2"/>
      <c r="S38" s="2"/>
    </row>
    <row r="39" customFormat="false" ht="15" hidden="false" customHeight="true" outlineLevel="0" collapsed="false">
      <c r="A39" s="6" t="s">
        <v>1050</v>
      </c>
      <c r="B39" s="7"/>
      <c r="C39" s="7"/>
      <c r="D39" s="7"/>
      <c r="E39" s="7"/>
      <c r="F39" s="7"/>
      <c r="G39" s="7"/>
      <c r="H39" s="7"/>
      <c r="I39" s="7"/>
      <c r="J39" s="7"/>
      <c r="K39" s="7"/>
      <c r="L39" s="7"/>
      <c r="M39" s="7"/>
      <c r="N39" s="7"/>
      <c r="O39" s="7"/>
      <c r="P39" s="7"/>
      <c r="Q39" s="7"/>
      <c r="R39" s="7"/>
      <c r="S39" s="7"/>
    </row>
    <row r="40" customFormat="false" ht="15" hidden="false" customHeight="true" outlineLevel="0" collapsed="false">
      <c r="A40" s="51" t="s">
        <v>1051</v>
      </c>
      <c r="B40" s="3" t="s">
        <v>10</v>
      </c>
      <c r="C40" s="99" t="n">
        <f aca="false">SUM(E40:G40)</f>
        <v>55.143</v>
      </c>
      <c r="D40" s="99" t="n">
        <f aca="false">SUM(H40:S40)</f>
        <v>1354.703</v>
      </c>
      <c r="E40" s="8" t="n">
        <f aca="false">E6+E7*Inputs!$C$83+Inputs!$C$131*(IF(Volume!E26=0,0,E9*Volume!E18/Volume!E26*Inputs!$C$152)+E47+IF(Volume!E44+Volume!E45=0,0,E48*Volume!E44/(Volume!E44+Volume!E45)))</f>
        <v>15</v>
      </c>
      <c r="F40" s="8" t="n">
        <f aca="false">F6+F7*Inputs!$C$83+Inputs!$C$131*(IF(Volume!F26=0,0,F9*Volume!F18/Volume!F26*Inputs!$C$152)+F47+IF(Volume!F44+Volume!F45=0,0,F48*Volume!F44/(Volume!F44+Volume!F45)))</f>
        <v>20.0715</v>
      </c>
      <c r="G40" s="8" t="n">
        <f aca="false">G6+G7*Inputs!$C$83+Inputs!$C$131*(IF(Volume!G26=0,0,G9*Volume!G18/Volume!G26*Inputs!$C$152)+G47+IF(Volume!G44+Volume!G45=0,0,G48*Volume!G44/(Volume!G44+Volume!G45)))</f>
        <v>20.0715</v>
      </c>
      <c r="H40" s="8" t="n">
        <f aca="false">H6+H7*Inputs!$C$83+Inputs!$C$131*(IF(Volume!H26=0,0,H9*Volume!H18/Volume!H26*Inputs!$C$152)+H47+IF(Volume!H44+Volume!H45=0,0,H48*Volume!H44/(Volume!H44+Volume!H45)))</f>
        <v>20.0715</v>
      </c>
      <c r="I40" s="8" t="n">
        <f aca="false">I6+I7*Inputs!$C$83+Inputs!$C$131*(IF(Volume!I26=0,0,I9*Volume!I18/Volume!I26*Inputs!$C$152)+I47+IF(Volume!I44+Volume!I45=0,0,I48*Volume!I44/(Volume!I44+Volume!I45)))</f>
        <v>22.9695</v>
      </c>
      <c r="J40" s="8" t="n">
        <f aca="false">J6+J7*Inputs!$C$83+Inputs!$C$131*(IF(Volume!J26=0,0,J9*Volume!J18/Volume!J26*Inputs!$C$152)+J47+IF(Volume!J44+Volume!J45=0,0,J48*Volume!J44/(Volume!J44+Volume!J45)))</f>
        <v>152.266</v>
      </c>
      <c r="K40" s="8" t="n">
        <f aca="false">K6+K7*Inputs!$C$83+Inputs!$C$131*(IF(Volume!K26=0,0,K9*Volume!K18/Volume!K26*Inputs!$C$152)+K47+IF(Volume!K44+Volume!K45=0,0,K48*Volume!K44/(Volume!K44+Volume!K45)))</f>
        <v>33.1125</v>
      </c>
      <c r="L40" s="8" t="n">
        <f aca="false">L6+L7*Inputs!$C$83+Inputs!$C$131*(IF(Volume!L26=0,0,L9*Volume!L18/Volume!L26*Inputs!$C$152)+L47+IF(Volume!L44+Volume!L45=0,0,L48*Volume!L44/(Volume!L44+Volume!L45)))</f>
        <v>164.4625</v>
      </c>
      <c r="M40" s="8" t="n">
        <f aca="false">M6+M7*Inputs!$C$83+Inputs!$C$131*(IF(Volume!M26=0,0,M9*Volume!M18/Volume!M26*Inputs!$C$152)+M47+IF(Volume!M44+Volume!M45=0,0,M48*Volume!M44/(Volume!M44+Volume!M45)))</f>
        <v>62.289</v>
      </c>
      <c r="N40" s="8" t="n">
        <f aca="false">N6+N7*Inputs!$C$83+Inputs!$C$131*(IF(Volume!N26=0,0,N9*Volume!N18/Volume!N26*Inputs!$C$152)+N47+IF(Volume!N44+Volume!N45=0,0,N48*Volume!N44/(Volume!N44+Volume!N45)))</f>
        <v>165.187</v>
      </c>
      <c r="O40" s="8" t="n">
        <f aca="false">O6+O7*Inputs!$C$83+Inputs!$C$131*(IF(Volume!O26=0,0,O9*Volume!O18/Volume!O26*Inputs!$C$152)+O47+IF(Volume!O44+Volume!O45=0,0,O48*Volume!O44/(Volume!O44+Volume!O45)))</f>
        <v>65.187</v>
      </c>
      <c r="P40" s="8" t="n">
        <f aca="false">P6+P7*Inputs!$C$83+Inputs!$C$131*(IF(Volume!P26=0,0,P9*Volume!P18/Volume!P26*Inputs!$C$152)+P47+IF(Volume!P44+Volume!P45=0,0,P48*Volume!P44/(Volume!P44+Volume!P45)))</f>
        <v>184.4605</v>
      </c>
      <c r="Q40" s="8" t="n">
        <f aca="false">Q6+Q7*Inputs!$C$83+Inputs!$C$131*(IF(Volume!Q26=0,0,Q9*Volume!Q18/Volume!Q26*Inputs!$C$152)+Q47+IF(Volume!Q44+Volume!Q45=0,0,Q48*Volume!Q44/(Volume!Q44+Volume!Q45)))</f>
        <v>96.657</v>
      </c>
      <c r="R40" s="8" t="n">
        <f aca="false">R6+R7*Inputs!$C$83+Inputs!$C$131*(IF(Volume!R26=0,0,R9*Volume!R18/Volume!R26*Inputs!$C$152)+R47+IF(Volume!R44+Volume!R45=0,0,R48*Volume!R44/(Volume!R44+Volume!R45)))</f>
        <v>220.882</v>
      </c>
      <c r="S40" s="8" t="n">
        <f aca="false">S6+S7*Inputs!$C$83+Inputs!$C$131*(IF(Volume!S26=0,0,S9*Volume!S18/Volume!S26*Inputs!$C$152)+S47+IF(Volume!S44+Volume!S45=0,0,S48*Volume!S44/(Volume!S44+Volume!S45)))</f>
        <v>167.1585</v>
      </c>
    </row>
    <row r="41" customFormat="false" ht="15" hidden="false" customHeight="true" outlineLevel="0" collapsed="false">
      <c r="A41" s="51" t="s">
        <v>1052</v>
      </c>
      <c r="B41" s="3" t="s">
        <v>21</v>
      </c>
      <c r="C41" s="98" t="n">
        <f aca="false">IF(C12=0,0,C40/C12)</f>
        <v>0.854175234778301</v>
      </c>
      <c r="D41" s="98" t="n">
        <f aca="false">IF(D12=0,0,D40/D12)</f>
        <v>0.5569054923762</v>
      </c>
      <c r="E41" s="9" t="n">
        <f aca="false">IF(E12=0,0,E40/E12)</f>
        <v>0.73426409698284</v>
      </c>
      <c r="F41" s="9" t="n">
        <f aca="false">IF(F12=0,0,F40/F12)</f>
        <v>0.911011462171943</v>
      </c>
      <c r="G41" s="9" t="n">
        <f aca="false">IF(G12=0,0,G40/G12)</f>
        <v>0.908365192977625</v>
      </c>
      <c r="H41" s="9" t="n">
        <f aca="false">IF(H12=0,0,H40/H12)</f>
        <v>0.879985850764579</v>
      </c>
      <c r="I41" s="9" t="n">
        <f aca="false">IF(I12=0,0,I40/I12)</f>
        <v>0.319774806907928</v>
      </c>
      <c r="J41" s="9" t="n">
        <f aca="false">IF(J12=0,0,J40/J12)</f>
        <v>0.867167219707327</v>
      </c>
      <c r="K41" s="9" t="n">
        <f aca="false">IF(K12=0,0,K40/K12)</f>
        <v>0.300565203850012</v>
      </c>
      <c r="L41" s="9" t="n">
        <f aca="false">IF(L12=0,0,L40/L12)</f>
        <v>0.823335354749413</v>
      </c>
      <c r="M41" s="9" t="n">
        <f aca="false">IF(M12=0,0,M40/M12)</f>
        <v>0.687838503492624</v>
      </c>
      <c r="N41" s="9" t="n">
        <f aca="false">IF(N12=0,0,N40/N12)</f>
        <v>0.546877957837037</v>
      </c>
      <c r="O41" s="9" t="n">
        <f aca="false">IF(O12=0,0,O40/O12)</f>
        <v>0.437053097301985</v>
      </c>
      <c r="P41" s="9" t="n">
        <f aca="false">IF(P12=0,0,P40/P12)</f>
        <v>0.674183718803211</v>
      </c>
      <c r="Q41" s="9" t="n">
        <f aca="false">IF(Q12=0,0,Q40/Q12)</f>
        <v>0.316031421064395</v>
      </c>
      <c r="R41" s="9" t="n">
        <f aca="false">IF(R12=0,0,R40/R12)</f>
        <v>0.516179496429841</v>
      </c>
      <c r="S41" s="9" t="n">
        <f aca="false">IF(S12=0,0,S40/S12)</f>
        <v>0.551179710150754</v>
      </c>
    </row>
    <row r="42" customFormat="false" ht="15" hidden="false" customHeight="true" outlineLevel="0" collapsed="false">
      <c r="A42" s="51" t="s">
        <v>1053</v>
      </c>
      <c r="B42" s="3" t="s">
        <v>10</v>
      </c>
      <c r="C42" s="99" t="n">
        <f aca="false">SUM(E42:G42)</f>
        <v>55.143</v>
      </c>
      <c r="D42" s="99" t="n">
        <f aca="false">SUM(H42:S42)</f>
        <v>2273.268</v>
      </c>
      <c r="E42" s="8" t="n">
        <f aca="false">SUM(E6:E9)+E51</f>
        <v>15</v>
      </c>
      <c r="F42" s="8" t="n">
        <f aca="false">SUM(F6:F9)+F51</f>
        <v>20.0715</v>
      </c>
      <c r="G42" s="8" t="n">
        <f aca="false">SUM(G6:G9)+G51</f>
        <v>20.0715</v>
      </c>
      <c r="H42" s="8" t="n">
        <f aca="false">SUM(H6:H9)+H51</f>
        <v>20.0715</v>
      </c>
      <c r="I42" s="8" t="n">
        <f aca="false">SUM(I6:I9)+I51</f>
        <v>61.9695</v>
      </c>
      <c r="J42" s="8" t="n">
        <f aca="false">SUM(J6:J9)+J51</f>
        <v>171.541</v>
      </c>
      <c r="K42" s="8" t="n">
        <f aca="false">SUM(K6:K9)+K51</f>
        <v>101.6125</v>
      </c>
      <c r="L42" s="8" t="n">
        <f aca="false">SUM(L6:L9)+L51</f>
        <v>190.8625</v>
      </c>
      <c r="M42" s="8" t="n">
        <f aca="false">SUM(M6:M9)+M51</f>
        <v>81.564</v>
      </c>
      <c r="N42" s="8" t="n">
        <f aca="false">SUM(N6:N9)+N51</f>
        <v>286.652</v>
      </c>
      <c r="O42" s="8" t="n">
        <f aca="false">SUM(O6:O9)+O51</f>
        <v>133.152</v>
      </c>
      <c r="P42" s="8" t="n">
        <f aca="false">SUM(P6:P9)+P51</f>
        <v>256.7005</v>
      </c>
      <c r="Q42" s="8" t="n">
        <f aca="false">SUM(Q6:Q9)+Q51</f>
        <v>283.022</v>
      </c>
      <c r="R42" s="8" t="n">
        <f aca="false">SUM(R6:R9)+R51</f>
        <v>404.397</v>
      </c>
      <c r="S42" s="8" t="n">
        <f aca="false">SUM(S6:S9)+S51</f>
        <v>281.7235</v>
      </c>
    </row>
    <row r="43" customFormat="false" ht="15" hidden="false" customHeight="true" outlineLevel="0" collapsed="false">
      <c r="A43" s="51" t="s">
        <v>1054</v>
      </c>
      <c r="B43" s="3" t="s">
        <v>10</v>
      </c>
      <c r="C43" s="99" t="n">
        <f aca="false">SUM(E43:G43)</f>
        <v>3.75</v>
      </c>
      <c r="D43" s="99" t="n">
        <f aca="false">SUM(H43:S43)</f>
        <v>89.25</v>
      </c>
      <c r="E43" s="8" t="n">
        <f aca="false">(Volume!E23*Inputs!$C$63+Volume!E24*Inputs!$C$64+Volume!E25*Inputs!$C$65+Volume!E27*Inputs!$C$66)*Inputs!$C$62</f>
        <v>3.75</v>
      </c>
      <c r="F43" s="8" t="n">
        <f aca="false">(Volume!F23*Inputs!$C$63+Volume!F24*Inputs!$C$64+Volume!F25*Inputs!$C$65+Volume!F27*Inputs!$C$66)*Inputs!$C$62</f>
        <v>0</v>
      </c>
      <c r="G43" s="8" t="n">
        <f aca="false">(Volume!G23*Inputs!$C$63+Volume!G24*Inputs!$C$64+Volume!G25*Inputs!$C$65+Volume!G27*Inputs!$C$66)*Inputs!$C$62</f>
        <v>0</v>
      </c>
      <c r="H43" s="8" t="n">
        <f aca="false">(Volume!H23*Inputs!$C$63+Volume!H24*Inputs!$C$64+Volume!H25*Inputs!$C$65+Volume!H27*Inputs!$C$66)*Inputs!$C$62</f>
        <v>0</v>
      </c>
      <c r="I43" s="8" t="n">
        <f aca="false">(Volume!I23*Inputs!$C$63+Volume!I24*Inputs!$C$64+Volume!I25*Inputs!$C$65+Volume!I27*Inputs!$C$66)*Inputs!$C$62</f>
        <v>3.75</v>
      </c>
      <c r="J43" s="8" t="n">
        <f aca="false">(Volume!J23*Inputs!$C$63+Volume!J24*Inputs!$C$64+Volume!J25*Inputs!$C$65+Volume!J27*Inputs!$C$66)*Inputs!$C$62</f>
        <v>5.25</v>
      </c>
      <c r="K43" s="8" t="n">
        <f aca="false">(Volume!K23*Inputs!$C$63+Volume!K24*Inputs!$C$64+Volume!K25*Inputs!$C$65+Volume!K27*Inputs!$C$66)*Inputs!$C$62</f>
        <v>3</v>
      </c>
      <c r="L43" s="8" t="n">
        <f aca="false">(Volume!L23*Inputs!$C$63+Volume!L24*Inputs!$C$64+Volume!L25*Inputs!$C$65+Volume!L27*Inputs!$C$66)*Inputs!$C$62</f>
        <v>5.25</v>
      </c>
      <c r="M43" s="8" t="n">
        <f aca="false">(Volume!M23*Inputs!$C$63+Volume!M24*Inputs!$C$64+Volume!M25*Inputs!$C$65+Volume!M27*Inputs!$C$66)*Inputs!$C$62</f>
        <v>2.25</v>
      </c>
      <c r="N43" s="8" t="n">
        <f aca="false">(Volume!N23*Inputs!$C$63+Volume!N24*Inputs!$C$64+Volume!N25*Inputs!$C$65+Volume!N27*Inputs!$C$66)*Inputs!$C$62</f>
        <v>8.25</v>
      </c>
      <c r="O43" s="8" t="n">
        <f aca="false">(Volume!O23*Inputs!$C$63+Volume!O24*Inputs!$C$64+Volume!O25*Inputs!$C$65+Volume!O27*Inputs!$C$66)*Inputs!$C$62</f>
        <v>2.25</v>
      </c>
      <c r="P43" s="8" t="n">
        <f aca="false">(Volume!P23*Inputs!$C$63+Volume!P24*Inputs!$C$64+Volume!P25*Inputs!$C$65+Volume!P27*Inputs!$C$66)*Inputs!$C$62</f>
        <v>7.5</v>
      </c>
      <c r="Q43" s="8" t="n">
        <f aca="false">(Volume!Q23*Inputs!$C$63+Volume!Q24*Inputs!$C$64+Volume!Q25*Inputs!$C$65+Volume!Q27*Inputs!$C$66)*Inputs!$C$62</f>
        <v>14.25</v>
      </c>
      <c r="R43" s="8" t="n">
        <f aca="false">(Volume!R23*Inputs!$C$63+Volume!R24*Inputs!$C$64+Volume!R25*Inputs!$C$65+Volume!R27*Inputs!$C$66)*Inputs!$C$62</f>
        <v>19.5</v>
      </c>
      <c r="S43" s="8" t="n">
        <f aca="false">(Volume!S23*Inputs!$C$63+Volume!S24*Inputs!$C$64+Volume!S25*Inputs!$C$65+Volume!S27*Inputs!$C$66)*Inputs!$C$62</f>
        <v>18</v>
      </c>
    </row>
    <row r="44" customFormat="false" ht="15" hidden="false" customHeight="true" outlineLevel="0" collapsed="false">
      <c r="A44" s="51" t="s">
        <v>1055</v>
      </c>
      <c r="B44" s="3" t="s">
        <v>10</v>
      </c>
      <c r="C44" s="99" t="n">
        <f aca="false">SUM(E44:G44)</f>
        <v>2.81364784804531</v>
      </c>
      <c r="D44" s="99" t="n">
        <f aca="false">SUM(H44:S44)</f>
        <v>44.7723257114371</v>
      </c>
      <c r="E44" s="8" t="n">
        <f aca="false">(Volume!E28+Volume!E26*Inputs!$C$68+Volume!E43)*Inputs!$C$67</f>
        <v>0.604487126827362</v>
      </c>
      <c r="F44" s="8" t="n">
        <f aca="false">(Volume!F28+Volume!F26*Inputs!$C$68+Volume!F43)*Inputs!$C$67</f>
        <v>1.10197007121795</v>
      </c>
      <c r="G44" s="8" t="n">
        <f aca="false">(Volume!G28+Volume!G26*Inputs!$C$68+Volume!G43)*Inputs!$C$67</f>
        <v>1.10719065</v>
      </c>
      <c r="H44" s="8" t="n">
        <f aca="false">(Volume!H28+Volume!H26*Inputs!$C$68+Volume!H43)*Inputs!$C$67</f>
        <v>1.1651515485811</v>
      </c>
      <c r="I44" s="8" t="n">
        <f aca="false">(Volume!I28+Volume!I26*Inputs!$C$68+Volume!I43)*Inputs!$C$67</f>
        <v>2.16413324277543</v>
      </c>
      <c r="J44" s="8" t="n">
        <f aca="false">(Volume!J28+Volume!J26*Inputs!$C$68+Volume!J43)*Inputs!$C$67</f>
        <v>2.470994375</v>
      </c>
      <c r="K44" s="8" t="n">
        <f aca="false">(Volume!K28+Volume!K26*Inputs!$C$68+Volume!K43)*Inputs!$C$67</f>
        <v>3.27998497688687</v>
      </c>
      <c r="L44" s="8" t="n">
        <f aca="false">(Volume!L28+Volume!L26*Inputs!$C$68+Volume!L43)*Inputs!$C$67</f>
        <v>3.30715897712606</v>
      </c>
      <c r="M44" s="8" t="n">
        <f aca="false">(Volume!M28+Volume!M26*Inputs!$C$68+Volume!M43)*Inputs!$C$67</f>
        <v>3.12981361111111</v>
      </c>
      <c r="N44" s="8" t="n">
        <f aca="false">(Volume!N28+Volume!N26*Inputs!$C$68+Volume!N43)*Inputs!$C$67</f>
        <v>4.40775368246161</v>
      </c>
      <c r="O44" s="8" t="n">
        <f aca="false">(Volume!O28+Volume!O26*Inputs!$C$68+Volume!O43)*Inputs!$C$67</f>
        <v>4.45628099328323</v>
      </c>
      <c r="P44" s="8" t="n">
        <f aca="false">(Volume!P28+Volume!P26*Inputs!$C$68+Volume!P43)*Inputs!$C$67</f>
        <v>4.71582034823529</v>
      </c>
      <c r="Q44" s="8" t="n">
        <f aca="false">(Volume!Q28+Volume!Q26*Inputs!$C$68+Volume!Q43)*Inputs!$C$67</f>
        <v>5.30269248016397</v>
      </c>
      <c r="R44" s="8" t="n">
        <f aca="false">(Volume!R28+Volume!R26*Inputs!$C$68+Volume!R43)*Inputs!$C$67</f>
        <v>5.35929216701238</v>
      </c>
      <c r="S44" s="8" t="n">
        <f aca="false">(Volume!S28+Volume!S26*Inputs!$C$68+Volume!S43)*Inputs!$C$67</f>
        <v>5.0132493088</v>
      </c>
    </row>
    <row r="46" customFormat="false" ht="15" hidden="false" customHeight="false" outlineLevel="0" collapsed="false">
      <c r="A46" s="6" t="s">
        <v>1056</v>
      </c>
    </row>
    <row r="47" customFormat="false" ht="15" hidden="false" customHeight="false" outlineLevel="0" collapsed="false">
      <c r="A47" s="51" t="s">
        <v>1057</v>
      </c>
      <c r="B47" s="3" t="s">
        <v>10</v>
      </c>
      <c r="C47" s="99" t="n">
        <f aca="false">SUM(E47:G47)</f>
        <v>10.143</v>
      </c>
      <c r="D47" s="99" t="n">
        <f aca="false">SUM(H47:S47)</f>
        <v>213.003</v>
      </c>
      <c r="E47" s="8" t="n">
        <f aca="false">(Volume!E50+0+0)/3</f>
        <v>0</v>
      </c>
      <c r="F47" s="8" t="n">
        <f aca="false">(Volume!F50+Volume!E50+0)/3</f>
        <v>5.0715</v>
      </c>
      <c r="G47" s="8" t="n">
        <f aca="false">(Volume!G50+Volume!F50+Volume!E50)/3</f>
        <v>5.0715</v>
      </c>
      <c r="H47" s="8" t="n">
        <f aca="false">(Volume!H50+Volume!G50+Volume!F50)/3</f>
        <v>5.0715</v>
      </c>
      <c r="I47" s="8" t="n">
        <f aca="false">(Volume!I50+Volume!H50+Volume!G50)/3</f>
        <v>7.9695</v>
      </c>
      <c r="J47" s="8" t="n">
        <f aca="false">(Volume!J50+Volume!I50+Volume!H50)/3</f>
        <v>13.041</v>
      </c>
      <c r="K47" s="8" t="n">
        <f aca="false">(Volume!K50+Volume!J50+Volume!I50)/3</f>
        <v>18.1125</v>
      </c>
      <c r="L47" s="8" t="n">
        <f aca="false">(Volume!L50+Volume!K50+Volume!J50)/3</f>
        <v>18.1125</v>
      </c>
      <c r="M47" s="8" t="n">
        <f aca="false">(Volume!M50+Volume!L50+Volume!K50)/3</f>
        <v>15.939</v>
      </c>
      <c r="N47" s="8" t="n">
        <f aca="false">(Volume!N50+Volume!M50+Volume!L50)/3</f>
        <v>18.837</v>
      </c>
      <c r="O47" s="8" t="n">
        <f aca="false">(Volume!O50+Volume!N50+Volume!M50)/3</f>
        <v>18.837</v>
      </c>
      <c r="P47" s="8" t="n">
        <f aca="false">(Volume!P50+Volume!O50+Volume!N50)/3</f>
        <v>21.0105</v>
      </c>
      <c r="Q47" s="8" t="n">
        <f aca="false">(Volume!Q50+Volume!P50+Volume!O50)/3</f>
        <v>26.082</v>
      </c>
      <c r="R47" s="8" t="n">
        <f aca="false">(Volume!R50+Volume!Q50+Volume!P50)/3</f>
        <v>26.082</v>
      </c>
      <c r="S47" s="8" t="n">
        <f aca="false">(Volume!S50+Volume!R50+Volume!Q50)/3</f>
        <v>23.9085</v>
      </c>
    </row>
    <row r="48" customFormat="false" ht="15" hidden="false" customHeight="false" outlineLevel="0" collapsed="false">
      <c r="A48" s="51" t="s">
        <v>1058</v>
      </c>
      <c r="B48" s="3" t="s">
        <v>10</v>
      </c>
      <c r="C48" s="99" t="n">
        <f aca="false">SUM(E48:G48)</f>
        <v>0</v>
      </c>
      <c r="D48" s="99" t="n">
        <f aca="false">SUM(H48:S48)</f>
        <v>64.125</v>
      </c>
      <c r="E48" s="8" t="n">
        <f aca="false">(Volume!E44+Volume!E45)*IF(Volume!E11=1,Unit_Economics!$B$5,Unit_Economics!$N$5)</f>
        <v>0</v>
      </c>
      <c r="F48" s="8" t="n">
        <f aca="false">(Volume!F44+Volume!F45)*IF(Volume!F11=1,Unit_Economics!$B$5,Unit_Economics!$N$5)</f>
        <v>0</v>
      </c>
      <c r="G48" s="8" t="n">
        <f aca="false">(Volume!G44+Volume!G45)*IF(Volume!G11=1,Unit_Economics!$B$5,Unit_Economics!$N$5)</f>
        <v>0</v>
      </c>
      <c r="H48" s="8" t="n">
        <f aca="false">(Volume!H44+Volume!H45)*IF(Volume!H11=1,Unit_Economics!$B$5,Unit_Economics!$N$5)</f>
        <v>0</v>
      </c>
      <c r="I48" s="8" t="n">
        <f aca="false">(Volume!I44+Volume!I45)*IF(Volume!I11=1,Unit_Economics!$B$5,Unit_Economics!$N$5)</f>
        <v>0</v>
      </c>
      <c r="J48" s="8" t="n">
        <f aca="false">(Volume!J44+Volume!J45)*IF(Volume!J11=1,Unit_Economics!$B$5,Unit_Economics!$N$5)</f>
        <v>0</v>
      </c>
      <c r="K48" s="8" t="n">
        <f aca="false">(Volume!K44+Volume!K45)*IF(Volume!K11=1,Unit_Economics!$B$5,Unit_Economics!$N$5)</f>
        <v>0</v>
      </c>
      <c r="L48" s="8" t="n">
        <f aca="false">(Volume!L44+Volume!L45)*IF(Volume!L11=1,Unit_Economics!$B$5,Unit_Economics!$N$5)</f>
        <v>14.25</v>
      </c>
      <c r="M48" s="8" t="n">
        <f aca="false">(Volume!M44+Volume!M45)*IF(Volume!M11=1,Unit_Economics!$B$5,Unit_Economics!$N$5)</f>
        <v>7.125</v>
      </c>
      <c r="N48" s="8" t="n">
        <f aca="false">(Volume!N44+Volume!N45)*IF(Volume!N11=1,Unit_Economics!$B$5,Unit_Economics!$N$5)</f>
        <v>7.125</v>
      </c>
      <c r="O48" s="8" t="n">
        <f aca="false">(Volume!O44+Volume!O45)*IF(Volume!O11=1,Unit_Economics!$B$5,Unit_Economics!$N$5)</f>
        <v>7.125</v>
      </c>
      <c r="P48" s="8" t="n">
        <f aca="false">(Volume!P44+Volume!P45)*IF(Volume!P11=1,Unit_Economics!$B$5,Unit_Economics!$N$5)</f>
        <v>0</v>
      </c>
      <c r="Q48" s="8" t="n">
        <f aca="false">(Volume!Q44+Volume!Q45)*IF(Volume!Q11=1,Unit_Economics!$B$5,Unit_Economics!$N$5)</f>
        <v>14.25</v>
      </c>
      <c r="R48" s="8" t="n">
        <f aca="false">(Volume!R44+Volume!R45)*IF(Volume!R11=1,Unit_Economics!$B$5,Unit_Economics!$N$5)</f>
        <v>7.125</v>
      </c>
      <c r="S48" s="8" t="n">
        <f aca="false">(Volume!S44+Volume!S45)*IF(Volume!S11=1,Unit_Economics!$B$5,Unit_Economics!$N$5)</f>
        <v>7.125</v>
      </c>
    </row>
    <row r="49" customFormat="false" ht="15" hidden="false" customHeight="false" outlineLevel="0" collapsed="false">
      <c r="A49" s="51" t="s">
        <v>1059</v>
      </c>
      <c r="B49" s="3" t="s">
        <v>10</v>
      </c>
      <c r="C49" s="99" t="n">
        <f aca="false">SUM(E49:G49)</f>
        <v>0</v>
      </c>
      <c r="D49" s="99" t="n">
        <f aca="false">SUM(H49:S49)</f>
        <v>58.14</v>
      </c>
      <c r="E49" s="8" t="n">
        <f aca="false">Volume!E46*IF(Volume!E11=1,Unit_Economics!$B$5,Unit_Economics!$N$5)</f>
        <v>0</v>
      </c>
      <c r="F49" s="8" t="n">
        <f aca="false">Volume!F46*IF(Volume!F11=1,Unit_Economics!$B$5,Unit_Economics!$N$5)</f>
        <v>0</v>
      </c>
      <c r="G49" s="8" t="n">
        <f aca="false">Volume!G46*IF(Volume!G11=1,Unit_Economics!$B$5,Unit_Economics!$N$5)</f>
        <v>0</v>
      </c>
      <c r="H49" s="8" t="n">
        <f aca="false">Volume!H46*IF(Volume!H11=1,Unit_Economics!$B$5,Unit_Economics!$N$5)</f>
        <v>0</v>
      </c>
      <c r="I49" s="8" t="n">
        <f aca="false">Volume!I46*IF(Volume!I11=1,Unit_Economics!$B$5,Unit_Economics!$N$5)</f>
        <v>0</v>
      </c>
      <c r="J49" s="8" t="n">
        <f aca="false">Volume!J46*IF(Volume!J11=1,Unit_Economics!$B$5,Unit_Economics!$N$5)</f>
        <v>0</v>
      </c>
      <c r="K49" s="8" t="n">
        <f aca="false">Volume!K46*IF(Volume!K11=1,Unit_Economics!$B$5,Unit_Economics!$N$5)</f>
        <v>0</v>
      </c>
      <c r="L49" s="8" t="n">
        <f aca="false">Volume!L46*IF(Volume!L11=1,Unit_Economics!$B$5,Unit_Economics!$N$5)</f>
        <v>0</v>
      </c>
      <c r="M49" s="8" t="n">
        <f aca="false">Volume!M46*IF(Volume!M11=1,Unit_Economics!$B$5,Unit_Economics!$N$5)</f>
        <v>0</v>
      </c>
      <c r="N49" s="8" t="n">
        <f aca="false">Volume!N46*IF(Volume!N11=1,Unit_Economics!$B$5,Unit_Economics!$N$5)</f>
        <v>9.69</v>
      </c>
      <c r="O49" s="8" t="n">
        <f aca="false">Volume!O46*IF(Volume!O11=1,Unit_Economics!$B$5,Unit_Economics!$N$5)</f>
        <v>9.69</v>
      </c>
      <c r="P49" s="8" t="n">
        <f aca="false">Volume!P46*IF(Volume!P11=1,Unit_Economics!$B$5,Unit_Economics!$N$5)</f>
        <v>9.69</v>
      </c>
      <c r="Q49" s="8" t="n">
        <f aca="false">Volume!Q46*IF(Volume!Q11=1,Unit_Economics!$B$5,Unit_Economics!$N$5)</f>
        <v>9.69</v>
      </c>
      <c r="R49" s="8" t="n">
        <f aca="false">Volume!R46*IF(Volume!R11=1,Unit_Economics!$B$5,Unit_Economics!$N$5)</f>
        <v>9.69</v>
      </c>
      <c r="S49" s="8" t="n">
        <f aca="false">Volume!S46*IF(Volume!S11=1,Unit_Economics!$B$5,Unit_Economics!$N$5)</f>
        <v>9.69</v>
      </c>
    </row>
    <row r="50" customFormat="false" ht="15" hidden="false" customHeight="false" outlineLevel="0" collapsed="false">
      <c r="A50" s="51" t="s">
        <v>1060</v>
      </c>
      <c r="B50" s="3" t="s">
        <v>10</v>
      </c>
      <c r="C50" s="99" t="n">
        <f aca="false">SUM(E50:G50)</f>
        <v>0</v>
      </c>
      <c r="D50" s="99" t="n">
        <f aca="false">SUM(H50:S50)</f>
        <v>144</v>
      </c>
      <c r="E50" s="8" t="n">
        <f aca="false">Volume!E48*Inputs!$C$155</f>
        <v>0</v>
      </c>
      <c r="F50" s="8" t="n">
        <f aca="false">Volume!F48*Inputs!$C$155</f>
        <v>0</v>
      </c>
      <c r="G50" s="8" t="n">
        <f aca="false">Volume!G48*Inputs!$C$155</f>
        <v>0</v>
      </c>
      <c r="H50" s="8" t="n">
        <f aca="false">Volume!H48*Inputs!$C$155</f>
        <v>0</v>
      </c>
      <c r="I50" s="8" t="n">
        <f aca="false">Volume!I48*Inputs!$C$155</f>
        <v>24</v>
      </c>
      <c r="J50" s="8" t="n">
        <f aca="false">Volume!J48*Inputs!$C$155</f>
        <v>0</v>
      </c>
      <c r="K50" s="8" t="n">
        <f aca="false">Volume!K48*Inputs!$C$155</f>
        <v>0</v>
      </c>
      <c r="L50" s="8" t="n">
        <f aca="false">Volume!L48*Inputs!$C$155</f>
        <v>0</v>
      </c>
      <c r="M50" s="8" t="n">
        <f aca="false">Volume!M48*Inputs!$C$155</f>
        <v>0</v>
      </c>
      <c r="N50" s="8" t="n">
        <f aca="false">Volume!N48*Inputs!$C$155</f>
        <v>24</v>
      </c>
      <c r="O50" s="8" t="n">
        <f aca="false">Volume!O48*Inputs!$C$155</f>
        <v>24</v>
      </c>
      <c r="P50" s="8" t="n">
        <f aca="false">Volume!P48*Inputs!$C$155</f>
        <v>24</v>
      </c>
      <c r="Q50" s="8" t="n">
        <f aca="false">Volume!Q48*Inputs!$C$155</f>
        <v>24</v>
      </c>
      <c r="R50" s="8" t="n">
        <f aca="false">Volume!R48*Inputs!$C$155</f>
        <v>24</v>
      </c>
      <c r="S50" s="8" t="n">
        <f aca="false">Volume!S48*Inputs!$C$155</f>
        <v>0</v>
      </c>
    </row>
    <row r="51" customFormat="false" ht="15" hidden="false" customHeight="false" outlineLevel="0" collapsed="false">
      <c r="A51" s="11" t="s">
        <v>1061</v>
      </c>
      <c r="B51" s="3" t="s">
        <v>10</v>
      </c>
      <c r="C51" s="99" t="n">
        <f aca="false">SUM(E51:G51)</f>
        <v>10.143</v>
      </c>
      <c r="D51" s="99" t="n">
        <f aca="false">SUM(H51:S51)</f>
        <v>479.268</v>
      </c>
      <c r="E51" s="100" t="n">
        <f aca="false">SUM(E47:E50)</f>
        <v>0</v>
      </c>
      <c r="F51" s="100" t="n">
        <f aca="false">SUM(F47:F50)</f>
        <v>5.0715</v>
      </c>
      <c r="G51" s="100" t="n">
        <f aca="false">SUM(G47:G50)</f>
        <v>5.0715</v>
      </c>
      <c r="H51" s="100" t="n">
        <f aca="false">SUM(H47:H50)</f>
        <v>5.0715</v>
      </c>
      <c r="I51" s="100" t="n">
        <f aca="false">SUM(I47:I50)</f>
        <v>31.9695</v>
      </c>
      <c r="J51" s="100" t="n">
        <f aca="false">SUM(J47:J50)</f>
        <v>13.041</v>
      </c>
      <c r="K51" s="100" t="n">
        <f aca="false">SUM(K47:K50)</f>
        <v>18.1125</v>
      </c>
      <c r="L51" s="100" t="n">
        <f aca="false">SUM(L47:L50)</f>
        <v>32.3625</v>
      </c>
      <c r="M51" s="100" t="n">
        <f aca="false">SUM(M47:M50)</f>
        <v>23.064</v>
      </c>
      <c r="N51" s="100" t="n">
        <f aca="false">SUM(N47:N50)</f>
        <v>59.652</v>
      </c>
      <c r="O51" s="100" t="n">
        <f aca="false">SUM(O47:O50)</f>
        <v>59.652</v>
      </c>
      <c r="P51" s="100" t="n">
        <f aca="false">SUM(P47:P50)</f>
        <v>54.7005</v>
      </c>
      <c r="Q51" s="100" t="n">
        <f aca="false">SUM(Q47:Q50)</f>
        <v>74.022</v>
      </c>
      <c r="R51" s="100" t="n">
        <f aca="false">SUM(R47:R50)</f>
        <v>66.897</v>
      </c>
      <c r="S51" s="100" t="n">
        <f aca="false">SUM(S47:S50)</f>
        <v>40.7235</v>
      </c>
    </row>
    <row r="53" customFormat="false" ht="15" hidden="false" customHeight="false" outlineLevel="0" collapsed="false">
      <c r="A53" s="51" t="s">
        <v>1062</v>
      </c>
      <c r="B53" s="3" t="s">
        <v>10</v>
      </c>
      <c r="C53" s="99" t="n">
        <f aca="false">SUM(E53:G53)</f>
        <v>8.0715</v>
      </c>
      <c r="D53" s="99" t="n">
        <f aca="false">SUM(H53:S53)</f>
        <v>169.340735</v>
      </c>
      <c r="E53" s="8" t="n">
        <f aca="false">Volume!E42*Inputs!$C$143/3+Volume!E39*Inputs!$C$145*Inputs!$C$147</f>
        <v>0</v>
      </c>
      <c r="F53" s="8" t="n">
        <f aca="false">Volume!F42*Inputs!$C$143/3+Volume!F39*Inputs!$C$145*Inputs!$C$147</f>
        <v>4.07575</v>
      </c>
      <c r="G53" s="8" t="n">
        <f aca="false">Volume!G42*Inputs!$C$143/3+Volume!G39*Inputs!$C$145*Inputs!$C$147</f>
        <v>3.99575</v>
      </c>
      <c r="H53" s="8" t="n">
        <f aca="false">Volume!H42*Inputs!$C$143/3+Volume!H39*Inputs!$C$145*Inputs!$C$147</f>
        <v>3.99575</v>
      </c>
      <c r="I53" s="8" t="n">
        <f aca="false">Volume!I42*Inputs!$C$143/3+Volume!I39*Inputs!$C$145*Inputs!$C$147</f>
        <v>6.393285</v>
      </c>
      <c r="J53" s="8" t="n">
        <f aca="false">Volume!J42*Inputs!$C$143/3+Volume!J39*Inputs!$C$145*Inputs!$C$147</f>
        <v>10.389035</v>
      </c>
      <c r="K53" s="8" t="n">
        <f aca="false">Volume!K42*Inputs!$C$143/3+Volume!K39*Inputs!$C$145*Inputs!$C$147</f>
        <v>14.384785</v>
      </c>
      <c r="L53" s="8" t="n">
        <f aca="false">Volume!L42*Inputs!$C$143/3+Volume!L39*Inputs!$C$145*Inputs!$C$147</f>
        <v>14.384785</v>
      </c>
      <c r="M53" s="8" t="n">
        <f aca="false">Volume!M42*Inputs!$C$143/3+Volume!M39*Inputs!$C$145*Inputs!$C$147</f>
        <v>12.62657</v>
      </c>
      <c r="N53" s="8" t="n">
        <f aca="false">Volume!N42*Inputs!$C$143/3+Volume!N39*Inputs!$C$145*Inputs!$C$147</f>
        <v>15.024105</v>
      </c>
      <c r="O53" s="8" t="n">
        <f aca="false">Volume!O42*Inputs!$C$143/3+Volume!O39*Inputs!$C$145*Inputs!$C$147</f>
        <v>15.024105</v>
      </c>
      <c r="P53" s="8" t="n">
        <f aca="false">Volume!P42*Inputs!$C$143/3+Volume!P39*Inputs!$C$145*Inputs!$C$147</f>
        <v>16.70232</v>
      </c>
      <c r="Q53" s="8" t="n">
        <f aca="false">Volume!Q42*Inputs!$C$143/3+Volume!Q39*Inputs!$C$145*Inputs!$C$147</f>
        <v>20.77807</v>
      </c>
      <c r="R53" s="8" t="n">
        <f aca="false">Volume!R42*Inputs!$C$143/3+Volume!R39*Inputs!$C$145*Inputs!$C$147</f>
        <v>20.69807</v>
      </c>
      <c r="S53" s="8" t="n">
        <f aca="false">Volume!S42*Inputs!$C$143/3+Volume!S39*Inputs!$C$145*Inputs!$C$147</f>
        <v>18.939855</v>
      </c>
    </row>
    <row r="54" customFormat="false" ht="15" hidden="false" customHeight="false" outlineLevel="0" collapsed="false">
      <c r="A54" s="51" t="s">
        <v>1063</v>
      </c>
      <c r="B54" s="3" t="s">
        <v>10</v>
      </c>
      <c r="C54" s="99" t="n">
        <f aca="false">SUM(E54:G54)</f>
        <v>0</v>
      </c>
      <c r="D54" s="99" t="n">
        <f aca="false">SUM(H54:S54)</f>
        <v>23.0625</v>
      </c>
      <c r="E54" s="8" t="n">
        <f aca="false">(Volume!E44+Volume!E45)*IF(Volume!E11=1,Unit_Economics!$F$5,Unit_Economics!$O$5)</f>
        <v>0</v>
      </c>
      <c r="F54" s="8" t="n">
        <f aca="false">(Volume!F44+Volume!F45)*IF(Volume!F11=1,Unit_Economics!$F$5,Unit_Economics!$O$5)</f>
        <v>0</v>
      </c>
      <c r="G54" s="8" t="n">
        <f aca="false">(Volume!G44+Volume!G45)*IF(Volume!G11=1,Unit_Economics!$F$5,Unit_Economics!$O$5)</f>
        <v>0</v>
      </c>
      <c r="H54" s="8" t="n">
        <f aca="false">(Volume!H44+Volume!H45)*IF(Volume!H11=1,Unit_Economics!$F$5,Unit_Economics!$O$5)</f>
        <v>0</v>
      </c>
      <c r="I54" s="8" t="n">
        <f aca="false">(Volume!I44+Volume!I45)*IF(Volume!I11=1,Unit_Economics!$F$5,Unit_Economics!$O$5)</f>
        <v>0</v>
      </c>
      <c r="J54" s="8" t="n">
        <f aca="false">(Volume!J44+Volume!J45)*IF(Volume!J11=1,Unit_Economics!$F$5,Unit_Economics!$O$5)</f>
        <v>0</v>
      </c>
      <c r="K54" s="8" t="n">
        <f aca="false">(Volume!K44+Volume!K45)*IF(Volume!K11=1,Unit_Economics!$F$5,Unit_Economics!$O$5)</f>
        <v>0</v>
      </c>
      <c r="L54" s="8" t="n">
        <f aca="false">(Volume!L44+Volume!L45)*IF(Volume!L11=1,Unit_Economics!$F$5,Unit_Economics!$O$5)</f>
        <v>5.125</v>
      </c>
      <c r="M54" s="8" t="n">
        <f aca="false">(Volume!M44+Volume!M45)*IF(Volume!M11=1,Unit_Economics!$F$5,Unit_Economics!$O$5)</f>
        <v>2.5625</v>
      </c>
      <c r="N54" s="8" t="n">
        <f aca="false">(Volume!N44+Volume!N45)*IF(Volume!N11=1,Unit_Economics!$F$5,Unit_Economics!$O$5)</f>
        <v>2.5625</v>
      </c>
      <c r="O54" s="8" t="n">
        <f aca="false">(Volume!O44+Volume!O45)*IF(Volume!O11=1,Unit_Economics!$F$5,Unit_Economics!$O$5)</f>
        <v>2.5625</v>
      </c>
      <c r="P54" s="8" t="n">
        <f aca="false">(Volume!P44+Volume!P45)*IF(Volume!P11=1,Unit_Economics!$F$5,Unit_Economics!$O$5)</f>
        <v>0</v>
      </c>
      <c r="Q54" s="8" t="n">
        <f aca="false">(Volume!Q44+Volume!Q45)*IF(Volume!Q11=1,Unit_Economics!$F$5,Unit_Economics!$O$5)</f>
        <v>5.125</v>
      </c>
      <c r="R54" s="8" t="n">
        <f aca="false">(Volume!R44+Volume!R45)*IF(Volume!R11=1,Unit_Economics!$F$5,Unit_Economics!$O$5)</f>
        <v>2.5625</v>
      </c>
      <c r="S54" s="8" t="n">
        <f aca="false">(Volume!S44+Volume!S45)*IF(Volume!S11=1,Unit_Economics!$F$5,Unit_Economics!$O$5)</f>
        <v>2.5625</v>
      </c>
    </row>
    <row r="55" customFormat="false" ht="15" hidden="false" customHeight="false" outlineLevel="0" collapsed="false">
      <c r="A55" s="51" t="s">
        <v>1064</v>
      </c>
      <c r="B55" s="3" t="s">
        <v>10</v>
      </c>
      <c r="C55" s="99" t="n">
        <f aca="false">SUM(E55:G55)</f>
        <v>0</v>
      </c>
      <c r="D55" s="99" t="n">
        <f aca="false">SUM(H55:S55)</f>
        <v>20.91</v>
      </c>
      <c r="E55" s="8" t="n">
        <f aca="false">Volume!E46*IF(Volume!E11=1,Unit_Economics!$F$5,Unit_Economics!$O$5)</f>
        <v>0</v>
      </c>
      <c r="F55" s="8" t="n">
        <f aca="false">Volume!F46*IF(Volume!F11=1,Unit_Economics!$F$5,Unit_Economics!$O$5)</f>
        <v>0</v>
      </c>
      <c r="G55" s="8" t="n">
        <f aca="false">Volume!G46*IF(Volume!G11=1,Unit_Economics!$F$5,Unit_Economics!$O$5)</f>
        <v>0</v>
      </c>
      <c r="H55" s="8" t="n">
        <f aca="false">Volume!H46*IF(Volume!H11=1,Unit_Economics!$F$5,Unit_Economics!$O$5)</f>
        <v>0</v>
      </c>
      <c r="I55" s="8" t="n">
        <f aca="false">Volume!I46*IF(Volume!I11=1,Unit_Economics!$F$5,Unit_Economics!$O$5)</f>
        <v>0</v>
      </c>
      <c r="J55" s="8" t="n">
        <f aca="false">Volume!J46*IF(Volume!J11=1,Unit_Economics!$F$5,Unit_Economics!$O$5)</f>
        <v>0</v>
      </c>
      <c r="K55" s="8" t="n">
        <f aca="false">Volume!K46*IF(Volume!K11=1,Unit_Economics!$F$5,Unit_Economics!$O$5)</f>
        <v>0</v>
      </c>
      <c r="L55" s="8" t="n">
        <f aca="false">Volume!L46*IF(Volume!L11=1,Unit_Economics!$F$5,Unit_Economics!$O$5)</f>
        <v>0</v>
      </c>
      <c r="M55" s="8" t="n">
        <f aca="false">Volume!M46*IF(Volume!M11=1,Unit_Economics!$F$5,Unit_Economics!$O$5)</f>
        <v>0</v>
      </c>
      <c r="N55" s="8" t="n">
        <f aca="false">Volume!N46*IF(Volume!N11=1,Unit_Economics!$F$5,Unit_Economics!$O$5)</f>
        <v>3.485</v>
      </c>
      <c r="O55" s="8" t="n">
        <f aca="false">Volume!O46*IF(Volume!O11=1,Unit_Economics!$F$5,Unit_Economics!$O$5)</f>
        <v>3.485</v>
      </c>
      <c r="P55" s="8" t="n">
        <f aca="false">Volume!P46*IF(Volume!P11=1,Unit_Economics!$F$5,Unit_Economics!$O$5)</f>
        <v>3.485</v>
      </c>
      <c r="Q55" s="8" t="n">
        <f aca="false">Volume!Q46*IF(Volume!Q11=1,Unit_Economics!$F$5,Unit_Economics!$O$5)</f>
        <v>3.485</v>
      </c>
      <c r="R55" s="8" t="n">
        <f aca="false">Volume!R46*IF(Volume!R11=1,Unit_Economics!$F$5,Unit_Economics!$O$5)</f>
        <v>3.485</v>
      </c>
      <c r="S55" s="8" t="n">
        <f aca="false">Volume!S46*IF(Volume!S11=1,Unit_Economics!$F$5,Unit_Economics!$O$5)</f>
        <v>3.485</v>
      </c>
    </row>
    <row r="56" customFormat="false" ht="15" hidden="false" customHeight="false" outlineLevel="0" collapsed="false">
      <c r="A56" s="51" t="s">
        <v>1065</v>
      </c>
      <c r="B56" s="3" t="s">
        <v>10</v>
      </c>
      <c r="C56" s="99" t="n">
        <f aca="false">SUM(E56:G56)</f>
        <v>0</v>
      </c>
      <c r="D56" s="99" t="n">
        <f aca="false">SUM(H56:S56)</f>
        <v>88.8</v>
      </c>
      <c r="E56" s="8" t="n">
        <f aca="false">Volume!E48*(Inputs!$C$156+Inputs!$C$157*(Inputs!$C$155-Inputs!$C$156))</f>
        <v>0</v>
      </c>
      <c r="F56" s="8" t="n">
        <f aca="false">Volume!F48*(Inputs!$C$156+Inputs!$C$157*(Inputs!$C$155-Inputs!$C$156))</f>
        <v>0</v>
      </c>
      <c r="G56" s="8" t="n">
        <f aca="false">Volume!G48*(Inputs!$C$156+Inputs!$C$157*(Inputs!$C$155-Inputs!$C$156))</f>
        <v>0</v>
      </c>
      <c r="H56" s="8" t="n">
        <f aca="false">Volume!H48*(Inputs!$C$156+Inputs!$C$157*(Inputs!$C$155-Inputs!$C$156))</f>
        <v>0</v>
      </c>
      <c r="I56" s="8" t="n">
        <f aca="false">Volume!I48*(Inputs!$C$156+Inputs!$C$157*(Inputs!$C$155-Inputs!$C$156))</f>
        <v>14.8</v>
      </c>
      <c r="J56" s="8" t="n">
        <f aca="false">Volume!J48*(Inputs!$C$156+Inputs!$C$157*(Inputs!$C$155-Inputs!$C$156))</f>
        <v>0</v>
      </c>
      <c r="K56" s="8" t="n">
        <f aca="false">Volume!K48*(Inputs!$C$156+Inputs!$C$157*(Inputs!$C$155-Inputs!$C$156))</f>
        <v>0</v>
      </c>
      <c r="L56" s="8" t="n">
        <f aca="false">Volume!L48*(Inputs!$C$156+Inputs!$C$157*(Inputs!$C$155-Inputs!$C$156))</f>
        <v>0</v>
      </c>
      <c r="M56" s="8" t="n">
        <f aca="false">Volume!M48*(Inputs!$C$156+Inputs!$C$157*(Inputs!$C$155-Inputs!$C$156))</f>
        <v>0</v>
      </c>
      <c r="N56" s="8" t="n">
        <f aca="false">Volume!N48*(Inputs!$C$156+Inputs!$C$157*(Inputs!$C$155-Inputs!$C$156))</f>
        <v>14.8</v>
      </c>
      <c r="O56" s="8" t="n">
        <f aca="false">Volume!O48*(Inputs!$C$156+Inputs!$C$157*(Inputs!$C$155-Inputs!$C$156))</f>
        <v>14.8</v>
      </c>
      <c r="P56" s="8" t="n">
        <f aca="false">Volume!P48*(Inputs!$C$156+Inputs!$C$157*(Inputs!$C$155-Inputs!$C$156))</f>
        <v>14.8</v>
      </c>
      <c r="Q56" s="8" t="n">
        <f aca="false">Volume!Q48*(Inputs!$C$156+Inputs!$C$157*(Inputs!$C$155-Inputs!$C$156))</f>
        <v>14.8</v>
      </c>
      <c r="R56" s="8" t="n">
        <f aca="false">Volume!R48*(Inputs!$C$156+Inputs!$C$157*(Inputs!$C$155-Inputs!$C$156))</f>
        <v>14.8</v>
      </c>
      <c r="S56" s="8" t="n">
        <f aca="false">Volume!S48*(Inputs!$C$156+Inputs!$C$157*(Inputs!$C$155-Inputs!$C$156))</f>
        <v>0</v>
      </c>
    </row>
    <row r="57" customFormat="false" ht="15" hidden="false" customHeight="false" outlineLevel="0" collapsed="false">
      <c r="A57" s="11" t="s">
        <v>1066</v>
      </c>
      <c r="B57" s="3" t="s">
        <v>10</v>
      </c>
      <c r="C57" s="99" t="n">
        <f aca="false">SUM(E57:G57)</f>
        <v>8.0715</v>
      </c>
      <c r="D57" s="99" t="n">
        <f aca="false">SUM(H57:S57)</f>
        <v>302.113235</v>
      </c>
      <c r="E57" s="100" t="n">
        <f aca="false">SUM(E53:E56)</f>
        <v>0</v>
      </c>
      <c r="F57" s="100" t="n">
        <f aca="false">SUM(F53:F56)</f>
        <v>4.07575</v>
      </c>
      <c r="G57" s="100" t="n">
        <f aca="false">SUM(G53:G56)</f>
        <v>3.99575</v>
      </c>
      <c r="H57" s="100" t="n">
        <f aca="false">SUM(H53:H56)</f>
        <v>3.99575</v>
      </c>
      <c r="I57" s="100" t="n">
        <f aca="false">SUM(I53:I56)</f>
        <v>21.193285</v>
      </c>
      <c r="J57" s="100" t="n">
        <f aca="false">SUM(J53:J56)</f>
        <v>10.389035</v>
      </c>
      <c r="K57" s="100" t="n">
        <f aca="false">SUM(K53:K56)</f>
        <v>14.384785</v>
      </c>
      <c r="L57" s="100" t="n">
        <f aca="false">SUM(L53:L56)</f>
        <v>19.509785</v>
      </c>
      <c r="M57" s="100" t="n">
        <f aca="false">SUM(M53:M56)</f>
        <v>15.18907</v>
      </c>
      <c r="N57" s="100" t="n">
        <f aca="false">SUM(N53:N56)</f>
        <v>35.871605</v>
      </c>
      <c r="O57" s="100" t="n">
        <f aca="false">SUM(O53:O56)</f>
        <v>35.871605</v>
      </c>
      <c r="P57" s="100" t="n">
        <f aca="false">SUM(P53:P56)</f>
        <v>34.98732</v>
      </c>
      <c r="Q57" s="100" t="n">
        <f aca="false">SUM(Q53:Q56)</f>
        <v>44.18807</v>
      </c>
      <c r="R57" s="100" t="n">
        <f aca="false">SUM(R53:R56)</f>
        <v>41.54557</v>
      </c>
      <c r="S57" s="100" t="n">
        <f aca="false">SUM(S53:S56)</f>
        <v>24.987355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6796875" defaultRowHeight="15" zeroHeight="false" outlineLevelRow="0" outlineLevelCol="0"/>
  <cols>
    <col collapsed="false" customWidth="true" hidden="false" outlineLevel="0" max="1" min="1" style="0" width="52"/>
    <col collapsed="false" customWidth="true" hidden="false" outlineLevel="0" max="2" min="2" style="0" width="14"/>
    <col collapsed="false" customWidth="true" hidden="false" outlineLevel="0" max="19" min="3" style="0" width="10.51"/>
  </cols>
  <sheetData>
    <row r="1" customFormat="false" ht="17.25" hidden="false" customHeight="true" outlineLevel="0" collapsed="false">
      <c r="A1" s="1" t="s">
        <v>1067</v>
      </c>
      <c r="B1" s="2"/>
      <c r="C1" s="2"/>
      <c r="D1" s="2"/>
      <c r="E1" s="2"/>
      <c r="F1" s="2"/>
      <c r="G1" s="2"/>
      <c r="H1" s="2"/>
      <c r="I1" s="2"/>
      <c r="J1" s="2"/>
      <c r="K1" s="2"/>
      <c r="L1" s="2"/>
      <c r="M1" s="2"/>
      <c r="N1" s="2"/>
      <c r="O1" s="2"/>
      <c r="P1" s="2"/>
      <c r="Q1" s="2"/>
      <c r="R1" s="2"/>
      <c r="S1" s="2"/>
    </row>
    <row r="2" customFormat="false" ht="15" hidden="false" customHeight="true" outlineLevel="0" collapsed="false">
      <c r="A2" s="3" t="s">
        <v>824</v>
      </c>
      <c r="B2" s="2"/>
      <c r="C2" s="2"/>
      <c r="D2" s="2"/>
      <c r="E2" s="2"/>
      <c r="F2" s="2"/>
      <c r="G2" s="2"/>
      <c r="H2" s="2"/>
      <c r="I2" s="2"/>
      <c r="J2" s="2"/>
      <c r="K2" s="2"/>
      <c r="L2" s="2"/>
      <c r="M2" s="2"/>
      <c r="N2" s="2"/>
      <c r="O2" s="2"/>
      <c r="P2" s="2"/>
      <c r="Q2" s="2"/>
      <c r="R2" s="2"/>
      <c r="S2" s="2"/>
    </row>
    <row r="3" customFormat="false" ht="15" hidden="false" customHeight="true" outlineLevel="0" collapsed="false">
      <c r="A3" s="2"/>
      <c r="B3" s="2"/>
      <c r="C3" s="2"/>
      <c r="D3" s="2"/>
      <c r="E3" s="2"/>
      <c r="F3" s="2"/>
      <c r="G3" s="2"/>
      <c r="H3" s="2"/>
      <c r="I3" s="2"/>
      <c r="J3" s="2"/>
      <c r="K3" s="2"/>
      <c r="L3" s="2"/>
      <c r="M3" s="2"/>
      <c r="N3" s="2"/>
      <c r="O3" s="2"/>
      <c r="P3" s="2"/>
      <c r="Q3" s="2"/>
      <c r="R3" s="2"/>
      <c r="S3" s="2"/>
    </row>
    <row r="4" customFormat="false" ht="15" hidden="false" customHeight="true" outlineLevel="0" collapsed="false">
      <c r="A4" s="35" t="s">
        <v>176</v>
      </c>
      <c r="B4" s="35" t="s">
        <v>6</v>
      </c>
      <c r="C4" s="35" t="s">
        <v>177</v>
      </c>
      <c r="D4" s="35" t="s">
        <v>178</v>
      </c>
      <c r="E4" s="35" t="s">
        <v>735</v>
      </c>
      <c r="F4" s="35" t="s">
        <v>825</v>
      </c>
      <c r="G4" s="35" t="s">
        <v>826</v>
      </c>
      <c r="H4" s="35" t="s">
        <v>67</v>
      </c>
      <c r="I4" s="35" t="s">
        <v>66</v>
      </c>
      <c r="J4" s="35" t="s">
        <v>624</v>
      </c>
      <c r="K4" s="35" t="s">
        <v>68</v>
      </c>
      <c r="L4" s="35" t="s">
        <v>827</v>
      </c>
      <c r="M4" s="35" t="s">
        <v>828</v>
      </c>
      <c r="N4" s="35" t="s">
        <v>641</v>
      </c>
      <c r="O4" s="35" t="s">
        <v>829</v>
      </c>
      <c r="P4" s="35" t="s">
        <v>830</v>
      </c>
      <c r="Q4" s="35" t="s">
        <v>651</v>
      </c>
      <c r="R4" s="35" t="s">
        <v>831</v>
      </c>
      <c r="S4" s="35" t="s">
        <v>832</v>
      </c>
    </row>
    <row r="5" customFormat="false" ht="15" hidden="false" customHeight="true" outlineLevel="0" collapsed="false">
      <c r="A5" s="6" t="s">
        <v>93</v>
      </c>
      <c r="B5" s="7"/>
      <c r="C5" s="7"/>
      <c r="D5" s="7"/>
      <c r="E5" s="7"/>
      <c r="F5" s="7"/>
      <c r="G5" s="7"/>
      <c r="H5" s="7"/>
      <c r="I5" s="7"/>
      <c r="J5" s="7"/>
      <c r="K5" s="7"/>
      <c r="L5" s="7"/>
      <c r="M5" s="7"/>
      <c r="N5" s="7"/>
      <c r="O5" s="7"/>
      <c r="P5" s="7"/>
      <c r="Q5" s="7"/>
      <c r="R5" s="7"/>
      <c r="S5" s="7"/>
    </row>
    <row r="6" customFormat="false" ht="15" hidden="false" customHeight="true" outlineLevel="0" collapsed="false">
      <c r="A6" s="51" t="s">
        <v>1068</v>
      </c>
      <c r="B6" s="3" t="s">
        <v>10</v>
      </c>
      <c r="C6" s="99" t="n">
        <f aca="false">SUM(E6:G6)</f>
        <v>9.41401096779305</v>
      </c>
      <c r="D6" s="99" t="n">
        <f aca="false">SUM(H6:S6)</f>
        <v>159.286569034263</v>
      </c>
      <c r="E6" s="8" t="n">
        <f aca="false">PnL!E10+PnL!E11</f>
        <v>5.428616980779</v>
      </c>
      <c r="F6" s="8" t="n">
        <f aca="false">PnL!F10+PnL!F11</f>
        <v>1.96060479058906</v>
      </c>
      <c r="G6" s="8" t="n">
        <f aca="false">PnL!G10+PnL!G11</f>
        <v>2.024789196425</v>
      </c>
      <c r="H6" s="8" t="n">
        <f aca="false">PnL!H10+PnL!H11</f>
        <v>2.73738946403037</v>
      </c>
      <c r="I6" s="8" t="n">
        <f aca="false">PnL!I10+PnL!I11</f>
        <v>9.86073647830248</v>
      </c>
      <c r="J6" s="8" t="n">
        <f aca="false">PnL!J10+PnL!J11</f>
        <v>4.0491244184375</v>
      </c>
      <c r="K6" s="8" t="n">
        <f aca="false">PnL!K10+PnL!K11</f>
        <v>8.5549431233356</v>
      </c>
      <c r="L6" s="8" t="n">
        <f aca="false">PnL!L10+PnL!L11</f>
        <v>8.88903386927637</v>
      </c>
      <c r="M6" s="8" t="n">
        <f aca="false">PnL!M10+PnL!M11</f>
        <v>8.99359409180556</v>
      </c>
      <c r="N6" s="8" t="n">
        <f aca="false">PnL!N10+PnL!N11</f>
        <v>15.4025948740243</v>
      </c>
      <c r="O6" s="8" t="n">
        <f aca="false">PnL!O10+PnL!O11</f>
        <v>15.9992138969206</v>
      </c>
      <c r="P6" s="8" t="n">
        <f aca="false">PnL!P10+PnL!P11</f>
        <v>16.9051876713788</v>
      </c>
      <c r="Q6" s="8" t="n">
        <f aca="false">PnL!Q10+PnL!Q11</f>
        <v>22.8241708473759</v>
      </c>
      <c r="R6" s="8" t="n">
        <f aca="false">PnL!R10+PnL!R11</f>
        <v>23.5200356973337</v>
      </c>
      <c r="S6" s="8" t="n">
        <f aca="false">PnL!S10+PnL!S11</f>
        <v>21.5505446020416</v>
      </c>
    </row>
    <row r="7" customFormat="false" ht="15" hidden="false" customHeight="true" outlineLevel="0" collapsed="false">
      <c r="A7" s="51" t="s">
        <v>1069</v>
      </c>
      <c r="B7" s="3" t="s">
        <v>10</v>
      </c>
      <c r="C7" s="99" t="n">
        <f aca="false">SUM(E7:G7)</f>
        <v>0</v>
      </c>
      <c r="D7" s="99" t="n">
        <f aca="false">SUM(H7:S7)</f>
        <v>490</v>
      </c>
      <c r="E7" s="8" t="n">
        <f aca="false">PnL!E6*(Inputs!$C$73-Inputs!$C$117)+PnL!F6*Inputs!$C$117</f>
        <v>0</v>
      </c>
      <c r="F7" s="8" t="n">
        <f aca="false">PnL!F6*(Inputs!$C$73-Inputs!$C$117)+PnL!G6*Inputs!$C$117+PnL!E6*Inputs!$C$74</f>
        <v>0</v>
      </c>
      <c r="G7" s="8" t="n">
        <f aca="false">PnL!G6*(Inputs!$C$73-Inputs!$C$117)+PnL!H6*Inputs!$C$117+PnL!F6*Inputs!$C$74+PnL!E6*Inputs!$C$75</f>
        <v>0</v>
      </c>
      <c r="H7" s="8" t="n">
        <f aca="false">PnL!H6*(Inputs!$C$73-Inputs!$C$117)+PnL!I6*Inputs!$C$117+PnL!G6*Inputs!$C$74+PnL!F6*Inputs!$C$75</f>
        <v>0</v>
      </c>
      <c r="I7" s="8" t="n">
        <f aca="false">PnL!I6*(Inputs!$C$73-Inputs!$C$117)+PnL!J6*Inputs!$C$117+PnL!H6*Inputs!$C$74+PnL!G6*Inputs!$C$75</f>
        <v>0</v>
      </c>
      <c r="J7" s="8" t="n">
        <f aca="false">PnL!J6*(Inputs!$C$73-Inputs!$C$117)+PnL!K6*Inputs!$C$117+PnL!I6*Inputs!$C$74+PnL!H6*Inputs!$C$75</f>
        <v>60</v>
      </c>
      <c r="K7" s="8" t="n">
        <f aca="false">PnL!K6*(Inputs!$C$73-Inputs!$C$117)+PnL!L6*Inputs!$C$117+PnL!J6*Inputs!$C$74+PnL!I6*Inputs!$C$75</f>
        <v>30</v>
      </c>
      <c r="L7" s="8" t="n">
        <f aca="false">PnL!L6*(Inputs!$C$73-Inputs!$C$117)+PnL!M6*Inputs!$C$117+PnL!K6*Inputs!$C$74+PnL!J6*Inputs!$C$75</f>
        <v>70</v>
      </c>
      <c r="M7" s="8" t="n">
        <f aca="false">PnL!M6*(Inputs!$C$73-Inputs!$C$117)+PnL!N6*Inputs!$C$117+PnL!L6*Inputs!$C$74+PnL!K6*Inputs!$C$75</f>
        <v>30</v>
      </c>
      <c r="N7" s="8" t="n">
        <f aca="false">PnL!N6*(Inputs!$C$73-Inputs!$C$117)+PnL!O6*Inputs!$C$117+PnL!M6*Inputs!$C$74+PnL!L6*Inputs!$C$75</f>
        <v>70</v>
      </c>
      <c r="O7" s="8" t="n">
        <f aca="false">PnL!O6*(Inputs!$C$73-Inputs!$C$117)+PnL!P6*Inputs!$C$117+PnL!N6*Inputs!$C$74+PnL!M6*Inputs!$C$75</f>
        <v>30</v>
      </c>
      <c r="P7" s="8" t="n">
        <f aca="false">PnL!P6*(Inputs!$C$73-Inputs!$C$117)+PnL!Q6*Inputs!$C$117+PnL!O6*Inputs!$C$74+PnL!N6*Inputs!$C$75</f>
        <v>70</v>
      </c>
      <c r="Q7" s="8" t="n">
        <f aca="false">PnL!Q6*(Inputs!$C$73-Inputs!$C$117)+PnL!R6*Inputs!$C$117+PnL!P6*Inputs!$C$74+PnL!O6*Inputs!$C$75</f>
        <v>30</v>
      </c>
      <c r="R7" s="8" t="n">
        <f aca="false">PnL!R6*(Inputs!$C$73-Inputs!$C$117)+PnL!S6*Inputs!$C$117+PnL!Q6*Inputs!$C$74+PnL!P6*Inputs!$C$75</f>
        <v>70</v>
      </c>
      <c r="S7" s="8" t="n">
        <f aca="false">PnL!S6*(Inputs!$C$73-Inputs!$C$117)+PnL!T6*Inputs!$C$117+PnL!R6*Inputs!$C$74+PnL!Q6*Inputs!$C$75</f>
        <v>30</v>
      </c>
    </row>
    <row r="8" customFormat="false" ht="15" hidden="false" customHeight="true" outlineLevel="0" collapsed="false">
      <c r="A8" s="51" t="s">
        <v>1070</v>
      </c>
      <c r="B8" s="3" t="s">
        <v>10</v>
      </c>
      <c r="C8" s="99" t="n">
        <f aca="false">SUM(E8:G8)</f>
        <v>0</v>
      </c>
      <c r="D8" s="99" t="n">
        <f aca="false">SUM(H8:S8)</f>
        <v>456</v>
      </c>
      <c r="E8" s="8" t="n">
        <f aca="false">PnL!E7*Inputs!$C$76</f>
        <v>0</v>
      </c>
      <c r="F8" s="8" t="n">
        <f aca="false">PnL!F7*Inputs!$C$76+PnL!E7*(1-Inputs!$C$76)</f>
        <v>0</v>
      </c>
      <c r="G8" s="8" t="n">
        <f aca="false">PnL!G7*Inputs!$C$76+PnL!F7*(1-Inputs!$C$76)</f>
        <v>0</v>
      </c>
      <c r="H8" s="8" t="n">
        <f aca="false">PnL!H7*Inputs!$C$76+PnL!G7*(1-Inputs!$C$76)</f>
        <v>0</v>
      </c>
      <c r="I8" s="8" t="n">
        <f aca="false">PnL!I7*Inputs!$C$76+PnL!H7*(1-Inputs!$C$76)</f>
        <v>0</v>
      </c>
      <c r="J8" s="8" t="n">
        <f aca="false">PnL!J7*Inputs!$C$76+PnL!I7*(1-Inputs!$C$76)</f>
        <v>22.8</v>
      </c>
      <c r="K8" s="8" t="n">
        <f aca="false">PnL!K7*Inputs!$C$76+PnL!J7*(1-Inputs!$C$76)</f>
        <v>5.7</v>
      </c>
      <c r="L8" s="8" t="n">
        <f aca="false">PnL!L7*Inputs!$C$76+PnL!K7*(1-Inputs!$C$76)</f>
        <v>22.8</v>
      </c>
      <c r="M8" s="8" t="n">
        <f aca="false">PnL!M7*Inputs!$C$76+PnL!L7*(1-Inputs!$C$76)</f>
        <v>28.5</v>
      </c>
      <c r="N8" s="8" t="n">
        <f aca="false">PnL!N7*Inputs!$C$76+PnL!M7*(1-Inputs!$C$76)</f>
        <v>28.5</v>
      </c>
      <c r="O8" s="8" t="n">
        <f aca="false">PnL!O7*Inputs!$C$76+PnL!N7*(1-Inputs!$C$76)</f>
        <v>28.5</v>
      </c>
      <c r="P8" s="8" t="n">
        <f aca="false">PnL!P7*Inputs!$C$76+PnL!O7*(1-Inputs!$C$76)</f>
        <v>51.3</v>
      </c>
      <c r="Q8" s="8" t="n">
        <f aca="false">PnL!Q7*Inputs!$C$76+PnL!P7*(1-Inputs!$C$76)</f>
        <v>57</v>
      </c>
      <c r="R8" s="8" t="n">
        <f aca="false">PnL!R7*Inputs!$C$76+PnL!Q7*(1-Inputs!$C$76)</f>
        <v>79.8</v>
      </c>
      <c r="S8" s="8" t="n">
        <f aca="false">PnL!S7*Inputs!$C$76+PnL!R7*(1-Inputs!$C$76)</f>
        <v>131.1</v>
      </c>
    </row>
    <row r="9" customFormat="false" ht="15" hidden="false" customHeight="true" outlineLevel="0" collapsed="false">
      <c r="A9" s="51" t="s">
        <v>1071</v>
      </c>
      <c r="B9" s="3" t="s">
        <v>10</v>
      </c>
      <c r="C9" s="99" t="n">
        <f aca="false">SUM(E9:G9)</f>
        <v>0</v>
      </c>
      <c r="D9" s="99" t="n">
        <f aca="false">SUM(H9:S9)</f>
        <v>299.6</v>
      </c>
      <c r="E9" s="8" t="n">
        <f aca="false">PnL!E8*Inputs!$C$77</f>
        <v>0</v>
      </c>
      <c r="F9" s="8" t="n">
        <f aca="false">PnL!F8*Inputs!$C$77+PnL!E8*Inputs!$C$78</f>
        <v>0</v>
      </c>
      <c r="G9" s="8" t="n">
        <f aca="false">PnL!G8*Inputs!$C$77+PnL!F8*Inputs!$C$78+PnL!E8*Inputs!$C$79</f>
        <v>0</v>
      </c>
      <c r="H9" s="8" t="n">
        <f aca="false">PnL!H8*Inputs!$C$77+PnL!G8*Inputs!$C$78+PnL!F8*Inputs!$C$79</f>
        <v>0</v>
      </c>
      <c r="I9" s="8" t="n">
        <f aca="false">PnL!I8*Inputs!$C$77+PnL!H8*Inputs!$C$78+PnL!G8*Inputs!$C$79</f>
        <v>0</v>
      </c>
      <c r="J9" s="8" t="n">
        <f aca="false">PnL!J8*Inputs!$C$77+PnL!I8*Inputs!$C$78+PnL!H8*Inputs!$C$79</f>
        <v>0</v>
      </c>
      <c r="K9" s="8" t="n">
        <f aca="false">PnL!K8*Inputs!$C$77+PnL!J8*Inputs!$C$78+PnL!I8*Inputs!$C$79</f>
        <v>10.7</v>
      </c>
      <c r="L9" s="8" t="n">
        <f aca="false">PnL!L8*Inputs!$C$77+PnL!K8*Inputs!$C$78+PnL!J8*Inputs!$C$79</f>
        <v>26.75</v>
      </c>
      <c r="M9" s="8" t="n">
        <f aca="false">PnL!M8*Inputs!$C$77+PnL!L8*Inputs!$C$78+PnL!K8*Inputs!$C$79</f>
        <v>16.05</v>
      </c>
      <c r="N9" s="8" t="n">
        <f aca="false">PnL!N8*Inputs!$C$77+PnL!M8*Inputs!$C$78+PnL!L8*Inputs!$C$79</f>
        <v>10.7</v>
      </c>
      <c r="O9" s="8" t="n">
        <f aca="false">PnL!O8*Inputs!$C$77+PnL!N8*Inputs!$C$78+PnL!M8*Inputs!$C$79</f>
        <v>26.75</v>
      </c>
      <c r="P9" s="8" t="n">
        <f aca="false">PnL!P8*Inputs!$C$77+PnL!O8*Inputs!$C$78+PnL!N8*Inputs!$C$79</f>
        <v>16.05</v>
      </c>
      <c r="Q9" s="8" t="n">
        <f aca="false">PnL!Q8*Inputs!$C$77+PnL!P8*Inputs!$C$78+PnL!O8*Inputs!$C$79</f>
        <v>21.4</v>
      </c>
      <c r="R9" s="8" t="n">
        <f aca="false">PnL!R8*Inputs!$C$77+PnL!Q8*Inputs!$C$78+PnL!P8*Inputs!$C$79</f>
        <v>74.9</v>
      </c>
      <c r="S9" s="8" t="n">
        <f aca="false">PnL!S8*Inputs!$C$77+PnL!R8*Inputs!$C$78+PnL!Q8*Inputs!$C$79</f>
        <v>96.3</v>
      </c>
    </row>
    <row r="10" customFormat="false" ht="15" hidden="false" customHeight="true" outlineLevel="0" collapsed="false">
      <c r="A10" s="51" t="s">
        <v>1072</v>
      </c>
      <c r="B10" s="3" t="s">
        <v>10</v>
      </c>
      <c r="C10" s="99" t="n">
        <f aca="false">SUM(E10:G10)</f>
        <v>30</v>
      </c>
      <c r="D10" s="99" t="n">
        <f aca="false">SUM(H10:S10)</f>
        <v>405</v>
      </c>
      <c r="E10" s="8" t="n">
        <f aca="false">PnL!E9*0</f>
        <v>0</v>
      </c>
      <c r="F10" s="8" t="n">
        <f aca="false">PnL!F9*0+PnL!E9*1</f>
        <v>15</v>
      </c>
      <c r="G10" s="8" t="n">
        <f aca="false">PnL!G9*0+PnL!F9*1</f>
        <v>15</v>
      </c>
      <c r="H10" s="8" t="n">
        <f aca="false">PnL!H9*0+PnL!G9*1</f>
        <v>15</v>
      </c>
      <c r="I10" s="8" t="n">
        <f aca="false">PnL!I9*0+PnL!H9*1</f>
        <v>15</v>
      </c>
      <c r="J10" s="8" t="n">
        <f aca="false">PnL!J9*0+PnL!I9*1</f>
        <v>30</v>
      </c>
      <c r="K10" s="8" t="n">
        <f aca="false">PnL!K9*0+PnL!J9*1</f>
        <v>30</v>
      </c>
      <c r="L10" s="8" t="n">
        <f aca="false">PnL!L9*0+PnL!K9*1</f>
        <v>30</v>
      </c>
      <c r="M10" s="8" t="n">
        <f aca="false">PnL!M9*0+PnL!L9*1</f>
        <v>30</v>
      </c>
      <c r="N10" s="8" t="n">
        <f aca="false">PnL!N9*0+PnL!M9*1</f>
        <v>30</v>
      </c>
      <c r="O10" s="8" t="n">
        <f aca="false">PnL!O9*0+PnL!N9*1</f>
        <v>45</v>
      </c>
      <c r="P10" s="8" t="n">
        <f aca="false">PnL!P9*0+PnL!O9*1</f>
        <v>45</v>
      </c>
      <c r="Q10" s="8" t="n">
        <f aca="false">PnL!Q9*0+PnL!P9*1</f>
        <v>45</v>
      </c>
      <c r="R10" s="8" t="n">
        <f aca="false">PnL!R9*0+PnL!Q9*1</f>
        <v>45</v>
      </c>
      <c r="S10" s="8" t="n">
        <f aca="false">PnL!S9*0+PnL!R9*1</f>
        <v>45</v>
      </c>
    </row>
    <row r="11" customFormat="false" ht="15" hidden="false" customHeight="true" outlineLevel="0" collapsed="false">
      <c r="A11" s="11" t="s">
        <v>1073</v>
      </c>
      <c r="B11" s="3" t="s">
        <v>10</v>
      </c>
      <c r="C11" s="99" t="n">
        <f aca="false">SUM(E11:G11)</f>
        <v>47.0212609677931</v>
      </c>
      <c r="D11" s="99" t="n">
        <f aca="false">SUM(H11:S11)</f>
        <v>2285.79156903426</v>
      </c>
      <c r="E11" s="100" t="n">
        <f aca="false">SUM(E6:E10)+E35</f>
        <v>5.428616980779</v>
      </c>
      <c r="F11" s="100" t="n">
        <f aca="false">SUM(F6:F10)+F35</f>
        <v>24.5678547905891</v>
      </c>
      <c r="G11" s="100" t="n">
        <f aca="false">SUM(G6:G10)+G35</f>
        <v>17.024789196425</v>
      </c>
      <c r="H11" s="100" t="n">
        <f aca="false">SUM(H6:H10)+H35</f>
        <v>25.3446394640304</v>
      </c>
      <c r="I11" s="100" t="n">
        <f aca="false">SUM(I6:I10)+I35</f>
        <v>48.8149864783025</v>
      </c>
      <c r="J11" s="100" t="n">
        <f aca="false">SUM(J6:J10)+J35</f>
        <v>136.456374418438</v>
      </c>
      <c r="K11" s="100" t="n">
        <f aca="false">SUM(K6:K10)+K35</f>
        <v>104.516443123336</v>
      </c>
      <c r="L11" s="100" t="n">
        <f aca="false">SUM(L6:L10)+L35</f>
        <v>189.400533869276</v>
      </c>
      <c r="M11" s="100" t="n">
        <f aca="false">SUM(M6:M10)+M35</f>
        <v>134.047844091806</v>
      </c>
      <c r="N11" s="100" t="n">
        <f aca="false">SUM(N6:N10)+N35</f>
        <v>205.388094874024</v>
      </c>
      <c r="O11" s="100" t="n">
        <f aca="false">SUM(O6:O10)+O35</f>
        <v>203.365463896921</v>
      </c>
      <c r="P11" s="100" t="n">
        <f aca="false">SUM(P6:P10)+P35</f>
        <v>253.931687671379</v>
      </c>
      <c r="Q11" s="100" t="n">
        <f aca="false">SUM(Q6:Q10)+Q35</f>
        <v>252.829920847376</v>
      </c>
      <c r="R11" s="100" t="n">
        <f aca="false">SUM(R6:R10)+R35</f>
        <v>355.021535697334</v>
      </c>
      <c r="S11" s="100" t="n">
        <f aca="false">SUM(S6:S10)+S35</f>
        <v>376.674044602042</v>
      </c>
    </row>
    <row r="12" customFormat="false" ht="15" hidden="false" customHeight="true" outlineLevel="0" collapsed="false">
      <c r="A12" s="2"/>
      <c r="B12" s="2"/>
      <c r="C12" s="2"/>
      <c r="D12" s="2"/>
      <c r="E12" s="2"/>
      <c r="F12" s="2"/>
      <c r="G12" s="2"/>
      <c r="H12" s="2"/>
      <c r="I12" s="2"/>
      <c r="J12" s="2"/>
      <c r="K12" s="2"/>
      <c r="L12" s="2"/>
      <c r="M12" s="2"/>
      <c r="N12" s="2"/>
      <c r="O12" s="2"/>
      <c r="P12" s="2"/>
      <c r="Q12" s="2"/>
      <c r="R12" s="2"/>
      <c r="S12" s="2"/>
    </row>
    <row r="13" customFormat="false" ht="15" hidden="false" customHeight="true" outlineLevel="0" collapsed="false">
      <c r="A13" s="6" t="s">
        <v>94</v>
      </c>
      <c r="B13" s="7"/>
      <c r="C13" s="7"/>
      <c r="D13" s="7"/>
      <c r="E13" s="7"/>
      <c r="F13" s="7"/>
      <c r="G13" s="7"/>
      <c r="H13" s="7"/>
      <c r="I13" s="7"/>
      <c r="J13" s="7"/>
      <c r="K13" s="7"/>
      <c r="L13" s="7"/>
      <c r="M13" s="7"/>
      <c r="N13" s="7"/>
      <c r="O13" s="7"/>
      <c r="P13" s="7"/>
      <c r="Q13" s="7"/>
      <c r="R13" s="7"/>
      <c r="S13" s="7"/>
    </row>
    <row r="14" customFormat="false" ht="15" hidden="false" customHeight="true" outlineLevel="0" collapsed="false">
      <c r="A14" s="51" t="s">
        <v>1074</v>
      </c>
      <c r="B14" s="3" t="s">
        <v>10</v>
      </c>
      <c r="C14" s="99" t="n">
        <f aca="false">SUM(E14:G14)</f>
        <v>29.62567106014</v>
      </c>
      <c r="D14" s="99" t="n">
        <f aca="false">SUM(H14:S14)</f>
        <v>980.840823667693</v>
      </c>
      <c r="E14" s="8" t="n">
        <f aca="false">PnL!E21</f>
        <v>8.66217928981214</v>
      </c>
      <c r="F14" s="8" t="n">
        <f aca="false">PnL!F21</f>
        <v>10.4984582536191</v>
      </c>
      <c r="G14" s="8" t="n">
        <f aca="false">PnL!G21</f>
        <v>10.4650335167087</v>
      </c>
      <c r="H14" s="8" t="n">
        <f aca="false">PnL!H21</f>
        <v>10.9821302243776</v>
      </c>
      <c r="I14" s="8" t="n">
        <f aca="false">PnL!I21</f>
        <v>38.0716213758399</v>
      </c>
      <c r="J14" s="8" t="n">
        <f aca="false">PnL!J21</f>
        <v>61.5772726079531</v>
      </c>
      <c r="K14" s="8" t="n">
        <f aca="false">PnL!K21</f>
        <v>45.5926593504218</v>
      </c>
      <c r="L14" s="8" t="n">
        <f aca="false">PnL!L21</f>
        <v>74.2100915142057</v>
      </c>
      <c r="M14" s="8" t="n">
        <f aca="false">PnL!M21</f>
        <v>41.9652503936875</v>
      </c>
      <c r="N14" s="8" t="n">
        <f aca="false">PnL!N21</f>
        <v>115.298461732989</v>
      </c>
      <c r="O14" s="8" t="n">
        <f aca="false">PnL!O21</f>
        <v>72.7313969233015</v>
      </c>
      <c r="P14" s="8" t="n">
        <f aca="false">PnL!P21</f>
        <v>110.754529661272</v>
      </c>
      <c r="Q14" s="8" t="n">
        <f aca="false">PnL!Q21</f>
        <v>125.973292026971</v>
      </c>
      <c r="R14" s="8" t="n">
        <f aca="false">PnL!R21</f>
        <v>162.085744718197</v>
      </c>
      <c r="S14" s="8" t="n">
        <f aca="false">PnL!S21</f>
        <v>121.598373138476</v>
      </c>
    </row>
    <row r="15" customFormat="false" ht="15" hidden="false" customHeight="true" outlineLevel="0" collapsed="false">
      <c r="A15" s="51" t="s">
        <v>1075</v>
      </c>
      <c r="B15" s="3" t="s">
        <v>10</v>
      </c>
      <c r="C15" s="99" t="n">
        <f aca="false">SUM(E15:G15)</f>
        <v>96.6363902683354</v>
      </c>
      <c r="D15" s="99" t="n">
        <f aca="false">SUM(H15:S15)</f>
        <v>882.925775566125</v>
      </c>
      <c r="E15" s="8" t="n">
        <f aca="false">PnL!E31</f>
        <v>31.685442289788</v>
      </c>
      <c r="F15" s="8" t="n">
        <f aca="false">PnL!F31</f>
        <v>32.4745864908808</v>
      </c>
      <c r="G15" s="8" t="n">
        <f aca="false">PnL!G31</f>
        <v>32.4763614876667</v>
      </c>
      <c r="H15" s="8" t="n">
        <f aca="false">PnL!H31</f>
        <v>42.8823666586085</v>
      </c>
      <c r="I15" s="8" t="n">
        <f aca="false">PnL!I31</f>
        <v>42.7855820587183</v>
      </c>
      <c r="J15" s="8" t="n">
        <f aca="false">PnL!J31</f>
        <v>62.4113058599167</v>
      </c>
      <c r="K15" s="8" t="n">
        <f aca="false">PnL!K31</f>
        <v>58.3008338319975</v>
      </c>
      <c r="L15" s="8" t="n">
        <f aca="false">PnL!L31</f>
        <v>67.36043172097</v>
      </c>
      <c r="M15" s="8" t="n">
        <f aca="false">PnL!M31</f>
        <v>66.7188410222222</v>
      </c>
      <c r="N15" s="8" t="n">
        <f aca="false">PnL!N31</f>
        <v>81.5218039591502</v>
      </c>
      <c r="O15" s="8" t="n">
        <f aca="false">PnL!O31</f>
        <v>80.0426013780738</v>
      </c>
      <c r="P15" s="8" t="n">
        <f aca="false">PnL!P31</f>
        <v>88.5651825301961</v>
      </c>
      <c r="Q15" s="8" t="n">
        <f aca="false">PnL!Q31</f>
        <v>95.7457980839032</v>
      </c>
      <c r="R15" s="8" t="n">
        <f aca="false">PnL!R31</f>
        <v>99.2781407621023</v>
      </c>
      <c r="S15" s="8" t="n">
        <f aca="false">PnL!S31</f>
        <v>97.3128877002667</v>
      </c>
    </row>
    <row r="16" customFormat="false" ht="15" hidden="false" customHeight="true" outlineLevel="0" collapsed="false">
      <c r="A16" s="51" t="s">
        <v>1076</v>
      </c>
      <c r="B16" s="3" t="s">
        <v>10</v>
      </c>
      <c r="C16" s="99" t="n">
        <f aca="false">SUM(E16:G16)</f>
        <v>0.21230360885684</v>
      </c>
      <c r="D16" s="99" t="n">
        <f aca="false">SUM(H16:S16)</f>
        <v>10.7568840681432</v>
      </c>
      <c r="E16" s="8" t="n">
        <f aca="false">0</f>
        <v>0</v>
      </c>
      <c r="F16" s="8" t="n">
        <f aca="false">PnL!E34</f>
        <v>0.102143084903895</v>
      </c>
      <c r="G16" s="8" t="n">
        <f aca="false">PnL!F34</f>
        <v>0.110160523952945</v>
      </c>
      <c r="H16" s="8" t="n">
        <f aca="false">PnL!G34</f>
        <v>0.110481445982125</v>
      </c>
      <c r="I16" s="8" t="n">
        <f aca="false">PnL!H34</f>
        <v>0.114044447320152</v>
      </c>
      <c r="J16" s="8" t="n">
        <f aca="false">PnL!I34</f>
        <v>0.359151182391512</v>
      </c>
      <c r="K16" s="8" t="n">
        <f aca="false">PnL!J34</f>
        <v>0.877950622092187</v>
      </c>
      <c r="L16" s="8" t="n">
        <f aca="false">PnL!K34</f>
        <v>0.550837215616678</v>
      </c>
      <c r="M16" s="8" t="n">
        <f aca="false">PnL!L34</f>
        <v>0.998757669346382</v>
      </c>
      <c r="N16" s="8" t="n">
        <f aca="false">PnL!M34</f>
        <v>0.452787970459028</v>
      </c>
      <c r="O16" s="8" t="n">
        <f aca="false">PnL!N34</f>
        <v>1.51027297437012</v>
      </c>
      <c r="P16" s="8" t="n">
        <f aca="false">PnL!O34</f>
        <v>0.745756069484603</v>
      </c>
      <c r="Q16" s="8" t="n">
        <f aca="false">PnL!P34</f>
        <v>1.36802843835689</v>
      </c>
      <c r="R16" s="8" t="n">
        <f aca="false">PnL!Q34</f>
        <v>1.52923085423688</v>
      </c>
      <c r="S16" s="8" t="n">
        <f aca="false">PnL!R34</f>
        <v>2.13958517848667</v>
      </c>
    </row>
    <row r="17" customFormat="false" ht="15" hidden="false" customHeight="true" outlineLevel="0" collapsed="false">
      <c r="A17" s="11" t="s">
        <v>1077</v>
      </c>
      <c r="B17" s="3" t="s">
        <v>10</v>
      </c>
      <c r="C17" s="99" t="n">
        <f aca="false">SUM(E17:G17)</f>
        <v>126.474364937332</v>
      </c>
      <c r="D17" s="99" t="n">
        <f aca="false">SUM(H17:S17)</f>
        <v>1874.52348330196</v>
      </c>
      <c r="E17" s="100" t="n">
        <f aca="false">SUM(E14:E16)</f>
        <v>40.3476215796001</v>
      </c>
      <c r="F17" s="100" t="n">
        <f aca="false">SUM(F14:F16)</f>
        <v>43.0751878294038</v>
      </c>
      <c r="G17" s="100" t="n">
        <f aca="false">SUM(G14:G16)</f>
        <v>43.0515555283284</v>
      </c>
      <c r="H17" s="100" t="n">
        <f aca="false">SUM(H14:H16)</f>
        <v>53.9749783289682</v>
      </c>
      <c r="I17" s="100" t="n">
        <f aca="false">SUM(I14:I16)</f>
        <v>80.9712478818783</v>
      </c>
      <c r="J17" s="100" t="n">
        <f aca="false">SUM(J14:J16)</f>
        <v>124.347729650261</v>
      </c>
      <c r="K17" s="100" t="n">
        <f aca="false">SUM(K14:K16)</f>
        <v>104.771443804511</v>
      </c>
      <c r="L17" s="100" t="n">
        <f aca="false">SUM(L14:L16)</f>
        <v>142.121360450792</v>
      </c>
      <c r="M17" s="100" t="n">
        <f aca="false">SUM(M14:M16)</f>
        <v>109.682849085256</v>
      </c>
      <c r="N17" s="100" t="n">
        <f aca="false">SUM(N14:N16)</f>
        <v>197.273053662598</v>
      </c>
      <c r="O17" s="100" t="n">
        <f aca="false">SUM(O14:O16)</f>
        <v>154.284271275745</v>
      </c>
      <c r="P17" s="100" t="n">
        <f aca="false">SUM(P14:P16)</f>
        <v>200.065468260953</v>
      </c>
      <c r="Q17" s="100" t="n">
        <f aca="false">SUM(Q14:Q16)</f>
        <v>223.087118549231</v>
      </c>
      <c r="R17" s="100" t="n">
        <f aca="false">SUM(R14:R16)</f>
        <v>262.893116334536</v>
      </c>
      <c r="S17" s="100" t="n">
        <f aca="false">SUM(S14:S16)</f>
        <v>221.05084601723</v>
      </c>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row>
    <row r="19" customFormat="false" ht="15" hidden="false" customHeight="true" outlineLevel="0" collapsed="false">
      <c r="A19" s="11" t="s">
        <v>1078</v>
      </c>
      <c r="B19" s="3" t="s">
        <v>10</v>
      </c>
      <c r="C19" s="99" t="n">
        <f aca="false">SUM(E19:G19)</f>
        <v>-79.4531039695392</v>
      </c>
      <c r="D19" s="99" t="n">
        <f aca="false">SUM(H19:S19)</f>
        <v>411.268085732301</v>
      </c>
      <c r="E19" s="100" t="n">
        <f aca="false">E11-E17</f>
        <v>-34.9190045988211</v>
      </c>
      <c r="F19" s="100" t="n">
        <f aca="false">F11-F17</f>
        <v>-18.5073330388147</v>
      </c>
      <c r="G19" s="100" t="n">
        <f aca="false">G11-G17</f>
        <v>-26.0267663319034</v>
      </c>
      <c r="H19" s="100" t="n">
        <f aca="false">H11-H17</f>
        <v>-28.6303388649379</v>
      </c>
      <c r="I19" s="100" t="n">
        <f aca="false">I11-I17</f>
        <v>-32.1562614035758</v>
      </c>
      <c r="J19" s="100" t="n">
        <f aca="false">J11-J17</f>
        <v>12.1086447681762</v>
      </c>
      <c r="K19" s="100" t="n">
        <f aca="false">K11-K17</f>
        <v>-0.255000681175844</v>
      </c>
      <c r="L19" s="100" t="n">
        <f aca="false">L11-L17</f>
        <v>47.279173418484</v>
      </c>
      <c r="M19" s="100" t="n">
        <f aca="false">M11-M17</f>
        <v>24.3649950065495</v>
      </c>
      <c r="N19" s="100" t="n">
        <f aca="false">N11-N17</f>
        <v>8.11504121142582</v>
      </c>
      <c r="O19" s="100" t="n">
        <f aca="false">O11-O17</f>
        <v>49.0811926211753</v>
      </c>
      <c r="P19" s="100" t="n">
        <f aca="false">P11-P17</f>
        <v>53.8662194104257</v>
      </c>
      <c r="Q19" s="100" t="n">
        <f aca="false">Q11-Q17</f>
        <v>29.7428022981449</v>
      </c>
      <c r="R19" s="100" t="n">
        <f aca="false">R11-R17</f>
        <v>92.1284193627977</v>
      </c>
      <c r="S19" s="100" t="n">
        <f aca="false">S11-S17</f>
        <v>155.623198584812</v>
      </c>
    </row>
    <row r="20" customFormat="false" ht="15" hidden="false" customHeight="true" outlineLevel="0" collapsed="false">
      <c r="A20" s="51" t="s">
        <v>1079</v>
      </c>
      <c r="B20" s="3" t="s">
        <v>10</v>
      </c>
      <c r="C20" s="99" t="n">
        <f aca="false">E20</f>
        <v>210</v>
      </c>
      <c r="D20" s="99" t="n">
        <f aca="false">H20</f>
        <v>130.546896030461</v>
      </c>
      <c r="E20" s="8" t="n">
        <f aca="false">Inputs!$C$72</f>
        <v>210</v>
      </c>
      <c r="F20" s="8" t="n">
        <f aca="false">E21</f>
        <v>175.080995401179</v>
      </c>
      <c r="G20" s="8" t="n">
        <f aca="false">F21</f>
        <v>156.573662362364</v>
      </c>
      <c r="H20" s="8" t="n">
        <f aca="false">G21</f>
        <v>130.546896030461</v>
      </c>
      <c r="I20" s="8" t="n">
        <f aca="false">H21</f>
        <v>101.916557165523</v>
      </c>
      <c r="J20" s="8" t="n">
        <f aca="false">I21</f>
        <v>69.7602957619471</v>
      </c>
      <c r="K20" s="8" t="n">
        <f aca="false">J21</f>
        <v>81.8689405301233</v>
      </c>
      <c r="L20" s="8" t="n">
        <f aca="false">K21</f>
        <v>81.6139398489474</v>
      </c>
      <c r="M20" s="8" t="n">
        <f aca="false">L21</f>
        <v>128.893113267431</v>
      </c>
      <c r="N20" s="8" t="n">
        <f aca="false">M21</f>
        <v>153.258108273981</v>
      </c>
      <c r="O20" s="8" t="n">
        <f aca="false">N21</f>
        <v>161.373149485407</v>
      </c>
      <c r="P20" s="8" t="n">
        <f aca="false">O21</f>
        <v>210.454342106582</v>
      </c>
      <c r="Q20" s="8" t="n">
        <f aca="false">P21</f>
        <v>264.320561517008</v>
      </c>
      <c r="R20" s="8" t="n">
        <f aca="false">Q21</f>
        <v>294.063363815153</v>
      </c>
      <c r="S20" s="8" t="n">
        <f aca="false">R21</f>
        <v>386.19178317795</v>
      </c>
    </row>
    <row r="21" customFormat="false" ht="15" hidden="false" customHeight="true" outlineLevel="0" collapsed="false">
      <c r="A21" s="11" t="s">
        <v>95</v>
      </c>
      <c r="B21" s="3" t="s">
        <v>10</v>
      </c>
      <c r="C21" s="99" t="n">
        <f aca="false">G21</f>
        <v>130.546896030461</v>
      </c>
      <c r="D21" s="99" t="n">
        <f aca="false">S21</f>
        <v>541.814981762762</v>
      </c>
      <c r="E21" s="100" t="n">
        <f aca="false">E20+E19</f>
        <v>175.080995401179</v>
      </c>
      <c r="F21" s="100" t="n">
        <f aca="false">F20+F19</f>
        <v>156.573662362364</v>
      </c>
      <c r="G21" s="100" t="n">
        <f aca="false">G20+G19</f>
        <v>130.546896030461</v>
      </c>
      <c r="H21" s="100" t="n">
        <f aca="false">H20+H19</f>
        <v>101.916557165523</v>
      </c>
      <c r="I21" s="100" t="n">
        <f aca="false">I20+I19</f>
        <v>69.7602957619471</v>
      </c>
      <c r="J21" s="100" t="n">
        <f aca="false">J20+J19</f>
        <v>81.8689405301233</v>
      </c>
      <c r="K21" s="100" t="n">
        <f aca="false">K20+K19</f>
        <v>81.6139398489474</v>
      </c>
      <c r="L21" s="100" t="n">
        <f aca="false">L20+L19</f>
        <v>128.893113267431</v>
      </c>
      <c r="M21" s="100" t="n">
        <f aca="false">M20+M19</f>
        <v>153.258108273981</v>
      </c>
      <c r="N21" s="100" t="n">
        <f aca="false">N20+N19</f>
        <v>161.373149485407</v>
      </c>
      <c r="O21" s="100" t="n">
        <f aca="false">O20+O19</f>
        <v>210.454342106582</v>
      </c>
      <c r="P21" s="100" t="n">
        <f aca="false">P20+P19</f>
        <v>264.320561517008</v>
      </c>
      <c r="Q21" s="100" t="n">
        <f aca="false">Q20+Q19</f>
        <v>294.063363815153</v>
      </c>
      <c r="R21" s="100" t="n">
        <f aca="false">R20+R19</f>
        <v>386.19178317795</v>
      </c>
      <c r="S21" s="100" t="n">
        <f aca="false">S20+S19</f>
        <v>541.814981762762</v>
      </c>
    </row>
    <row r="22" customFormat="false" ht="15" hidden="false" customHeight="true" outlineLevel="0" collapsed="false">
      <c r="A22" s="2"/>
      <c r="B22" s="2"/>
      <c r="C22" s="2"/>
      <c r="D22" s="2"/>
      <c r="E22" s="2"/>
      <c r="F22" s="2"/>
      <c r="G22" s="2"/>
      <c r="H22" s="2"/>
      <c r="I22" s="2"/>
      <c r="J22" s="2"/>
      <c r="K22" s="2"/>
      <c r="L22" s="2"/>
      <c r="M22" s="2"/>
      <c r="N22" s="2"/>
      <c r="O22" s="2"/>
      <c r="P22" s="2"/>
      <c r="Q22" s="2"/>
      <c r="R22" s="2"/>
      <c r="S22" s="2"/>
    </row>
    <row r="23" customFormat="false" ht="15" hidden="false" customHeight="true" outlineLevel="0" collapsed="false">
      <c r="A23" s="6" t="s">
        <v>1080</v>
      </c>
      <c r="B23" s="7"/>
      <c r="C23" s="7"/>
      <c r="D23" s="7"/>
      <c r="E23" s="7"/>
      <c r="F23" s="7"/>
      <c r="G23" s="7"/>
      <c r="H23" s="7"/>
      <c r="I23" s="7"/>
      <c r="J23" s="7"/>
      <c r="K23" s="7"/>
      <c r="L23" s="7"/>
      <c r="M23" s="7"/>
      <c r="N23" s="7"/>
      <c r="O23" s="7"/>
      <c r="P23" s="7"/>
      <c r="Q23" s="7"/>
      <c r="R23" s="7"/>
      <c r="S23" s="7"/>
    </row>
    <row r="24" customFormat="false" ht="15" hidden="false" customHeight="true" outlineLevel="0" collapsed="false">
      <c r="A24" s="51" t="s">
        <v>1081</v>
      </c>
      <c r="B24" s="3" t="s">
        <v>10</v>
      </c>
      <c r="C24" s="99" t="n">
        <f aca="false">MAX(E24:G24)</f>
        <v>42.9730447444999</v>
      </c>
      <c r="D24" s="99" t="n">
        <f aca="false">MAX(H24:S24)</f>
        <v>261.363885480299</v>
      </c>
      <c r="E24" s="8" t="n">
        <f aca="false">E15+E14</f>
        <v>40.3476215796001</v>
      </c>
      <c r="F24" s="8" t="n">
        <f aca="false">F15+F14</f>
        <v>42.9730447444999</v>
      </c>
      <c r="G24" s="8" t="n">
        <f aca="false">G15+G14</f>
        <v>42.9413950043754</v>
      </c>
      <c r="H24" s="8" t="n">
        <f aca="false">H15+H14</f>
        <v>53.8644968829861</v>
      </c>
      <c r="I24" s="8" t="n">
        <f aca="false">I15+I14</f>
        <v>80.8572034345581</v>
      </c>
      <c r="J24" s="8" t="n">
        <f aca="false">J15+J14</f>
        <v>123.98857846787</v>
      </c>
      <c r="K24" s="8" t="n">
        <f aca="false">K15+K14</f>
        <v>103.893493182419</v>
      </c>
      <c r="L24" s="8" t="n">
        <f aca="false">L15+L14</f>
        <v>141.570523235176</v>
      </c>
      <c r="M24" s="8" t="n">
        <f aca="false">M15+M14</f>
        <v>108.68409141591</v>
      </c>
      <c r="N24" s="8" t="n">
        <f aca="false">N15+N14</f>
        <v>196.820265692139</v>
      </c>
      <c r="O24" s="8" t="n">
        <f aca="false">O15+O14</f>
        <v>152.773998301375</v>
      </c>
      <c r="P24" s="8" t="n">
        <f aca="false">P15+P14</f>
        <v>199.319712191469</v>
      </c>
      <c r="Q24" s="8" t="n">
        <f aca="false">Q15+Q14</f>
        <v>221.719090110874</v>
      </c>
      <c r="R24" s="8" t="n">
        <f aca="false">R15+R14</f>
        <v>261.363885480299</v>
      </c>
      <c r="S24" s="8" t="n">
        <f aca="false">S15+S14</f>
        <v>218.911260838743</v>
      </c>
    </row>
    <row r="25" customFormat="false" ht="15" hidden="false" customHeight="true" outlineLevel="0" collapsed="false">
      <c r="A25" s="51" t="s">
        <v>1082</v>
      </c>
      <c r="B25" s="3" t="s">
        <v>278</v>
      </c>
      <c r="C25" s="92" t="n">
        <f aca="false">MIN(E25:G25)</f>
        <v>1</v>
      </c>
      <c r="D25" s="92" t="n">
        <f aca="false">MIN(H25:S25)</f>
        <v>0</v>
      </c>
      <c r="E25" s="10" t="n">
        <f aca="false">IF(E21&gt;=E24,1,0)</f>
        <v>1</v>
      </c>
      <c r="F25" s="10" t="n">
        <f aca="false">IF(F21&gt;=F24,1,0)</f>
        <v>1</v>
      </c>
      <c r="G25" s="10" t="n">
        <f aca="false">IF(G21&gt;=G24,1,0)</f>
        <v>1</v>
      </c>
      <c r="H25" s="10" t="n">
        <f aca="false">IF(H21&gt;=H24,1,0)</f>
        <v>1</v>
      </c>
      <c r="I25" s="10" t="n">
        <f aca="false">IF(I21&gt;=I24,1,0)</f>
        <v>0</v>
      </c>
      <c r="J25" s="10" t="n">
        <f aca="false">IF(J21&gt;=J24,1,0)</f>
        <v>0</v>
      </c>
      <c r="K25" s="10" t="n">
        <f aca="false">IF(K21&gt;=K24,1,0)</f>
        <v>0</v>
      </c>
      <c r="L25" s="10" t="n">
        <f aca="false">IF(L21&gt;=L24,1,0)</f>
        <v>0</v>
      </c>
      <c r="M25" s="10" t="n">
        <f aca="false">IF(M21&gt;=M24,1,0)</f>
        <v>1</v>
      </c>
      <c r="N25" s="10" t="n">
        <f aca="false">IF(N21&gt;=N24,1,0)</f>
        <v>0</v>
      </c>
      <c r="O25" s="10" t="n">
        <f aca="false">IF(O21&gt;=O24,1,0)</f>
        <v>1</v>
      </c>
      <c r="P25" s="10" t="n">
        <f aca="false">IF(P21&gt;=P24,1,0)</f>
        <v>1</v>
      </c>
      <c r="Q25" s="10" t="n">
        <f aca="false">IF(Q21&gt;=Q24,1,0)</f>
        <v>1</v>
      </c>
      <c r="R25" s="10" t="n">
        <f aca="false">IF(R21&gt;=R24,1,0)</f>
        <v>1</v>
      </c>
      <c r="S25" s="10" t="n">
        <f aca="false">IF(S21&gt;=S24,1,0)</f>
        <v>1</v>
      </c>
    </row>
    <row r="26" customFormat="false" ht="15" hidden="false" customHeight="true" outlineLevel="0" collapsed="false">
      <c r="A26" s="51" t="s">
        <v>1083</v>
      </c>
      <c r="B26" s="3" t="s">
        <v>10</v>
      </c>
      <c r="C26" s="99" t="n">
        <f aca="false">MAX(E26:G26)</f>
        <v>17.53575</v>
      </c>
      <c r="D26" s="99" t="n">
        <f aca="false">MAX(H26:S26)</f>
        <v>237.69875</v>
      </c>
      <c r="E26" s="8" t="n">
        <f aca="false">SUM(PnL!$E$12:E12)-SUM($E$11:E11)</f>
        <v>15</v>
      </c>
      <c r="F26" s="8" t="n">
        <f aca="false">SUM(PnL!$E$12:F12)-SUM($E$11:F11)</f>
        <v>12.46425</v>
      </c>
      <c r="G26" s="8" t="n">
        <f aca="false">SUM(PnL!$E$12:G12)-SUM($E$11:G11)</f>
        <v>17.53575</v>
      </c>
      <c r="H26" s="8" t="n">
        <f aca="false">SUM(PnL!$E$12:H12)-SUM($E$11:H11)</f>
        <v>15</v>
      </c>
      <c r="I26" s="8" t="n">
        <f aca="false">SUM(PnL!$E$12:I12)-SUM($E$11:I11)</f>
        <v>38.01525</v>
      </c>
      <c r="J26" s="8" t="n">
        <f aca="false">SUM(PnL!$E$12:J12)-SUM($E$11:J11)</f>
        <v>77.149</v>
      </c>
      <c r="K26" s="8" t="n">
        <f aca="false">SUM(PnL!$E$12:K12)-SUM($E$11:K11)</f>
        <v>82.8</v>
      </c>
      <c r="L26" s="8" t="n">
        <f aca="false">SUM(PnL!$E$12:L12)-SUM($E$11:L11)</f>
        <v>93.151</v>
      </c>
      <c r="M26" s="8" t="n">
        <f aca="false">SUM(PnL!$E$12:M12)-SUM($E$11:M11)</f>
        <v>49.6607499999999</v>
      </c>
      <c r="N26" s="8" t="n">
        <f aca="false">SUM(PnL!$E$12:N12)-SUM($E$11:N11)</f>
        <v>146.32725</v>
      </c>
      <c r="O26" s="8" t="n">
        <f aca="false">SUM(PnL!$E$12:O12)-SUM($E$11:O11)</f>
        <v>92.1129999999998</v>
      </c>
      <c r="P26" s="8" t="n">
        <f aca="false">SUM(PnL!$E$12:P12)-SUM($E$11:P11)</f>
        <v>111.787</v>
      </c>
      <c r="Q26" s="8" t="n">
        <f aca="false">SUM(PnL!$E$12:Q12)-SUM($E$11:Q11)</f>
        <v>164.80325</v>
      </c>
      <c r="R26" s="8" t="n">
        <f aca="false">SUM(PnL!$E$12:R12)-SUM($E$11:R11)</f>
        <v>237.69875</v>
      </c>
      <c r="S26" s="8" t="n">
        <f aca="false">SUM(PnL!$E$12:S12)-SUM($E$11:S11)</f>
        <v>164.29875</v>
      </c>
    </row>
    <row r="27" customFormat="false" ht="15" hidden="false" customHeight="true" outlineLevel="0" collapsed="false">
      <c r="A27" s="51" t="s">
        <v>1084</v>
      </c>
      <c r="B27" s="3" t="s">
        <v>34</v>
      </c>
      <c r="C27" s="99" t="n">
        <f aca="false">MIN(E27:G27)</f>
        <v>4.54198125486989</v>
      </c>
      <c r="D27" s="99" t="n">
        <f aca="false">MIN(H27:S27)</f>
        <v>1.39524222044168</v>
      </c>
      <c r="E27" s="8" t="n">
        <f aca="false">IF(E15-((PnL!$D$10+PnL!$D$11-PnL!$D$19-PnL!$D$20)/12)&lt;=0,99,E21/(E15-((PnL!$D$10+PnL!$D$11-PnL!$D$19-PnL!$D$20)/12)))</f>
        <v>6.26377362995685</v>
      </c>
      <c r="F27" s="8" t="n">
        <f aca="false">IF(F15-((PnL!$D$10+PnL!$D$11-PnL!$D$19-PnL!$D$20)/12)&lt;=0,99,F21/(F15-((PnL!$D$10+PnL!$D$11-PnL!$D$19-PnL!$D$20)/12)))</f>
        <v>5.4478396773625</v>
      </c>
      <c r="G27" s="8" t="n">
        <f aca="false">IF(G15-((PnL!$D$10+PnL!$D$11-PnL!$D$19-PnL!$D$20)/12)&lt;=0,99,G21/(G15-((PnL!$D$10+PnL!$D$11-PnL!$D$19-PnL!$D$20)/12)))</f>
        <v>4.54198125486989</v>
      </c>
      <c r="H27" s="8" t="n">
        <f aca="false">IF(H15-((PnL!$D$10+PnL!$D$11-PnL!$D$19-PnL!$D$20)/12)&lt;=0,99,H21/(H15-((PnL!$D$10+PnL!$D$11-PnL!$D$19-PnL!$D$20)/12)))</f>
        <v>2.60334666680869</v>
      </c>
      <c r="I27" s="8" t="n">
        <f aca="false">IF(I15-((PnL!$D$10+PnL!$D$11-PnL!$D$19-PnL!$D$20)/12)&lt;=0,99,I21/(I15-((PnL!$D$10+PnL!$D$11-PnL!$D$19-PnL!$D$20)/12)))</f>
        <v>1.78636659580729</v>
      </c>
      <c r="J27" s="8" t="n">
        <f aca="false">IF(J15-((PnL!$D$10+PnL!$D$11-PnL!$D$19-PnL!$D$20)/12)&lt;=0,99,J21/(J15-((PnL!$D$10+PnL!$D$11-PnL!$D$19-PnL!$D$20)/12)))</f>
        <v>1.39524222044168</v>
      </c>
      <c r="K27" s="8" t="n">
        <f aca="false">IF(K15-((PnL!$D$10+PnL!$D$11-PnL!$D$19-PnL!$D$20)/12)&lt;=0,99,K21/(K15-((PnL!$D$10+PnL!$D$11-PnL!$D$19-PnL!$D$20)/12)))</f>
        <v>1.49567157025135</v>
      </c>
      <c r="L27" s="8" t="n">
        <f aca="false">IF(L15-((PnL!$D$10+PnL!$D$11-PnL!$D$19-PnL!$D$20)/12)&lt;=0,99,L21/(L15-((PnL!$D$10+PnL!$D$11-PnL!$D$19-PnL!$D$20)/12)))</f>
        <v>2.02578197899624</v>
      </c>
      <c r="M27" s="8" t="n">
        <f aca="false">IF(M15-((PnL!$D$10+PnL!$D$11-PnL!$D$19-PnL!$D$20)/12)&lt;=0,99,M21/(M15-((PnL!$D$10+PnL!$D$11-PnL!$D$19-PnL!$D$20)/12)))</f>
        <v>2.43325702783356</v>
      </c>
      <c r="N27" s="8" t="n">
        <f aca="false">IF(N15-((PnL!$D$10+PnL!$D$11-PnL!$D$19-PnL!$D$20)/12)&lt;=0,99,N21/(N15-((PnL!$D$10+PnL!$D$11-PnL!$D$19-PnL!$D$20)/12)))</f>
        <v>2.07453239139735</v>
      </c>
      <c r="O27" s="8" t="n">
        <f aca="false">IF(O15-((PnL!$D$10+PnL!$D$11-PnL!$D$19-PnL!$D$20)/12)&lt;=0,99,O21/(O15-((PnL!$D$10+PnL!$D$11-PnL!$D$19-PnL!$D$20)/12)))</f>
        <v>2.75794030583678</v>
      </c>
      <c r="P27" s="8" t="n">
        <f aca="false">IF(P15-((PnL!$D$10+PnL!$D$11-PnL!$D$19-PnL!$D$20)/12)&lt;=0,99,P21/(P15-((PnL!$D$10+PnL!$D$11-PnL!$D$19-PnL!$D$20)/12)))</f>
        <v>3.11584500167468</v>
      </c>
      <c r="Q27" s="8" t="n">
        <f aca="false">IF(Q15-((PnL!$D$10+PnL!$D$11-PnL!$D$19-PnL!$D$20)/12)&lt;=0,99,Q21/(Q15-((PnL!$D$10+PnL!$D$11-PnL!$D$19-PnL!$D$20)/12)))</f>
        <v>3.19593390236652</v>
      </c>
      <c r="R27" s="8" t="n">
        <f aca="false">IF(R15-((PnL!$D$10+PnL!$D$11-PnL!$D$19-PnL!$D$20)/12)&lt;=0,99,R21/(R15-((PnL!$D$10+PnL!$D$11-PnL!$D$19-PnL!$D$20)/12)))</f>
        <v>4.04202822192922</v>
      </c>
      <c r="S27" s="8" t="n">
        <f aca="false">IF(S15-((PnL!$D$10+PnL!$D$11-PnL!$D$19-PnL!$D$20)/12)&lt;=0,99,S21/(S15-((PnL!$D$10+PnL!$D$11-PnL!$D$19-PnL!$D$20)/12)))</f>
        <v>5.78993262368712</v>
      </c>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row>
    <row r="29" customFormat="false" ht="15" hidden="false" customHeight="true" outlineLevel="0" collapsed="false">
      <c r="A29" s="3" t="s">
        <v>1085</v>
      </c>
      <c r="B29" s="2"/>
      <c r="C29" s="2"/>
      <c r="D29" s="2"/>
      <c r="E29" s="2"/>
      <c r="F29" s="2"/>
      <c r="G29" s="2"/>
      <c r="H29" s="2"/>
      <c r="I29" s="2"/>
      <c r="J29" s="2"/>
      <c r="K29" s="2"/>
      <c r="L29" s="2"/>
      <c r="M29" s="2"/>
      <c r="N29" s="2"/>
      <c r="O29" s="2"/>
      <c r="P29" s="2"/>
      <c r="Q29" s="2"/>
      <c r="R29" s="2"/>
      <c r="S29" s="2"/>
    </row>
    <row r="31" customFormat="false" ht="15" hidden="false" customHeight="false" outlineLevel="0" collapsed="false">
      <c r="A31" s="6" t="s">
        <v>1086</v>
      </c>
    </row>
    <row r="32" customFormat="false" ht="15" hidden="false" customHeight="false" outlineLevel="0" collapsed="false">
      <c r="A32" s="51" t="s">
        <v>1087</v>
      </c>
      <c r="B32" s="3" t="s">
        <v>10</v>
      </c>
      <c r="C32" s="99" t="n">
        <f aca="false">SUM(E32:G32)</f>
        <v>7.60725</v>
      </c>
      <c r="D32" s="99" t="n">
        <f aca="false">SUM(H32:S32)</f>
        <v>213.003</v>
      </c>
      <c r="E32" s="8" t="n">
        <f aca="false">0.5*Volume!E50+0.5*0</f>
        <v>0</v>
      </c>
      <c r="F32" s="8" t="n">
        <f aca="false">0.5*Volume!F50+0.5*0</f>
        <v>7.60725</v>
      </c>
      <c r="G32" s="8" t="n">
        <f aca="false">0.5*Volume!G50+0.5*Volume!E50</f>
        <v>0</v>
      </c>
      <c r="H32" s="8" t="n">
        <f aca="false">0.5*Volume!H50+0.5*Volume!F50</f>
        <v>7.60725</v>
      </c>
      <c r="I32" s="8" t="n">
        <f aca="false">0.5*Volume!I50+0.5*Volume!G50</f>
        <v>11.95425</v>
      </c>
      <c r="J32" s="8" t="n">
        <f aca="false">0.5*Volume!J50+0.5*Volume!H50</f>
        <v>7.60725</v>
      </c>
      <c r="K32" s="8" t="n">
        <f aca="false">0.5*Volume!K50+0.5*Volume!I50</f>
        <v>19.5615</v>
      </c>
      <c r="L32" s="8" t="n">
        <f aca="false">0.5*Volume!L50+0.5*Volume!J50</f>
        <v>19.5615</v>
      </c>
      <c r="M32" s="8" t="n">
        <f aca="false">0.5*Volume!M50+0.5*Volume!K50</f>
        <v>11.95425</v>
      </c>
      <c r="N32" s="8" t="n">
        <f aca="false">0.5*Volume!N50+0.5*Volume!L50</f>
        <v>23.9085</v>
      </c>
      <c r="O32" s="8" t="n">
        <f aca="false">0.5*Volume!O50+0.5*Volume!M50</f>
        <v>16.30125</v>
      </c>
      <c r="P32" s="8" t="n">
        <f aca="false">0.5*Volume!P50+0.5*Volume!N50</f>
        <v>19.5615</v>
      </c>
      <c r="Q32" s="8" t="n">
        <f aca="false">0.5*Volume!Q50+0.5*Volume!O50</f>
        <v>31.51575</v>
      </c>
      <c r="R32" s="8" t="n">
        <f aca="false">0.5*Volume!R50+0.5*Volume!P50</f>
        <v>19.5615</v>
      </c>
      <c r="S32" s="8" t="n">
        <f aca="false">0.5*Volume!S50+0.5*Volume!Q50</f>
        <v>23.9085</v>
      </c>
    </row>
    <row r="33" customFormat="false" ht="15" hidden="false" customHeight="false" outlineLevel="0" collapsed="false">
      <c r="A33" s="51" t="s">
        <v>1088</v>
      </c>
      <c r="B33" s="3" t="s">
        <v>10</v>
      </c>
      <c r="C33" s="99" t="n">
        <f aca="false">SUM(E33:G33)</f>
        <v>0</v>
      </c>
      <c r="D33" s="99" t="n">
        <f aca="false">SUM(H33:S33)</f>
        <v>118.902</v>
      </c>
      <c r="E33" s="8" t="n">
        <f aca="false">(PnL!E48+PnL!E49)*Inputs!$C$76</f>
        <v>0</v>
      </c>
      <c r="F33" s="8" t="n">
        <f aca="false">(PnL!F48+PnL!F49)*Inputs!$C$76+(PnL!E48+PnL!E49)*(1-Inputs!$C$76)</f>
        <v>0</v>
      </c>
      <c r="G33" s="8" t="n">
        <f aca="false">(PnL!G48+PnL!G49)*Inputs!$C$76+(PnL!F48+PnL!F49)*(1-Inputs!$C$76)</f>
        <v>0</v>
      </c>
      <c r="H33" s="8" t="n">
        <f aca="false">(PnL!H48+PnL!H49)*Inputs!$C$76+(PnL!G48+PnL!G49)*(1-Inputs!$C$76)</f>
        <v>0</v>
      </c>
      <c r="I33" s="8" t="n">
        <f aca="false">(PnL!I48+PnL!I49)*Inputs!$C$76+(PnL!H48+PnL!H49)*(1-Inputs!$C$76)</f>
        <v>0</v>
      </c>
      <c r="J33" s="8" t="n">
        <f aca="false">(PnL!J48+PnL!J49)*Inputs!$C$76+(PnL!I48+PnL!I49)*(1-Inputs!$C$76)</f>
        <v>0</v>
      </c>
      <c r="K33" s="8" t="n">
        <f aca="false">(PnL!K48+PnL!K49)*Inputs!$C$76+(PnL!J48+PnL!J49)*(1-Inputs!$C$76)</f>
        <v>0</v>
      </c>
      <c r="L33" s="8" t="n">
        <f aca="false">(PnL!L48+PnL!L49)*Inputs!$C$76+(PnL!K48+PnL!K49)*(1-Inputs!$C$76)</f>
        <v>11.4</v>
      </c>
      <c r="M33" s="8" t="n">
        <f aca="false">(PnL!M48+PnL!M49)*Inputs!$C$76+(PnL!L48+PnL!L49)*(1-Inputs!$C$76)</f>
        <v>8.55</v>
      </c>
      <c r="N33" s="8" t="n">
        <f aca="false">(PnL!N48+PnL!N49)*Inputs!$C$76+(PnL!M48+PnL!M49)*(1-Inputs!$C$76)</f>
        <v>14.877</v>
      </c>
      <c r="O33" s="8" t="n">
        <f aca="false">(PnL!O48+PnL!O49)*Inputs!$C$76+(PnL!N48+PnL!N49)*(1-Inputs!$C$76)</f>
        <v>16.815</v>
      </c>
      <c r="P33" s="8" t="n">
        <f aca="false">(PnL!P48+PnL!P49)*Inputs!$C$76+(PnL!O48+PnL!O49)*(1-Inputs!$C$76)</f>
        <v>11.115</v>
      </c>
      <c r="Q33" s="8" t="n">
        <f aca="false">(PnL!Q48+PnL!Q49)*Inputs!$C$76+(PnL!P48+PnL!P49)*(1-Inputs!$C$76)</f>
        <v>21.09</v>
      </c>
      <c r="R33" s="8" t="n">
        <f aca="false">(PnL!R48+PnL!R49)*Inputs!$C$76+(PnL!Q48+PnL!Q49)*(1-Inputs!$C$76)</f>
        <v>18.24</v>
      </c>
      <c r="S33" s="8" t="n">
        <f aca="false">(PnL!S48+PnL!S49)*Inputs!$C$76+(PnL!R48+PnL!R49)*(1-Inputs!$C$76)</f>
        <v>16.815</v>
      </c>
    </row>
    <row r="34" customFormat="false" ht="15" hidden="false" customHeight="false" outlineLevel="0" collapsed="false">
      <c r="A34" s="51" t="s">
        <v>1089</v>
      </c>
      <c r="B34" s="3" t="s">
        <v>10</v>
      </c>
      <c r="C34" s="99" t="n">
        <f aca="false">SUM(E34:G34)</f>
        <v>0</v>
      </c>
      <c r="D34" s="99" t="n">
        <f aca="false">SUM(H34:S34)</f>
        <v>144</v>
      </c>
      <c r="E34" s="8" t="n">
        <f aca="false">PnL!E50*Inputs!$C$160</f>
        <v>0</v>
      </c>
      <c r="F34" s="8" t="n">
        <f aca="false">PnL!F50*Inputs!$C$160+PnL!E50*(1-Inputs!$C$160)</f>
        <v>0</v>
      </c>
      <c r="G34" s="8" t="n">
        <f aca="false">PnL!G50*Inputs!$C$160+PnL!F50*(1-Inputs!$C$160)</f>
        <v>0</v>
      </c>
      <c r="H34" s="8" t="n">
        <f aca="false">PnL!H50*Inputs!$C$160+PnL!G50*(1-Inputs!$C$160)</f>
        <v>0</v>
      </c>
      <c r="I34" s="8" t="n">
        <f aca="false">PnL!I50*Inputs!$C$160+PnL!H50*(1-Inputs!$C$160)</f>
        <v>12</v>
      </c>
      <c r="J34" s="8" t="n">
        <f aca="false">PnL!J50*Inputs!$C$160+PnL!I50*(1-Inputs!$C$160)</f>
        <v>12</v>
      </c>
      <c r="K34" s="8" t="n">
        <f aca="false">PnL!K50*Inputs!$C$160+PnL!J50*(1-Inputs!$C$160)</f>
        <v>0</v>
      </c>
      <c r="L34" s="8" t="n">
        <f aca="false">PnL!L50*Inputs!$C$160+PnL!K50*(1-Inputs!$C$160)</f>
        <v>0</v>
      </c>
      <c r="M34" s="8" t="n">
        <f aca="false">PnL!M50*Inputs!$C$160+PnL!L50*(1-Inputs!$C$160)</f>
        <v>0</v>
      </c>
      <c r="N34" s="8" t="n">
        <f aca="false">PnL!N50*Inputs!$C$160+PnL!M50*(1-Inputs!$C$160)</f>
        <v>12</v>
      </c>
      <c r="O34" s="8" t="n">
        <f aca="false">PnL!O50*Inputs!$C$160+PnL!N50*(1-Inputs!$C$160)</f>
        <v>24</v>
      </c>
      <c r="P34" s="8" t="n">
        <f aca="false">PnL!P50*Inputs!$C$160+PnL!O50*(1-Inputs!$C$160)</f>
        <v>24</v>
      </c>
      <c r="Q34" s="8" t="n">
        <f aca="false">PnL!Q50*Inputs!$C$160+PnL!P50*(1-Inputs!$C$160)</f>
        <v>24</v>
      </c>
      <c r="R34" s="8" t="n">
        <f aca="false">PnL!R50*Inputs!$C$160+PnL!Q50*(1-Inputs!$C$160)</f>
        <v>24</v>
      </c>
      <c r="S34" s="8" t="n">
        <f aca="false">PnL!S50*Inputs!$C$160+PnL!R50*(1-Inputs!$C$160)</f>
        <v>12</v>
      </c>
    </row>
    <row r="35" customFormat="false" ht="15" hidden="false" customHeight="false" outlineLevel="0" collapsed="false">
      <c r="A35" s="11" t="s">
        <v>1090</v>
      </c>
      <c r="B35" s="3" t="s">
        <v>10</v>
      </c>
      <c r="C35" s="99" t="n">
        <f aca="false">SUM(E35:G35)</f>
        <v>7.60725</v>
      </c>
      <c r="D35" s="99" t="n">
        <f aca="false">SUM(H35:S35)</f>
        <v>475.905</v>
      </c>
      <c r="E35" s="100" t="n">
        <f aca="false">SUM(E32:E34)</f>
        <v>0</v>
      </c>
      <c r="F35" s="100" t="n">
        <f aca="false">SUM(F32:F34)</f>
        <v>7.60725</v>
      </c>
      <c r="G35" s="100" t="n">
        <f aca="false">SUM(G32:G34)</f>
        <v>0</v>
      </c>
      <c r="H35" s="100" t="n">
        <f aca="false">SUM(H32:H34)</f>
        <v>7.60725</v>
      </c>
      <c r="I35" s="100" t="n">
        <f aca="false">SUM(I32:I34)</f>
        <v>23.95425</v>
      </c>
      <c r="J35" s="100" t="n">
        <f aca="false">SUM(J32:J34)</f>
        <v>19.60725</v>
      </c>
      <c r="K35" s="100" t="n">
        <f aca="false">SUM(K32:K34)</f>
        <v>19.5615</v>
      </c>
      <c r="L35" s="100" t="n">
        <f aca="false">SUM(L32:L34)</f>
        <v>30.9615</v>
      </c>
      <c r="M35" s="100" t="n">
        <f aca="false">SUM(M32:M34)</f>
        <v>20.50425</v>
      </c>
      <c r="N35" s="100" t="n">
        <f aca="false">SUM(N32:N34)</f>
        <v>50.7855</v>
      </c>
      <c r="O35" s="100" t="n">
        <f aca="false">SUM(O32:O34)</f>
        <v>57.11625</v>
      </c>
      <c r="P35" s="100" t="n">
        <f aca="false">SUM(P32:P34)</f>
        <v>54.6765</v>
      </c>
      <c r="Q35" s="100" t="n">
        <f aca="false">SUM(Q32:Q34)</f>
        <v>76.60575</v>
      </c>
      <c r="R35" s="100" t="n">
        <f aca="false">SUM(R32:R34)</f>
        <v>61.8015</v>
      </c>
      <c r="S35" s="100" t="n">
        <f aca="false">SUM(S32:S34)</f>
        <v>52.7235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60"/>
    <col collapsed="false" customWidth="true" hidden="false" outlineLevel="0" max="4" min="4" style="0" width="14"/>
    <col collapsed="false" customWidth="true" hidden="false" outlineLevel="0" max="5" min="5" style="0" width="16"/>
    <col collapsed="false" customWidth="true" hidden="false" outlineLevel="0" max="6" min="6" style="0" width="60"/>
    <col collapsed="false" customWidth="true" hidden="false" outlineLevel="0" max="7" min="7" style="0" width="18"/>
    <col collapsed="false" customWidth="true" hidden="false" outlineLevel="0" max="8" min="8" style="0" width="16"/>
    <col collapsed="false" customWidth="true" hidden="false" outlineLevel="0" max="9" min="9" style="0" width="10"/>
  </cols>
  <sheetData>
    <row r="1" customFormat="false" ht="17.25" hidden="false" customHeight="true" outlineLevel="0" collapsed="false">
      <c r="A1" s="1" t="s">
        <v>1091</v>
      </c>
      <c r="B1" s="2"/>
      <c r="C1" s="2"/>
      <c r="D1" s="2"/>
      <c r="E1" s="2"/>
      <c r="F1" s="2"/>
      <c r="G1" s="2"/>
      <c r="H1" s="2"/>
      <c r="I1" s="2"/>
    </row>
    <row r="2" customFormat="false" ht="31.5" hidden="false" customHeight="true" outlineLevel="0" collapsed="false">
      <c r="A2" s="72" t="s">
        <v>1092</v>
      </c>
      <c r="B2" s="72"/>
      <c r="C2" s="72"/>
      <c r="D2" s="72"/>
      <c r="E2" s="72"/>
      <c r="F2" s="72"/>
      <c r="G2" s="72"/>
      <c r="H2" s="72"/>
      <c r="I2" s="2"/>
    </row>
    <row r="3" customFormat="false" ht="15" hidden="false" customHeight="true" outlineLevel="0" collapsed="false">
      <c r="A3" s="2"/>
      <c r="B3" s="2"/>
      <c r="C3" s="2"/>
      <c r="D3" s="2"/>
      <c r="E3" s="2"/>
      <c r="F3" s="2"/>
      <c r="G3" s="2"/>
      <c r="H3" s="2"/>
      <c r="I3" s="2"/>
    </row>
    <row r="4" customFormat="false" ht="15" hidden="false" customHeight="true" outlineLevel="0" collapsed="false">
      <c r="A4" s="5" t="s">
        <v>246</v>
      </c>
      <c r="B4" s="5" t="s">
        <v>1093</v>
      </c>
      <c r="C4" s="5" t="s">
        <v>137</v>
      </c>
      <c r="D4" s="5" t="s">
        <v>1094</v>
      </c>
      <c r="E4" s="5" t="s">
        <v>6</v>
      </c>
      <c r="F4" s="5" t="s">
        <v>1095</v>
      </c>
      <c r="G4" s="5" t="s">
        <v>1096</v>
      </c>
      <c r="H4" s="5" t="s">
        <v>1097</v>
      </c>
      <c r="I4" s="5" t="s">
        <v>359</v>
      </c>
    </row>
    <row r="5" customFormat="false" ht="15" hidden="false" customHeight="true" outlineLevel="0" collapsed="false">
      <c r="A5" s="3" t="s">
        <v>1098</v>
      </c>
      <c r="B5" s="3" t="s">
        <v>1099</v>
      </c>
      <c r="C5" s="3" t="s">
        <v>1100</v>
      </c>
      <c r="D5" s="3" t="n">
        <v>5</v>
      </c>
      <c r="E5" s="3" t="s">
        <v>381</v>
      </c>
      <c r="F5" s="3" t="s">
        <v>1101</v>
      </c>
      <c r="G5" s="3" t="s">
        <v>1102</v>
      </c>
      <c r="H5" s="3" t="n">
        <v>5.5</v>
      </c>
      <c r="I5" s="3" t="s">
        <v>1103</v>
      </c>
    </row>
    <row r="6" customFormat="false" ht="15" hidden="false" customHeight="true" outlineLevel="0" collapsed="false">
      <c r="A6" s="2" t="n">
        <v>1</v>
      </c>
      <c r="B6" s="2" t="s">
        <v>1104</v>
      </c>
      <c r="C6" s="2" t="s">
        <v>409</v>
      </c>
      <c r="D6" s="107" t="n">
        <f aca="false">Inputs!C22</f>
        <v>1</v>
      </c>
      <c r="E6" s="2" t="s">
        <v>410</v>
      </c>
      <c r="F6" s="2" t="s">
        <v>1105</v>
      </c>
      <c r="G6" s="2" t="s">
        <v>1106</v>
      </c>
      <c r="H6" s="108"/>
      <c r="I6" s="2" t="s">
        <v>1107</v>
      </c>
    </row>
    <row r="7" customFormat="false" ht="15" hidden="false" customHeight="true" outlineLevel="0" collapsed="false">
      <c r="A7" s="2" t="n">
        <v>2</v>
      </c>
      <c r="B7" s="2" t="s">
        <v>1104</v>
      </c>
      <c r="C7" s="2" t="s">
        <v>414</v>
      </c>
      <c r="D7" s="102" t="n">
        <f aca="false">Inputs!C23</f>
        <v>3.5</v>
      </c>
      <c r="E7" s="2" t="s">
        <v>415</v>
      </c>
      <c r="F7" s="2" t="s">
        <v>1108</v>
      </c>
      <c r="G7" s="2" t="s">
        <v>1109</v>
      </c>
      <c r="H7" s="108"/>
      <c r="I7" s="2" t="s">
        <v>1107</v>
      </c>
    </row>
    <row r="8" customFormat="false" ht="15" hidden="false" customHeight="true" outlineLevel="0" collapsed="false">
      <c r="A8" s="2" t="n">
        <v>3</v>
      </c>
      <c r="B8" s="2" t="s">
        <v>1104</v>
      </c>
      <c r="C8" s="2" t="s">
        <v>418</v>
      </c>
      <c r="D8" s="109" t="n">
        <f aca="false">Inputs!C24</f>
        <v>0.8</v>
      </c>
      <c r="E8" s="2" t="s">
        <v>21</v>
      </c>
      <c r="F8" s="2" t="s">
        <v>1110</v>
      </c>
      <c r="G8" s="2" t="s">
        <v>1111</v>
      </c>
      <c r="H8" s="108"/>
      <c r="I8" s="2" t="s">
        <v>1107</v>
      </c>
    </row>
    <row r="9" customFormat="false" ht="15" hidden="false" customHeight="true" outlineLevel="0" collapsed="false">
      <c r="A9" s="2" t="n">
        <v>4</v>
      </c>
      <c r="B9" s="2" t="s">
        <v>1112</v>
      </c>
      <c r="C9" s="2" t="s">
        <v>433</v>
      </c>
      <c r="D9" s="107" t="n">
        <f aca="false">Inputs!C30</f>
        <v>3</v>
      </c>
      <c r="E9" s="2" t="s">
        <v>434</v>
      </c>
      <c r="F9" s="2" t="s">
        <v>1113</v>
      </c>
      <c r="G9" s="2" t="s">
        <v>1114</v>
      </c>
      <c r="H9" s="108"/>
      <c r="I9" s="2" t="s">
        <v>1107</v>
      </c>
    </row>
    <row r="10" customFormat="false" ht="15" hidden="false" customHeight="true" outlineLevel="0" collapsed="false">
      <c r="A10" s="2" t="n">
        <v>5</v>
      </c>
      <c r="B10" s="2" t="s">
        <v>1112</v>
      </c>
      <c r="C10" s="2" t="s">
        <v>437</v>
      </c>
      <c r="D10" s="107" t="n">
        <f aca="false">Inputs!C31</f>
        <v>1</v>
      </c>
      <c r="E10" s="2" t="s">
        <v>434</v>
      </c>
      <c r="F10" s="2" t="s">
        <v>1115</v>
      </c>
      <c r="G10" s="2" t="s">
        <v>1116</v>
      </c>
      <c r="H10" s="108"/>
      <c r="I10" s="2" t="s">
        <v>1107</v>
      </c>
    </row>
    <row r="11" customFormat="false" ht="15" hidden="false" customHeight="true" outlineLevel="0" collapsed="false">
      <c r="A11" s="2" t="n">
        <v>6</v>
      </c>
      <c r="B11" s="2" t="s">
        <v>1112</v>
      </c>
      <c r="C11" s="2" t="s">
        <v>440</v>
      </c>
      <c r="D11" s="107" t="n">
        <f aca="false">Inputs!C32</f>
        <v>1</v>
      </c>
      <c r="E11" s="2" t="s">
        <v>434</v>
      </c>
      <c r="F11" s="2" t="s">
        <v>1115</v>
      </c>
      <c r="G11" s="2" t="s">
        <v>1117</v>
      </c>
      <c r="H11" s="108"/>
      <c r="I11" s="2" t="s">
        <v>1107</v>
      </c>
    </row>
    <row r="12" customFormat="false" ht="15" hidden="false" customHeight="true" outlineLevel="0" collapsed="false">
      <c r="A12" s="2" t="n">
        <v>7</v>
      </c>
      <c r="B12" s="2" t="s">
        <v>1112</v>
      </c>
      <c r="C12" s="2" t="s">
        <v>442</v>
      </c>
      <c r="D12" s="107" t="n">
        <f aca="false">Inputs!C33</f>
        <v>1</v>
      </c>
      <c r="E12" s="2" t="s">
        <v>434</v>
      </c>
      <c r="F12" s="2" t="s">
        <v>1115</v>
      </c>
      <c r="G12" s="2" t="s">
        <v>1118</v>
      </c>
      <c r="H12" s="108"/>
      <c r="I12" s="2" t="s">
        <v>1107</v>
      </c>
    </row>
    <row r="13" customFormat="false" ht="15" hidden="false" customHeight="true" outlineLevel="0" collapsed="false">
      <c r="A13" s="2" t="n">
        <v>8</v>
      </c>
      <c r="B13" s="2" t="s">
        <v>1112</v>
      </c>
      <c r="C13" s="2" t="s">
        <v>454</v>
      </c>
      <c r="D13" s="102" t="n">
        <f aca="false">Inputs!C37</f>
        <v>2.5</v>
      </c>
      <c r="E13" s="2" t="s">
        <v>415</v>
      </c>
      <c r="F13" s="2" t="s">
        <v>1119</v>
      </c>
      <c r="G13" s="2" t="s">
        <v>1120</v>
      </c>
      <c r="H13" s="108"/>
      <c r="I13" s="2" t="s">
        <v>1107</v>
      </c>
    </row>
    <row r="14" customFormat="false" ht="15" hidden="false" customHeight="true" outlineLevel="0" collapsed="false">
      <c r="A14" s="2" t="n">
        <v>9</v>
      </c>
      <c r="B14" s="2" t="s">
        <v>1099</v>
      </c>
      <c r="C14" s="2" t="s">
        <v>478</v>
      </c>
      <c r="D14" s="102" t="n">
        <f aca="false">Inputs!C47</f>
        <v>1.5</v>
      </c>
      <c r="E14" s="2" t="s">
        <v>381</v>
      </c>
      <c r="F14" s="2" t="s">
        <v>1121</v>
      </c>
      <c r="G14" s="2" t="s">
        <v>1122</v>
      </c>
      <c r="H14" s="108"/>
      <c r="I14" s="2" t="s">
        <v>1107</v>
      </c>
    </row>
    <row r="15" customFormat="false" ht="15" hidden="false" customHeight="true" outlineLevel="0" collapsed="false">
      <c r="A15" s="2" t="n">
        <v>10</v>
      </c>
      <c r="B15" s="2" t="s">
        <v>1099</v>
      </c>
      <c r="C15" s="2" t="s">
        <v>487</v>
      </c>
      <c r="D15" s="110" t="str">
        <f aca="false">Inputs!C51</f>
        <v>Jan-27</v>
      </c>
      <c r="E15" s="2" t="s">
        <v>488</v>
      </c>
      <c r="F15" s="2" t="s">
        <v>1123</v>
      </c>
      <c r="G15" s="2" t="s">
        <v>1124</v>
      </c>
      <c r="H15" s="108"/>
      <c r="I15" s="2" t="s">
        <v>1107</v>
      </c>
    </row>
    <row r="16" customFormat="false" ht="15" hidden="false" customHeight="true" outlineLevel="0" collapsed="false">
      <c r="A16" s="2" t="n">
        <v>11</v>
      </c>
      <c r="B16" s="2" t="s">
        <v>1099</v>
      </c>
      <c r="C16" s="2" t="s">
        <v>498</v>
      </c>
      <c r="D16" s="110" t="str">
        <f aca="false">Inputs!C54</f>
        <v>Jan-27</v>
      </c>
      <c r="E16" s="2" t="s">
        <v>488</v>
      </c>
      <c r="F16" s="2" t="s">
        <v>1125</v>
      </c>
      <c r="G16" s="2" t="s">
        <v>1126</v>
      </c>
      <c r="H16" s="108"/>
      <c r="I16" s="2" t="s">
        <v>1107</v>
      </c>
    </row>
    <row r="17" customFormat="false" ht="15" hidden="false" customHeight="true" outlineLevel="0" collapsed="false">
      <c r="A17" s="2" t="n">
        <v>12</v>
      </c>
      <c r="B17" s="2" t="s">
        <v>1104</v>
      </c>
      <c r="C17" s="2" t="s">
        <v>501</v>
      </c>
      <c r="D17" s="102" t="n">
        <f aca="false">Inputs!C55</f>
        <v>2</v>
      </c>
      <c r="E17" s="2" t="s">
        <v>381</v>
      </c>
      <c r="F17" s="2" t="s">
        <v>1127</v>
      </c>
      <c r="G17" s="2" t="s">
        <v>1128</v>
      </c>
      <c r="H17" s="108"/>
      <c r="I17" s="2" t="s">
        <v>1107</v>
      </c>
    </row>
    <row r="18" customFormat="false" ht="15" hidden="false" customHeight="true" outlineLevel="0" collapsed="false">
      <c r="A18" s="2" t="n">
        <v>13</v>
      </c>
      <c r="B18" s="2" t="s">
        <v>1112</v>
      </c>
      <c r="C18" s="2" t="s">
        <v>506</v>
      </c>
      <c r="D18" s="107" t="n">
        <f aca="false">Inputs!C57</f>
        <v>4</v>
      </c>
      <c r="E18" s="2" t="s">
        <v>26</v>
      </c>
      <c r="F18" s="2" t="s">
        <v>1129</v>
      </c>
      <c r="G18" s="2" t="s">
        <v>1130</v>
      </c>
      <c r="H18" s="108"/>
      <c r="I18" s="2" t="s">
        <v>1107</v>
      </c>
    </row>
    <row r="19" customFormat="false" ht="15" hidden="false" customHeight="true" outlineLevel="0" collapsed="false">
      <c r="A19" s="2" t="n">
        <v>14</v>
      </c>
      <c r="B19" s="2" t="s">
        <v>1112</v>
      </c>
      <c r="C19" s="2" t="s">
        <v>509</v>
      </c>
      <c r="D19" s="107" t="n">
        <f aca="false">Inputs!C58</f>
        <v>12</v>
      </c>
      <c r="E19" s="2" t="s">
        <v>510</v>
      </c>
      <c r="F19" s="2" t="s">
        <v>1131</v>
      </c>
      <c r="G19" s="2" t="s">
        <v>1132</v>
      </c>
      <c r="H19" s="108"/>
      <c r="I19" s="2" t="s">
        <v>1107</v>
      </c>
    </row>
    <row r="20" customFormat="false" ht="15" hidden="false" customHeight="true" outlineLevel="0" collapsed="false">
      <c r="A20" s="2" t="n">
        <v>15</v>
      </c>
      <c r="B20" s="2" t="s">
        <v>1112</v>
      </c>
      <c r="C20" s="2" t="s">
        <v>513</v>
      </c>
      <c r="D20" s="102" t="n">
        <f aca="false">Inputs!C59</f>
        <v>1.33</v>
      </c>
      <c r="E20" s="2" t="s">
        <v>510</v>
      </c>
      <c r="F20" s="2" t="s">
        <v>1133</v>
      </c>
      <c r="G20" s="2" t="s">
        <v>1134</v>
      </c>
      <c r="H20" s="108"/>
      <c r="I20" s="2" t="s">
        <v>1107</v>
      </c>
    </row>
    <row r="21" customFormat="false" ht="15" hidden="false" customHeight="true" outlineLevel="0" collapsed="false">
      <c r="A21" s="2" t="n">
        <v>16</v>
      </c>
      <c r="B21" s="2" t="s">
        <v>1104</v>
      </c>
      <c r="C21" s="2" t="s">
        <v>517</v>
      </c>
      <c r="D21" s="107" t="n">
        <f aca="false">Inputs!C61</f>
        <v>1</v>
      </c>
      <c r="E21" s="2" t="s">
        <v>410</v>
      </c>
      <c r="F21" s="2" t="s">
        <v>1135</v>
      </c>
      <c r="G21" s="2" t="s">
        <v>1136</v>
      </c>
      <c r="H21" s="108"/>
      <c r="I21" s="2" t="s">
        <v>1107</v>
      </c>
    </row>
    <row r="22" customFormat="false" ht="15" hidden="false" customHeight="true" outlineLevel="0" collapsed="false">
      <c r="A22" s="2" t="n">
        <v>17</v>
      </c>
      <c r="B22" s="2" t="s">
        <v>1104</v>
      </c>
      <c r="C22" s="2" t="s">
        <v>520</v>
      </c>
      <c r="D22" s="102" t="n">
        <f aca="false">Inputs!C62</f>
        <v>0.075</v>
      </c>
      <c r="E22" s="2" t="s">
        <v>521</v>
      </c>
      <c r="F22" s="2" t="s">
        <v>1137</v>
      </c>
      <c r="G22" s="2" t="s">
        <v>1138</v>
      </c>
      <c r="H22" s="108"/>
      <c r="I22" s="2" t="s">
        <v>1107</v>
      </c>
    </row>
    <row r="23" customFormat="false" ht="15" hidden="false" customHeight="true" outlineLevel="0" collapsed="false">
      <c r="A23" s="2" t="n">
        <v>18</v>
      </c>
      <c r="B23" s="2" t="s">
        <v>1104</v>
      </c>
      <c r="C23" s="2" t="s">
        <v>524</v>
      </c>
      <c r="D23" s="107" t="n">
        <f aca="false">Inputs!C63</f>
        <v>40</v>
      </c>
      <c r="E23" s="2" t="s">
        <v>43</v>
      </c>
      <c r="F23" s="2" t="s">
        <v>1139</v>
      </c>
      <c r="G23" s="2" t="s">
        <v>1140</v>
      </c>
      <c r="H23" s="108"/>
      <c r="I23" s="2" t="s">
        <v>1107</v>
      </c>
    </row>
    <row r="24" customFormat="false" ht="15" hidden="false" customHeight="true" outlineLevel="0" collapsed="false">
      <c r="A24" s="2" t="n">
        <v>19</v>
      </c>
      <c r="B24" s="2" t="s">
        <v>1104</v>
      </c>
      <c r="C24" s="2" t="s">
        <v>526</v>
      </c>
      <c r="D24" s="107" t="n">
        <f aca="false">Inputs!C64</f>
        <v>30</v>
      </c>
      <c r="E24" s="2" t="s">
        <v>43</v>
      </c>
      <c r="F24" s="2" t="s">
        <v>1139</v>
      </c>
      <c r="G24" s="2" t="s">
        <v>1141</v>
      </c>
      <c r="H24" s="108"/>
      <c r="I24" s="2" t="s">
        <v>1107</v>
      </c>
    </row>
    <row r="25" customFormat="false" ht="15" hidden="false" customHeight="true" outlineLevel="0" collapsed="false">
      <c r="A25" s="2" t="n">
        <v>20</v>
      </c>
      <c r="B25" s="2" t="s">
        <v>1104</v>
      </c>
      <c r="C25" s="2" t="s">
        <v>528</v>
      </c>
      <c r="D25" s="107" t="n">
        <f aca="false">Inputs!C65</f>
        <v>40</v>
      </c>
      <c r="E25" s="2" t="s">
        <v>43</v>
      </c>
      <c r="F25" s="2" t="s">
        <v>1139</v>
      </c>
      <c r="G25" s="2" t="s">
        <v>1142</v>
      </c>
      <c r="H25" s="108"/>
      <c r="I25" s="2" t="s">
        <v>1107</v>
      </c>
    </row>
    <row r="26" customFormat="false" ht="15" hidden="false" customHeight="true" outlineLevel="0" collapsed="false">
      <c r="A26" s="2" t="n">
        <v>21</v>
      </c>
      <c r="B26" s="2" t="s">
        <v>1104</v>
      </c>
      <c r="C26" s="2" t="s">
        <v>530</v>
      </c>
      <c r="D26" s="107" t="n">
        <f aca="false">Inputs!C66</f>
        <v>50</v>
      </c>
      <c r="E26" s="2" t="s">
        <v>43</v>
      </c>
      <c r="F26" s="2" t="s">
        <v>1139</v>
      </c>
      <c r="G26" s="2" t="s">
        <v>1143</v>
      </c>
      <c r="H26" s="108"/>
      <c r="I26" s="2" t="s">
        <v>1107</v>
      </c>
    </row>
    <row r="27" customFormat="false" ht="15" hidden="false" customHeight="true" outlineLevel="0" collapsed="false">
      <c r="A27" s="2" t="n">
        <v>22</v>
      </c>
      <c r="B27" s="2" t="s">
        <v>1104</v>
      </c>
      <c r="C27" s="2" t="s">
        <v>532</v>
      </c>
      <c r="D27" s="102" t="n">
        <f aca="false">Inputs!C67</f>
        <v>0.05</v>
      </c>
      <c r="E27" s="2" t="s">
        <v>533</v>
      </c>
      <c r="F27" s="2" t="s">
        <v>1144</v>
      </c>
      <c r="G27" s="2" t="s">
        <v>1145</v>
      </c>
      <c r="H27" s="108"/>
      <c r="I27" s="2" t="s">
        <v>1107</v>
      </c>
    </row>
    <row r="28" customFormat="false" ht="15" hidden="false" customHeight="true" outlineLevel="0" collapsed="false">
      <c r="A28" s="2" t="n">
        <v>23</v>
      </c>
      <c r="B28" s="2" t="s">
        <v>1104</v>
      </c>
      <c r="C28" s="2" t="s">
        <v>536</v>
      </c>
      <c r="D28" s="107" t="n">
        <f aca="false">Inputs!C68</f>
        <v>10</v>
      </c>
      <c r="E28" s="2" t="s">
        <v>208</v>
      </c>
      <c r="F28" s="2" t="s">
        <v>1146</v>
      </c>
      <c r="G28" s="2" t="s">
        <v>1147</v>
      </c>
      <c r="H28" s="108"/>
      <c r="I28" s="2" t="s">
        <v>1107</v>
      </c>
    </row>
    <row r="29" customFormat="false" ht="15" hidden="false" customHeight="true" outlineLevel="0" collapsed="false">
      <c r="A29" s="2" t="n">
        <v>24</v>
      </c>
      <c r="B29" s="2" t="s">
        <v>1104</v>
      </c>
      <c r="C29" s="2" t="s">
        <v>539</v>
      </c>
      <c r="D29" s="107" t="n">
        <f aca="false">Inputs!C70</f>
        <v>4</v>
      </c>
      <c r="E29" s="2" t="s">
        <v>252</v>
      </c>
      <c r="F29" s="2" t="s">
        <v>1148</v>
      </c>
      <c r="G29" s="2" t="s">
        <v>1149</v>
      </c>
      <c r="H29" s="108"/>
      <c r="I29" s="2" t="s">
        <v>1107</v>
      </c>
    </row>
    <row r="30" customFormat="false" ht="15" hidden="false" customHeight="true" outlineLevel="0" collapsed="false">
      <c r="A30" s="2" t="n">
        <v>25</v>
      </c>
      <c r="B30" s="2" t="s">
        <v>1150</v>
      </c>
      <c r="C30" s="2" t="s">
        <v>546</v>
      </c>
      <c r="D30" s="109" t="n">
        <f aca="false">Inputs!C73</f>
        <v>0.6</v>
      </c>
      <c r="E30" s="2" t="s">
        <v>21</v>
      </c>
      <c r="F30" s="2" t="s">
        <v>1151</v>
      </c>
      <c r="G30" s="2" t="s">
        <v>1152</v>
      </c>
      <c r="H30" s="108"/>
      <c r="I30" s="2" t="s">
        <v>1107</v>
      </c>
    </row>
    <row r="31" customFormat="false" ht="15" hidden="false" customHeight="true" outlineLevel="0" collapsed="false">
      <c r="A31" s="2" t="n">
        <v>26</v>
      </c>
      <c r="B31" s="2" t="s">
        <v>1150</v>
      </c>
      <c r="C31" s="2" t="s">
        <v>549</v>
      </c>
      <c r="D31" s="109" t="n">
        <f aca="false">Inputs!C74</f>
        <v>0.3</v>
      </c>
      <c r="E31" s="2" t="s">
        <v>21</v>
      </c>
      <c r="F31" s="2" t="s">
        <v>1151</v>
      </c>
      <c r="G31" s="2" t="s">
        <v>1153</v>
      </c>
      <c r="H31" s="108"/>
      <c r="I31" s="2" t="s">
        <v>1107</v>
      </c>
    </row>
    <row r="32" customFormat="false" ht="15" hidden="false" customHeight="true" outlineLevel="0" collapsed="false">
      <c r="A32" s="2" t="n">
        <v>27</v>
      </c>
      <c r="B32" s="2" t="s">
        <v>1150</v>
      </c>
      <c r="C32" s="2" t="s">
        <v>552</v>
      </c>
      <c r="D32" s="109" t="n">
        <f aca="false">Inputs!C75</f>
        <v>0.1</v>
      </c>
      <c r="E32" s="2" t="s">
        <v>21</v>
      </c>
      <c r="F32" s="2" t="s">
        <v>1151</v>
      </c>
      <c r="G32" s="2" t="s">
        <v>1154</v>
      </c>
      <c r="H32" s="108"/>
      <c r="I32" s="2" t="s">
        <v>1107</v>
      </c>
    </row>
    <row r="33" customFormat="false" ht="15" hidden="false" customHeight="true" outlineLevel="0" collapsed="false">
      <c r="A33" s="2" t="n">
        <v>28</v>
      </c>
      <c r="B33" s="2" t="s">
        <v>1150</v>
      </c>
      <c r="C33" s="2" t="s">
        <v>554</v>
      </c>
      <c r="D33" s="109" t="n">
        <f aca="false">Inputs!C76</f>
        <v>0.8</v>
      </c>
      <c r="E33" s="2" t="s">
        <v>21</v>
      </c>
      <c r="F33" s="2" t="s">
        <v>1155</v>
      </c>
      <c r="G33" s="2" t="s">
        <v>1156</v>
      </c>
      <c r="H33" s="108"/>
      <c r="I33" s="2" t="s">
        <v>1107</v>
      </c>
    </row>
    <row r="34" customFormat="false" ht="15" hidden="false" customHeight="true" outlineLevel="0" collapsed="false">
      <c r="A34" s="2" t="n">
        <v>29</v>
      </c>
      <c r="B34" s="2" t="s">
        <v>1150</v>
      </c>
      <c r="C34" s="2" t="s">
        <v>557</v>
      </c>
      <c r="D34" s="109" t="n">
        <f aca="false">Inputs!C77</f>
        <v>0.2</v>
      </c>
      <c r="E34" s="2" t="s">
        <v>21</v>
      </c>
      <c r="F34" s="2" t="s">
        <v>1157</v>
      </c>
      <c r="G34" s="2" t="s">
        <v>1158</v>
      </c>
      <c r="H34" s="108"/>
      <c r="I34" s="2" t="s">
        <v>1107</v>
      </c>
    </row>
    <row r="35" customFormat="false" ht="15" hidden="false" customHeight="true" outlineLevel="0" collapsed="false">
      <c r="A35" s="2" t="n">
        <v>30</v>
      </c>
      <c r="B35" s="2" t="s">
        <v>1150</v>
      </c>
      <c r="C35" s="2" t="s">
        <v>560</v>
      </c>
      <c r="D35" s="109" t="n">
        <f aca="false">Inputs!C78</f>
        <v>0.5</v>
      </c>
      <c r="E35" s="2" t="s">
        <v>21</v>
      </c>
      <c r="F35" s="2" t="s">
        <v>1157</v>
      </c>
      <c r="G35" s="2" t="s">
        <v>1159</v>
      </c>
      <c r="H35" s="108"/>
      <c r="I35" s="2" t="s">
        <v>1107</v>
      </c>
    </row>
    <row r="36" customFormat="false" ht="15" hidden="false" customHeight="true" outlineLevel="0" collapsed="false">
      <c r="A36" s="2" t="n">
        <v>31</v>
      </c>
      <c r="B36" s="2" t="s">
        <v>1150</v>
      </c>
      <c r="C36" s="2" t="s">
        <v>562</v>
      </c>
      <c r="D36" s="109" t="n">
        <f aca="false">Inputs!C79</f>
        <v>0.3</v>
      </c>
      <c r="E36" s="2" t="s">
        <v>21</v>
      </c>
      <c r="F36" s="2" t="s">
        <v>1157</v>
      </c>
      <c r="G36" s="2" t="s">
        <v>1160</v>
      </c>
      <c r="H36" s="108"/>
      <c r="I36" s="2" t="s">
        <v>1107</v>
      </c>
    </row>
    <row r="37" customFormat="false" ht="15" hidden="false" customHeight="true" outlineLevel="0" collapsed="false">
      <c r="A37" s="2" t="n">
        <v>32</v>
      </c>
      <c r="B37" s="2" t="s">
        <v>1150</v>
      </c>
      <c r="C37" s="2" t="s">
        <v>564</v>
      </c>
      <c r="D37" s="109" t="n">
        <f aca="false">Inputs!C80</f>
        <v>0.005</v>
      </c>
      <c r="E37" s="2" t="s">
        <v>565</v>
      </c>
      <c r="F37" s="2" t="s">
        <v>1161</v>
      </c>
      <c r="G37" s="2" t="s">
        <v>1162</v>
      </c>
      <c r="H37" s="108"/>
      <c r="I37" s="2" t="s">
        <v>1107</v>
      </c>
    </row>
    <row r="38" customFormat="false" ht="15" hidden="false" customHeight="true" outlineLevel="0" collapsed="false">
      <c r="A38" s="2" t="n">
        <v>33</v>
      </c>
      <c r="B38" s="2" t="s">
        <v>1163</v>
      </c>
      <c r="C38" s="2" t="s">
        <v>569</v>
      </c>
      <c r="D38" s="109" t="n">
        <f aca="false">Inputs!C82</f>
        <v>0.15</v>
      </c>
      <c r="E38" s="2" t="s">
        <v>21</v>
      </c>
      <c r="F38" s="2" t="s">
        <v>1164</v>
      </c>
      <c r="G38" s="2" t="s">
        <v>1165</v>
      </c>
      <c r="H38" s="108"/>
      <c r="I38" s="2" t="s">
        <v>1107</v>
      </c>
    </row>
    <row r="39" customFormat="false" ht="15" hidden="false" customHeight="true" outlineLevel="0" collapsed="false">
      <c r="A39" s="2" t="n">
        <v>34</v>
      </c>
      <c r="B39" s="2" t="s">
        <v>1163</v>
      </c>
      <c r="C39" s="2" t="s">
        <v>572</v>
      </c>
      <c r="D39" s="109" t="n">
        <f aca="false">Inputs!C83</f>
        <v>0.85</v>
      </c>
      <c r="E39" s="2" t="s">
        <v>21</v>
      </c>
      <c r="F39" s="2" t="s">
        <v>1166</v>
      </c>
      <c r="G39" s="2" t="s">
        <v>1167</v>
      </c>
      <c r="H39" s="108"/>
      <c r="I39" s="2" t="s">
        <v>1107</v>
      </c>
    </row>
    <row r="40" customFormat="false" ht="15" hidden="false" customHeight="true" outlineLevel="0" collapsed="false">
      <c r="A40" s="2" t="n">
        <v>35</v>
      </c>
      <c r="B40" s="2" t="s">
        <v>1168</v>
      </c>
      <c r="C40" s="2" t="s">
        <v>579</v>
      </c>
      <c r="D40" s="110" t="str">
        <f aca="false">Inputs!C86</f>
        <v>Jan-27</v>
      </c>
      <c r="E40" s="2" t="s">
        <v>488</v>
      </c>
      <c r="F40" s="2" t="s">
        <v>1169</v>
      </c>
      <c r="G40" s="2" t="s">
        <v>1170</v>
      </c>
      <c r="H40" s="108"/>
      <c r="I40" s="2" t="s">
        <v>1107</v>
      </c>
    </row>
    <row r="41" customFormat="false" ht="15" hidden="false" customHeight="true" outlineLevel="0" collapsed="false">
      <c r="A41" s="2" t="n">
        <v>36</v>
      </c>
      <c r="B41" s="2" t="s">
        <v>1168</v>
      </c>
      <c r="C41" s="2" t="s">
        <v>582</v>
      </c>
      <c r="D41" s="102" t="n">
        <f aca="false">Inputs!C87</f>
        <v>94</v>
      </c>
      <c r="E41" s="2" t="s">
        <v>583</v>
      </c>
      <c r="F41" s="2" t="s">
        <v>1171</v>
      </c>
      <c r="G41" s="2" t="s">
        <v>1172</v>
      </c>
      <c r="H41" s="108"/>
      <c r="I41" s="2" t="s">
        <v>1107</v>
      </c>
    </row>
    <row r="42" customFormat="false" ht="15" hidden="false" customHeight="true" outlineLevel="0" collapsed="false">
      <c r="A42" s="2" t="n">
        <v>37</v>
      </c>
      <c r="B42" s="2" t="s">
        <v>1168</v>
      </c>
      <c r="C42" s="2" t="s">
        <v>586</v>
      </c>
      <c r="D42" s="102" t="n">
        <f aca="false">Inputs!C88</f>
        <v>24</v>
      </c>
      <c r="E42" s="2" t="s">
        <v>373</v>
      </c>
      <c r="F42" s="2" t="s">
        <v>1173</v>
      </c>
      <c r="G42" s="2" t="s">
        <v>1174</v>
      </c>
      <c r="H42" s="108"/>
      <c r="I42" s="2" t="s">
        <v>1107</v>
      </c>
    </row>
    <row r="43" customFormat="false" ht="15" hidden="false" customHeight="true" outlineLevel="0" collapsed="false">
      <c r="A43" s="2" t="n">
        <v>38</v>
      </c>
      <c r="B43" s="2" t="s">
        <v>1168</v>
      </c>
      <c r="C43" s="2" t="s">
        <v>589</v>
      </c>
      <c r="D43" s="102" t="n">
        <f aca="false">Inputs!C89</f>
        <v>45</v>
      </c>
      <c r="E43" s="2" t="s">
        <v>590</v>
      </c>
      <c r="F43" s="2" t="s">
        <v>1175</v>
      </c>
      <c r="G43" s="2" t="s">
        <v>1176</v>
      </c>
      <c r="H43" s="108"/>
      <c r="I43" s="2" t="s">
        <v>1107</v>
      </c>
    </row>
    <row r="44" customFormat="false" ht="15" hidden="false" customHeight="true" outlineLevel="0" collapsed="false">
      <c r="A44" s="2" t="n">
        <v>39</v>
      </c>
      <c r="B44" s="2" t="s">
        <v>1168</v>
      </c>
      <c r="C44" s="2" t="s">
        <v>593</v>
      </c>
      <c r="D44" s="102" t="n">
        <f aca="false">Inputs!C90</f>
        <v>55</v>
      </c>
      <c r="E44" s="2" t="s">
        <v>590</v>
      </c>
      <c r="F44" s="2" t="s">
        <v>1177</v>
      </c>
      <c r="G44" s="2" t="s">
        <v>1178</v>
      </c>
      <c r="H44" s="108"/>
      <c r="I44" s="2" t="s">
        <v>1107</v>
      </c>
    </row>
    <row r="45" customFormat="false" ht="15" hidden="false" customHeight="true" outlineLevel="0" collapsed="false">
      <c r="A45" s="2" t="n">
        <v>40</v>
      </c>
      <c r="B45" s="2" t="s">
        <v>1168</v>
      </c>
      <c r="C45" s="2" t="s">
        <v>596</v>
      </c>
      <c r="D45" s="109" t="n">
        <f aca="false">Inputs!C91</f>
        <v>0.25</v>
      </c>
      <c r="E45" s="2" t="s">
        <v>21</v>
      </c>
      <c r="F45" s="2" t="s">
        <v>1179</v>
      </c>
      <c r="G45" s="2" t="s">
        <v>1180</v>
      </c>
      <c r="H45" s="108"/>
      <c r="I45" s="2" t="s">
        <v>1107</v>
      </c>
    </row>
    <row r="46" customFormat="false" ht="15" hidden="false" customHeight="true" outlineLevel="0" collapsed="false">
      <c r="A46" s="2" t="n">
        <v>41</v>
      </c>
      <c r="B46" s="2" t="s">
        <v>1168</v>
      </c>
      <c r="C46" s="2" t="s">
        <v>599</v>
      </c>
      <c r="D46" s="102" t="n">
        <f aca="false">Inputs!C92</f>
        <v>0.15</v>
      </c>
      <c r="E46" s="2" t="s">
        <v>415</v>
      </c>
      <c r="F46" s="2" t="s">
        <v>1181</v>
      </c>
      <c r="G46" s="2" t="s">
        <v>1182</v>
      </c>
      <c r="H46" s="108"/>
      <c r="I46" s="2" t="s">
        <v>1107</v>
      </c>
    </row>
    <row r="47" customFormat="false" ht="15" hidden="false" customHeight="true" outlineLevel="0" collapsed="false">
      <c r="A47" s="2" t="n">
        <v>42</v>
      </c>
      <c r="B47" s="2" t="s">
        <v>1168</v>
      </c>
      <c r="C47" s="2" t="s">
        <v>607</v>
      </c>
      <c r="D47" s="107" t="n">
        <f aca="false">Inputs!C95</f>
        <v>1</v>
      </c>
      <c r="E47" s="2" t="s">
        <v>410</v>
      </c>
      <c r="F47" s="2" t="s">
        <v>1183</v>
      </c>
      <c r="G47" s="2" t="s">
        <v>1184</v>
      </c>
      <c r="H47" s="108"/>
      <c r="I47" s="2" t="s">
        <v>1107</v>
      </c>
    </row>
    <row r="48" customFormat="false" ht="15" hidden="false" customHeight="true" outlineLevel="0" collapsed="false">
      <c r="A48" s="2" t="n">
        <v>43</v>
      </c>
      <c r="B48" s="2" t="s">
        <v>1168</v>
      </c>
      <c r="C48" s="2" t="s">
        <v>613</v>
      </c>
      <c r="D48" s="109" t="n">
        <f aca="false">Inputs!C97</f>
        <v>0.3</v>
      </c>
      <c r="E48" s="2" t="s">
        <v>21</v>
      </c>
      <c r="F48" s="2" t="s">
        <v>1185</v>
      </c>
      <c r="G48" s="2" t="s">
        <v>1186</v>
      </c>
      <c r="H48" s="108"/>
      <c r="I48" s="2" t="s">
        <v>1107</v>
      </c>
    </row>
    <row r="49" customFormat="false" ht="15" hidden="false" customHeight="true" outlineLevel="0" collapsed="false">
      <c r="A49" s="2" t="n">
        <v>44</v>
      </c>
      <c r="B49" s="2" t="s">
        <v>1168</v>
      </c>
      <c r="C49" s="2" t="s">
        <v>616</v>
      </c>
      <c r="D49" s="109" t="n">
        <f aca="false">Inputs!C98</f>
        <v>1</v>
      </c>
      <c r="E49" s="2" t="s">
        <v>21</v>
      </c>
      <c r="F49" s="2" t="s">
        <v>1187</v>
      </c>
      <c r="G49" s="2" t="s">
        <v>1188</v>
      </c>
      <c r="H49" s="108"/>
      <c r="I49" s="2" t="s">
        <v>1107</v>
      </c>
    </row>
    <row r="50" customFormat="false" ht="15" hidden="false" customHeight="true" outlineLevel="0" collapsed="false">
      <c r="A50" s="2" t="n">
        <v>45</v>
      </c>
      <c r="B50" s="2" t="s">
        <v>1150</v>
      </c>
      <c r="C50" s="2" t="s">
        <v>1189</v>
      </c>
      <c r="D50" s="2" t="s">
        <v>1190</v>
      </c>
      <c r="E50" s="2"/>
      <c r="F50" s="2" t="s">
        <v>1191</v>
      </c>
      <c r="G50" s="2" t="s">
        <v>1192</v>
      </c>
      <c r="H50" s="108"/>
      <c r="I50" s="2" t="s">
        <v>1107</v>
      </c>
    </row>
    <row r="51" customFormat="false" ht="15" hidden="false" customHeight="true" outlineLevel="0" collapsed="false">
      <c r="A51" s="2" t="n">
        <v>46</v>
      </c>
      <c r="B51" s="2" t="s">
        <v>1193</v>
      </c>
      <c r="C51" s="2" t="s">
        <v>1194</v>
      </c>
      <c r="D51" s="2" t="s">
        <v>1195</v>
      </c>
      <c r="E51" s="2"/>
      <c r="F51" s="2" t="s">
        <v>1196</v>
      </c>
      <c r="G51" s="2" t="s">
        <v>1197</v>
      </c>
      <c r="H51" s="108"/>
      <c r="I51" s="2" t="s">
        <v>1107</v>
      </c>
    </row>
    <row r="52" customFormat="false" ht="15" hidden="false" customHeight="true" outlineLevel="0" collapsed="false">
      <c r="A52" s="2" t="n">
        <v>47</v>
      </c>
      <c r="B52" s="2" t="s">
        <v>1193</v>
      </c>
      <c r="C52" s="2" t="s">
        <v>1198</v>
      </c>
      <c r="D52" s="2" t="s">
        <v>1199</v>
      </c>
      <c r="E52" s="2"/>
      <c r="F52" s="2" t="s">
        <v>1200</v>
      </c>
      <c r="G52" s="2" t="s">
        <v>1201</v>
      </c>
      <c r="H52" s="108"/>
      <c r="I52" s="2" t="s">
        <v>1107</v>
      </c>
    </row>
    <row r="53" customFormat="false" ht="15" hidden="false" customHeight="true" outlineLevel="0" collapsed="false">
      <c r="A53" s="2" t="n">
        <v>48</v>
      </c>
      <c r="B53" s="2" t="s">
        <v>1168</v>
      </c>
      <c r="C53" s="2" t="s">
        <v>1202</v>
      </c>
      <c r="D53" s="2" t="s">
        <v>1203</v>
      </c>
      <c r="E53" s="2"/>
      <c r="F53" s="2" t="s">
        <v>1204</v>
      </c>
      <c r="G53" s="2" t="s">
        <v>1205</v>
      </c>
      <c r="H53" s="108"/>
      <c r="I53" s="2" t="s">
        <v>1107</v>
      </c>
    </row>
    <row r="54" customFormat="false" ht="15" hidden="false" customHeight="true" outlineLevel="0" collapsed="false">
      <c r="A54" s="2" t="n">
        <v>49</v>
      </c>
      <c r="B54" s="2" t="s">
        <v>1168</v>
      </c>
      <c r="C54" s="2" t="s">
        <v>1206</v>
      </c>
      <c r="D54" s="2" t="s">
        <v>1207</v>
      </c>
      <c r="E54" s="2"/>
      <c r="F54" s="2" t="s">
        <v>1208</v>
      </c>
      <c r="G54" s="2" t="s">
        <v>1209</v>
      </c>
      <c r="H54" s="108"/>
      <c r="I54" s="2" t="s">
        <v>1107</v>
      </c>
    </row>
    <row r="55" customFormat="false" ht="15" hidden="false" customHeight="true" outlineLevel="0" collapsed="false">
      <c r="A55" s="2" t="n">
        <v>50</v>
      </c>
      <c r="B55" s="2" t="s">
        <v>1193</v>
      </c>
      <c r="C55" s="2" t="s">
        <v>1210</v>
      </c>
      <c r="D55" s="2" t="s">
        <v>1211</v>
      </c>
      <c r="E55" s="2"/>
      <c r="F55" s="2" t="s">
        <v>1212</v>
      </c>
      <c r="G55" s="2" t="s">
        <v>1197</v>
      </c>
      <c r="H55" s="108"/>
      <c r="I55" s="2" t="s">
        <v>1107</v>
      </c>
    </row>
    <row r="56" customFormat="false" ht="15" hidden="false" customHeight="false" outlineLevel="0" collapsed="false">
      <c r="A56" s="2" t="n">
        <v>51</v>
      </c>
      <c r="B56" s="2" t="s">
        <v>1213</v>
      </c>
      <c r="C56" s="2" t="s">
        <v>623</v>
      </c>
      <c r="D56" s="2" t="str">
        <f aca="false">Inputs!C102</f>
        <v>Mar-27</v>
      </c>
      <c r="E56" s="2"/>
      <c r="F56" s="2" t="s">
        <v>1214</v>
      </c>
      <c r="G56" s="2" t="s">
        <v>1215</v>
      </c>
      <c r="H56" s="108"/>
      <c r="I56" s="2" t="s">
        <v>1107</v>
      </c>
    </row>
    <row r="57" customFormat="false" ht="15" hidden="false" customHeight="false" outlineLevel="0" collapsed="false">
      <c r="A57" s="2" t="n">
        <v>52</v>
      </c>
      <c r="B57" s="2" t="s">
        <v>1216</v>
      </c>
      <c r="C57" s="2" t="s">
        <v>634</v>
      </c>
      <c r="D57" s="16" t="n">
        <f aca="false">Inputs!C106</f>
        <v>0.18</v>
      </c>
      <c r="E57" s="2"/>
      <c r="F57" s="2" t="s">
        <v>1217</v>
      </c>
      <c r="G57" s="2" t="s">
        <v>1218</v>
      </c>
      <c r="H57" s="108"/>
      <c r="I57" s="2" t="s">
        <v>1107</v>
      </c>
    </row>
    <row r="58" customFormat="false" ht="15" hidden="false" customHeight="false" outlineLevel="0" collapsed="false">
      <c r="A58" s="2" t="n">
        <v>53</v>
      </c>
      <c r="B58" s="2" t="s">
        <v>1216</v>
      </c>
      <c r="C58" s="2" t="s">
        <v>1219</v>
      </c>
      <c r="D58" s="57" t="n">
        <f aca="false">Inputs!C124</f>
        <v>6</v>
      </c>
      <c r="E58" s="2"/>
      <c r="F58" s="2" t="s">
        <v>1220</v>
      </c>
      <c r="G58" s="2" t="s">
        <v>1221</v>
      </c>
      <c r="H58" s="108"/>
      <c r="I58" s="2" t="s">
        <v>1107</v>
      </c>
    </row>
    <row r="59" customFormat="false" ht="15" hidden="false" customHeight="false" outlineLevel="0" collapsed="false">
      <c r="A59" s="2" t="n">
        <v>54</v>
      </c>
      <c r="B59" s="2" t="s">
        <v>1222</v>
      </c>
      <c r="C59" s="2" t="s">
        <v>1223</v>
      </c>
      <c r="D59" s="2" t="str">
        <f aca="false">Inputs!C107</f>
        <v>Feb-27</v>
      </c>
      <c r="E59" s="2"/>
      <c r="F59" s="2" t="s">
        <v>1224</v>
      </c>
      <c r="G59" s="2" t="s">
        <v>1225</v>
      </c>
      <c r="H59" s="108"/>
      <c r="I59" s="2" t="s">
        <v>1107</v>
      </c>
    </row>
    <row r="60" customFormat="false" ht="15" hidden="false" customHeight="false" outlineLevel="0" collapsed="false">
      <c r="A60" s="2" t="n">
        <v>55</v>
      </c>
      <c r="B60" s="2" t="s">
        <v>1222</v>
      </c>
      <c r="C60" s="2" t="s">
        <v>1226</v>
      </c>
      <c r="D60" s="57" t="n">
        <f aca="false">Inputs!C109</f>
        <v>8</v>
      </c>
      <c r="E60" s="2"/>
      <c r="F60" s="2" t="s">
        <v>1227</v>
      </c>
      <c r="G60" s="2" t="s">
        <v>1228</v>
      </c>
      <c r="H60" s="108"/>
      <c r="I60" s="2" t="s">
        <v>1107</v>
      </c>
    </row>
    <row r="61" customFormat="false" ht="15" hidden="false" customHeight="false" outlineLevel="0" collapsed="false">
      <c r="A61" s="2" t="n">
        <v>56</v>
      </c>
      <c r="B61" s="2" t="s">
        <v>1222</v>
      </c>
      <c r="C61" s="2" t="s">
        <v>1229</v>
      </c>
      <c r="D61" s="53" t="n">
        <f aca="false">Inputs!C112</f>
        <v>1</v>
      </c>
      <c r="E61" s="2"/>
      <c r="F61" s="2" t="s">
        <v>1230</v>
      </c>
      <c r="G61" s="2" t="s">
        <v>1231</v>
      </c>
      <c r="H61" s="108"/>
      <c r="I61" s="2" t="s">
        <v>1107</v>
      </c>
    </row>
    <row r="62" customFormat="false" ht="15" hidden="false" customHeight="false" outlineLevel="0" collapsed="false">
      <c r="A62" s="2" t="n">
        <v>57</v>
      </c>
      <c r="B62" s="2" t="s">
        <v>1232</v>
      </c>
      <c r="C62" s="2" t="s">
        <v>1233</v>
      </c>
      <c r="D62" s="57" t="n">
        <f aca="false">Inputs!C114</f>
        <v>2</v>
      </c>
      <c r="E62" s="2"/>
      <c r="F62" s="2" t="s">
        <v>1234</v>
      </c>
      <c r="G62" s="2" t="s">
        <v>1235</v>
      </c>
      <c r="H62" s="108"/>
      <c r="I62" s="2" t="s">
        <v>1107</v>
      </c>
    </row>
    <row r="63" customFormat="false" ht="15" hidden="false" customHeight="false" outlineLevel="0" collapsed="false">
      <c r="A63" s="2" t="n">
        <v>58</v>
      </c>
      <c r="B63" s="2" t="s">
        <v>1232</v>
      </c>
      <c r="C63" s="2" t="s">
        <v>1236</v>
      </c>
      <c r="D63" s="2" t="n">
        <f aca="false">Roadmap!B8</f>
        <v>14</v>
      </c>
      <c r="E63" s="2"/>
      <c r="F63" s="2" t="s">
        <v>1237</v>
      </c>
      <c r="G63" s="2" t="s">
        <v>1238</v>
      </c>
      <c r="H63" s="108"/>
      <c r="I63" s="2" t="s">
        <v>1107</v>
      </c>
    </row>
    <row r="64" customFormat="false" ht="15" hidden="false" customHeight="false" outlineLevel="0" collapsed="false">
      <c r="A64" s="2" t="n">
        <v>59</v>
      </c>
      <c r="B64" s="2" t="s">
        <v>1232</v>
      </c>
      <c r="C64" s="2" t="s">
        <v>1239</v>
      </c>
      <c r="D64" s="16" t="n">
        <f aca="false">Inputs!C117</f>
        <v>0</v>
      </c>
      <c r="E64" s="2"/>
      <c r="F64" s="2" t="s">
        <v>1240</v>
      </c>
      <c r="G64" s="2" t="s">
        <v>1241</v>
      </c>
      <c r="H64" s="108"/>
      <c r="I64" s="2" t="s">
        <v>1107</v>
      </c>
    </row>
    <row r="65" customFormat="false" ht="15" hidden="false" customHeight="false" outlineLevel="0" collapsed="false">
      <c r="A65" s="2" t="n">
        <v>60</v>
      </c>
      <c r="B65" s="2" t="s">
        <v>1242</v>
      </c>
      <c r="C65" s="2" t="s">
        <v>1243</v>
      </c>
      <c r="D65" s="16" t="n">
        <f aca="false">B2C!C6</f>
        <v>0.15</v>
      </c>
      <c r="E65" s="2"/>
      <c r="F65" s="2" t="s">
        <v>1244</v>
      </c>
      <c r="G65" s="2" t="s">
        <v>1245</v>
      </c>
      <c r="H65" s="108"/>
      <c r="I65" s="2" t="s">
        <v>1107</v>
      </c>
    </row>
    <row r="66" customFormat="false" ht="15" hidden="false" customHeight="false" outlineLevel="0" collapsed="false">
      <c r="A66" s="2" t="n">
        <v>61</v>
      </c>
      <c r="B66" s="2" t="s">
        <v>1242</v>
      </c>
      <c r="C66" s="2" t="s">
        <v>1246</v>
      </c>
      <c r="D66" s="55" t="n">
        <f aca="false">B2C!C10</f>
        <v>3439</v>
      </c>
      <c r="E66" s="2"/>
      <c r="F66" s="2" t="s">
        <v>1247</v>
      </c>
      <c r="G66" s="2" t="s">
        <v>1248</v>
      </c>
      <c r="H66" s="108"/>
      <c r="I66" s="2" t="s">
        <v>1107</v>
      </c>
    </row>
    <row r="67" customFormat="false" ht="15" hidden="false" customHeight="false" outlineLevel="0" collapsed="false">
      <c r="A67" s="2" t="n">
        <v>62</v>
      </c>
      <c r="B67" s="2" t="s">
        <v>1249</v>
      </c>
      <c r="C67" s="2" t="s">
        <v>1250</v>
      </c>
      <c r="D67" s="16" t="n">
        <f aca="false">B2C_Pricing!E5</f>
        <v>0.3</v>
      </c>
      <c r="E67" s="2"/>
      <c r="F67" s="2" t="s">
        <v>1251</v>
      </c>
      <c r="G67" s="2" t="s">
        <v>1252</v>
      </c>
      <c r="H67" s="108"/>
      <c r="I67" s="2" t="s">
        <v>1107</v>
      </c>
    </row>
    <row r="68" customFormat="false" ht="15" hidden="false" customHeight="false" outlineLevel="0" collapsed="false">
      <c r="A68" s="2" t="n">
        <v>63</v>
      </c>
      <c r="B68" s="2" t="s">
        <v>1249</v>
      </c>
      <c r="C68" s="2" t="s">
        <v>1253</v>
      </c>
      <c r="D68" s="111" t="n">
        <f aca="false">B2C_Pricing!B12</f>
        <v>0.05</v>
      </c>
      <c r="E68" s="2"/>
      <c r="F68" s="2" t="s">
        <v>1254</v>
      </c>
      <c r="G68" s="2" t="s">
        <v>1255</v>
      </c>
      <c r="H68" s="108"/>
      <c r="I68" s="2" t="s">
        <v>1107</v>
      </c>
    </row>
    <row r="69" customFormat="false" ht="15" hidden="false" customHeight="false" outlineLevel="0" collapsed="false">
      <c r="A69" s="2" t="n">
        <v>64</v>
      </c>
      <c r="B69" s="2" t="s">
        <v>1249</v>
      </c>
      <c r="C69" s="2" t="s">
        <v>1256</v>
      </c>
      <c r="D69" s="111" t="n">
        <f aca="false">Inputs!C137</f>
        <v>4.144</v>
      </c>
      <c r="E69" s="2"/>
      <c r="F69" s="2" t="s">
        <v>1257</v>
      </c>
      <c r="G69" s="2" t="s">
        <v>1258</v>
      </c>
      <c r="H69" s="108"/>
      <c r="I69" s="2" t="s">
        <v>1107</v>
      </c>
    </row>
    <row r="70" customFormat="false" ht="15" hidden="false" customHeight="false" outlineLevel="0" collapsed="false">
      <c r="A70" s="2" t="n">
        <v>65</v>
      </c>
      <c r="B70" s="2" t="s">
        <v>1259</v>
      </c>
      <c r="C70" s="2" t="s">
        <v>1260</v>
      </c>
      <c r="D70" s="16" t="n">
        <f aca="false">Channels!E5</f>
        <v>0.25</v>
      </c>
      <c r="E70" s="2"/>
      <c r="F70" s="2" t="s">
        <v>1261</v>
      </c>
      <c r="G70" s="2" t="s">
        <v>1262</v>
      </c>
      <c r="H70" s="108"/>
      <c r="I70" s="2" t="s">
        <v>1107</v>
      </c>
    </row>
    <row r="71" customFormat="false" ht="15" hidden="false" customHeight="false" outlineLevel="0" collapsed="false">
      <c r="A71" s="2" t="n">
        <v>66</v>
      </c>
      <c r="B71" s="2" t="s">
        <v>1259</v>
      </c>
      <c r="C71" s="2" t="s">
        <v>1263</v>
      </c>
      <c r="D71" s="53" t="n">
        <f aca="false">Channels!E15</f>
        <v>0</v>
      </c>
      <c r="E71" s="2"/>
      <c r="F71" s="2" t="s">
        <v>1264</v>
      </c>
      <c r="G71" s="2" t="s">
        <v>1265</v>
      </c>
      <c r="H71" s="108"/>
      <c r="I71" s="2" t="s">
        <v>1107</v>
      </c>
    </row>
    <row r="72" customFormat="false" ht="15" hidden="false" customHeight="false" outlineLevel="0" collapsed="false">
      <c r="A72" s="2" t="n">
        <v>67</v>
      </c>
      <c r="B72" s="2" t="s">
        <v>1259</v>
      </c>
      <c r="C72" s="2" t="s">
        <v>1266</v>
      </c>
      <c r="D72" s="16" t="n">
        <f aca="false">Inputs!C145</f>
        <v>0.4</v>
      </c>
      <c r="E72" s="2"/>
      <c r="F72" s="2" t="s">
        <v>1267</v>
      </c>
      <c r="G72" s="2" t="s">
        <v>1268</v>
      </c>
      <c r="H72" s="108"/>
      <c r="I72" s="2" t="s">
        <v>1107</v>
      </c>
    </row>
    <row r="73" customFormat="false" ht="15" hidden="false" customHeight="false" outlineLevel="0" collapsed="false">
      <c r="A73" s="2" t="n">
        <v>68</v>
      </c>
      <c r="B73" s="2" t="s">
        <v>1259</v>
      </c>
      <c r="C73" s="2" t="s">
        <v>1269</v>
      </c>
      <c r="D73" s="16" t="n">
        <f aca="false">Inputs!C151</f>
        <v>0.25</v>
      </c>
      <c r="E73" s="2"/>
      <c r="F73" s="2" t="s">
        <v>1270</v>
      </c>
      <c r="G73" s="2" t="s">
        <v>1271</v>
      </c>
      <c r="H73" s="108"/>
      <c r="I73" s="2" t="s">
        <v>1107</v>
      </c>
    </row>
    <row r="74" customFormat="false" ht="15" hidden="false" customHeight="false" outlineLevel="0" collapsed="false">
      <c r="A74" s="2" t="n">
        <v>69</v>
      </c>
      <c r="B74" s="2" t="s">
        <v>1259</v>
      </c>
      <c r="C74" s="2" t="s">
        <v>1272</v>
      </c>
      <c r="D74" s="53" t="n">
        <f aca="false">Inputs!C152</f>
        <v>1</v>
      </c>
      <c r="E74" s="2"/>
      <c r="F74" s="2" t="s">
        <v>1273</v>
      </c>
      <c r="G74" s="2" t="s">
        <v>1274</v>
      </c>
      <c r="H74" s="108"/>
      <c r="I74" s="2" t="s">
        <v>1107</v>
      </c>
    </row>
    <row r="75" customFormat="false" ht="15" hidden="false" customHeight="false" outlineLevel="0" collapsed="false">
      <c r="A75" s="2" t="n">
        <v>70</v>
      </c>
      <c r="B75" s="2" t="s">
        <v>1275</v>
      </c>
      <c r="C75" s="2" t="s">
        <v>1276</v>
      </c>
      <c r="D75" s="2" t="str">
        <f aca="false">Inputs!C153</f>
        <v>Jul-27</v>
      </c>
      <c r="E75" s="2"/>
      <c r="F75" s="2" t="s">
        <v>1277</v>
      </c>
      <c r="G75" s="2" t="s">
        <v>1278</v>
      </c>
      <c r="H75" s="108"/>
      <c r="I75" s="2" t="s">
        <v>1107</v>
      </c>
    </row>
    <row r="76" customFormat="false" ht="15" hidden="false" customHeight="false" outlineLevel="0" collapsed="false">
      <c r="A76" s="2" t="n">
        <v>71</v>
      </c>
      <c r="B76" s="2" t="s">
        <v>1279</v>
      </c>
      <c r="C76" s="2" t="s">
        <v>1280</v>
      </c>
      <c r="D76" s="111" t="n">
        <f aca="false">Inputs!C155</f>
        <v>0.3</v>
      </c>
      <c r="E76" s="2"/>
      <c r="F76" s="2" t="s">
        <v>1281</v>
      </c>
      <c r="G76" s="2" t="s">
        <v>1282</v>
      </c>
      <c r="H76" s="108"/>
      <c r="I76" s="2" t="s">
        <v>1107</v>
      </c>
    </row>
    <row r="77" customFormat="false" ht="15" hidden="false" customHeight="false" outlineLevel="0" collapsed="false">
      <c r="A77" s="2" t="n">
        <v>72</v>
      </c>
      <c r="B77" s="2" t="s">
        <v>1279</v>
      </c>
      <c r="C77" s="2" t="s">
        <v>1283</v>
      </c>
      <c r="D77" s="53" t="n">
        <f aca="false">Channels!E16</f>
        <v>0</v>
      </c>
      <c r="E77" s="2"/>
      <c r="F77" s="2" t="s">
        <v>1284</v>
      </c>
      <c r="G77" s="2" t="s">
        <v>1285</v>
      </c>
      <c r="H77" s="108"/>
      <c r="I77" s="2" t="s">
        <v>1107</v>
      </c>
    </row>
    <row r="78" customFormat="false" ht="15" hidden="false" customHeight="false" outlineLevel="0" collapsed="false">
      <c r="A78" s="2" t="n">
        <v>73</v>
      </c>
      <c r="B78" s="2" t="s">
        <v>1286</v>
      </c>
      <c r="C78" s="2" t="s">
        <v>1287</v>
      </c>
      <c r="D78" s="9" t="n">
        <f aca="false">Inputs!C80</f>
        <v>0.005</v>
      </c>
      <c r="E78" s="2"/>
      <c r="F78" s="2" t="s">
        <v>1288</v>
      </c>
      <c r="G78" s="2" t="s">
        <v>1162</v>
      </c>
      <c r="H78" s="108"/>
      <c r="I78" s="2" t="s">
        <v>1107</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2026-10-04T15:16:12Z</dcterms:created>
  <dc:creator>openpyxl</dc:creator>
  <dc:description/>
  <dc:language>en-US</dc:language>
  <cp:lastModifiedBy>Galih Muji Agung</cp:lastModifiedBy>
  <dcterms:modified xsi:type="dcterms:W3CDTF">2026-10-16T12:12:26Z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