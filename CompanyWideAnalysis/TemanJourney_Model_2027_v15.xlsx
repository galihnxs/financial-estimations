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alihmujiagung/Library/Containers/com.microsoft.Excel/Data/Documents/"/>
    </mc:Choice>
  </mc:AlternateContent>
  <xr:revisionPtr revIDLastSave="0" documentId="13_ncr:1_{AB759147-4077-7A42-B721-E45E5BE350CC}" xr6:coauthVersionLast="47" xr6:coauthVersionMax="47" xr10:uidLastSave="{00000000-0000-0000-0000-000000000000}"/>
  <bookViews>
    <workbookView xWindow="0" yWindow="780" windowWidth="16380" windowHeight="8200" tabRatio="500" xr2:uid="{00000000-000D-0000-FFFF-FFFF00000000}"/>
  </bookViews>
  <sheets>
    <sheet name="Summary" sheetId="1" r:id="rId1"/>
    <sheet name="Outlook" sheetId="2" r:id="rId2"/>
    <sheet name="Roadmap" sheetId="3" r:id="rId3"/>
    <sheet name="B2C" sheetId="4" r:id="rId4"/>
    <sheet name="Inputs" sheetId="5" r:id="rId5"/>
    <sheet name="Pay_Plan" sheetId="6" r:id="rId6"/>
    <sheet name="Volume" sheetId="7" r:id="rId7"/>
    <sheet name="Unit_Economics" sheetId="8" r:id="rId8"/>
    <sheet name="Rate_Card" sheetId="9" r:id="rId9"/>
    <sheet name="Capacity_OPEX" sheetId="10" r:id="rId10"/>
    <sheet name="PnL" sheetId="11" r:id="rId11"/>
    <sheet name="CashFlow" sheetId="12" r:id="rId12"/>
    <sheet name="To_Fill"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13" l="1"/>
  <c r="D65" i="13"/>
  <c r="D64" i="13"/>
  <c r="D63" i="13"/>
  <c r="D62" i="13"/>
  <c r="D61" i="13"/>
  <c r="D60" i="13"/>
  <c r="D59" i="13"/>
  <c r="D58" i="13"/>
  <c r="D57" i="13"/>
  <c r="D56"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E20" i="12"/>
  <c r="C20" i="12"/>
  <c r="E16" i="12"/>
  <c r="S39" i="10"/>
  <c r="R39" i="10"/>
  <c r="Q39" i="10"/>
  <c r="P39" i="10"/>
  <c r="O39" i="10"/>
  <c r="N39" i="10"/>
  <c r="M39" i="10"/>
  <c r="L39" i="10"/>
  <c r="K39" i="10"/>
  <c r="J39" i="10"/>
  <c r="I39" i="10"/>
  <c r="H39" i="10"/>
  <c r="G39" i="10"/>
  <c r="F39" i="10"/>
  <c r="E39" i="10"/>
  <c r="C39" i="10" s="1"/>
  <c r="D39" i="10"/>
  <c r="S35" i="10"/>
  <c r="R35" i="10"/>
  <c r="Q35" i="10"/>
  <c r="P35" i="10"/>
  <c r="O35" i="10"/>
  <c r="N35" i="10"/>
  <c r="M35" i="10"/>
  <c r="L35" i="10"/>
  <c r="K35" i="10"/>
  <c r="J35" i="10"/>
  <c r="I35" i="10"/>
  <c r="H35" i="10"/>
  <c r="G35" i="10"/>
  <c r="F35" i="10"/>
  <c r="E35" i="10"/>
  <c r="S28" i="10"/>
  <c r="R28" i="10"/>
  <c r="Q28" i="10"/>
  <c r="P28" i="10"/>
  <c r="O28" i="10"/>
  <c r="N28" i="10"/>
  <c r="M28" i="10"/>
  <c r="L28" i="10"/>
  <c r="K28" i="10"/>
  <c r="J28" i="10"/>
  <c r="I28" i="10"/>
  <c r="H28" i="10"/>
  <c r="G28" i="10"/>
  <c r="F28" i="10"/>
  <c r="E28" i="10"/>
  <c r="C28" i="10"/>
  <c r="S25" i="10"/>
  <c r="R25" i="10"/>
  <c r="Q25" i="10"/>
  <c r="P25" i="10"/>
  <c r="O25" i="10"/>
  <c r="N25" i="10"/>
  <c r="M25" i="10"/>
  <c r="L25" i="10"/>
  <c r="K25" i="10"/>
  <c r="J25" i="10"/>
  <c r="I25" i="10"/>
  <c r="H25" i="10"/>
  <c r="G25" i="10"/>
  <c r="F25" i="10"/>
  <c r="E25" i="10"/>
  <c r="D25" i="10"/>
  <c r="C25" i="10"/>
  <c r="S24" i="10"/>
  <c r="S22" i="6" s="1"/>
  <c r="R24" i="10"/>
  <c r="R22" i="6" s="1"/>
  <c r="Q24" i="10"/>
  <c r="Q22" i="6" s="1"/>
  <c r="P24" i="10"/>
  <c r="P22" i="6" s="1"/>
  <c r="O24" i="10"/>
  <c r="O22" i="6" s="1"/>
  <c r="N24" i="10"/>
  <c r="N22" i="6" s="1"/>
  <c r="M24" i="10"/>
  <c r="M22" i="6" s="1"/>
  <c r="L24" i="10"/>
  <c r="L22" i="6" s="1"/>
  <c r="K24" i="10"/>
  <c r="K22" i="6" s="1"/>
  <c r="J24" i="10"/>
  <c r="J22" i="6" s="1"/>
  <c r="I24" i="10"/>
  <c r="I22" i="6" s="1"/>
  <c r="H24" i="10"/>
  <c r="H22" i="6" s="1"/>
  <c r="D22" i="6" s="1"/>
  <c r="G24" i="10"/>
  <c r="G22" i="6" s="1"/>
  <c r="F24" i="10"/>
  <c r="F22" i="6" s="1"/>
  <c r="E24" i="10"/>
  <c r="E22" i="6" s="1"/>
  <c r="C22" i="6" s="1"/>
  <c r="C24" i="10"/>
  <c r="S23" i="10"/>
  <c r="R23" i="10"/>
  <c r="Q23" i="10"/>
  <c r="P23" i="10"/>
  <c r="O23" i="10"/>
  <c r="N23" i="10"/>
  <c r="M23" i="10"/>
  <c r="L23" i="10"/>
  <c r="K23" i="10"/>
  <c r="J23" i="10"/>
  <c r="I23" i="10"/>
  <c r="H23" i="10"/>
  <c r="G23" i="10"/>
  <c r="F23" i="10"/>
  <c r="E23" i="10"/>
  <c r="C23" i="10" s="1"/>
  <c r="S22" i="10"/>
  <c r="R22" i="10"/>
  <c r="Q22" i="10"/>
  <c r="P22" i="10"/>
  <c r="O22" i="10"/>
  <c r="N22" i="10"/>
  <c r="M22" i="10"/>
  <c r="L22" i="10"/>
  <c r="K22" i="10"/>
  <c r="J22" i="10"/>
  <c r="I22" i="10"/>
  <c r="H22" i="10"/>
  <c r="G22" i="10"/>
  <c r="F22" i="10"/>
  <c r="E22" i="10"/>
  <c r="S17" i="10"/>
  <c r="S26" i="10" s="1"/>
  <c r="R17" i="10"/>
  <c r="R26" i="10" s="1"/>
  <c r="Q17" i="10"/>
  <c r="Q26" i="10" s="1"/>
  <c r="P17" i="10"/>
  <c r="P26" i="10" s="1"/>
  <c r="P19" i="6" s="1"/>
  <c r="O17" i="10"/>
  <c r="O26" i="10" s="1"/>
  <c r="N17" i="10"/>
  <c r="N26" i="10" s="1"/>
  <c r="M17" i="10"/>
  <c r="M26" i="10" s="1"/>
  <c r="L17" i="10"/>
  <c r="L26" i="10" s="1"/>
  <c r="K17" i="10"/>
  <c r="K26" i="10" s="1"/>
  <c r="J17" i="10"/>
  <c r="J26" i="10" s="1"/>
  <c r="I17" i="10"/>
  <c r="I26" i="10" s="1"/>
  <c r="H17" i="10"/>
  <c r="H26" i="10" s="1"/>
  <c r="G17" i="10"/>
  <c r="G26" i="10" s="1"/>
  <c r="F17" i="10"/>
  <c r="F26" i="10" s="1"/>
  <c r="E17" i="10"/>
  <c r="E26" i="10" s="1"/>
  <c r="D17" i="10"/>
  <c r="C17" i="10"/>
  <c r="S16" i="10"/>
  <c r="S27" i="10" s="1"/>
  <c r="R16" i="10"/>
  <c r="R27" i="10" s="1"/>
  <c r="Q16" i="10"/>
  <c r="Q27" i="10" s="1"/>
  <c r="P16" i="10"/>
  <c r="P27" i="10" s="1"/>
  <c r="O16" i="10"/>
  <c r="O27" i="10" s="1"/>
  <c r="N16" i="10"/>
  <c r="N27" i="10" s="1"/>
  <c r="M16" i="10"/>
  <c r="M27" i="10" s="1"/>
  <c r="L16" i="10"/>
  <c r="L27" i="10" s="1"/>
  <c r="K16" i="10"/>
  <c r="K27" i="10" s="1"/>
  <c r="J16" i="10"/>
  <c r="J27" i="10" s="1"/>
  <c r="I16" i="10"/>
  <c r="I27" i="10" s="1"/>
  <c r="H16" i="10"/>
  <c r="H27" i="10" s="1"/>
  <c r="G16" i="10"/>
  <c r="F16" i="10"/>
  <c r="F27" i="10" s="1"/>
  <c r="E16" i="10"/>
  <c r="E27" i="10" s="1"/>
  <c r="D16" i="10"/>
  <c r="E15" i="10"/>
  <c r="B22" i="9"/>
  <c r="B21" i="9"/>
  <c r="B20" i="9"/>
  <c r="B19" i="9"/>
  <c r="E9" i="9"/>
  <c r="I8" i="9"/>
  <c r="G8" i="9"/>
  <c r="F8" i="9"/>
  <c r="D8" i="9"/>
  <c r="C8" i="9"/>
  <c r="I7" i="9"/>
  <c r="G7" i="9"/>
  <c r="F7" i="9"/>
  <c r="D7" i="9"/>
  <c r="C7" i="9"/>
  <c r="I6" i="9"/>
  <c r="G6" i="9"/>
  <c r="F6" i="9"/>
  <c r="D6" i="9"/>
  <c r="E6" i="9" s="1"/>
  <c r="L6" i="9" s="1"/>
  <c r="C6" i="9"/>
  <c r="H6" i="9" s="1"/>
  <c r="C20" i="9" s="1"/>
  <c r="D20" i="9" s="1"/>
  <c r="E20" i="9" s="1"/>
  <c r="I5" i="9"/>
  <c r="G5" i="9"/>
  <c r="F5" i="9"/>
  <c r="D5" i="9"/>
  <c r="C5" i="9"/>
  <c r="B12" i="8"/>
  <c r="B11" i="8"/>
  <c r="N8" i="8"/>
  <c r="M8" i="8"/>
  <c r="K8" i="8"/>
  <c r="E8" i="8"/>
  <c r="C8" i="8"/>
  <c r="B8" i="8"/>
  <c r="N7" i="8"/>
  <c r="L7" i="8"/>
  <c r="C7" i="8"/>
  <c r="B7" i="8"/>
  <c r="N6" i="8"/>
  <c r="M6" i="8"/>
  <c r="K6" i="8"/>
  <c r="E6" i="8"/>
  <c r="C6" i="8"/>
  <c r="B6" i="8"/>
  <c r="N5" i="8"/>
  <c r="M5" i="8"/>
  <c r="K5" i="8"/>
  <c r="E5" i="8"/>
  <c r="D5" i="8"/>
  <c r="C5" i="8"/>
  <c r="B5" i="8"/>
  <c r="N4" i="8"/>
  <c r="M4" i="8"/>
  <c r="K4" i="8"/>
  <c r="E4" i="8"/>
  <c r="C4" i="8"/>
  <c r="B4" i="8"/>
  <c r="S35" i="7"/>
  <c r="S26" i="7" s="1"/>
  <c r="S25" i="4" s="1"/>
  <c r="R35" i="7"/>
  <c r="R26" i="7" s="1"/>
  <c r="R25" i="4" s="1"/>
  <c r="Q35" i="7"/>
  <c r="Q26" i="7" s="1"/>
  <c r="Q25" i="4" s="1"/>
  <c r="P35" i="7"/>
  <c r="P26" i="7" s="1"/>
  <c r="P25" i="4" s="1"/>
  <c r="O35" i="7"/>
  <c r="O26" i="7" s="1"/>
  <c r="O25" i="4" s="1"/>
  <c r="N35" i="7"/>
  <c r="N26" i="7" s="1"/>
  <c r="N25" i="4" s="1"/>
  <c r="M35" i="7"/>
  <c r="M26" i="7" s="1"/>
  <c r="M25" i="4" s="1"/>
  <c r="L35" i="7"/>
  <c r="L26" i="7" s="1"/>
  <c r="L25" i="4" s="1"/>
  <c r="K35" i="7"/>
  <c r="K26" i="7" s="1"/>
  <c r="K25" i="4" s="1"/>
  <c r="J35" i="7"/>
  <c r="J26" i="7" s="1"/>
  <c r="I35" i="7"/>
  <c r="I26" i="7" s="1"/>
  <c r="H35" i="7"/>
  <c r="H26" i="7" s="1"/>
  <c r="G35" i="7"/>
  <c r="G26" i="7" s="1"/>
  <c r="F35" i="7"/>
  <c r="F26" i="7" s="1"/>
  <c r="E35" i="7"/>
  <c r="S34" i="7"/>
  <c r="R34" i="7"/>
  <c r="Q34" i="7"/>
  <c r="P34" i="7"/>
  <c r="O34" i="7"/>
  <c r="N34" i="7"/>
  <c r="M34" i="7"/>
  <c r="M27" i="7" s="1"/>
  <c r="M29" i="4" s="1"/>
  <c r="L34" i="7"/>
  <c r="K34" i="7"/>
  <c r="K36" i="7" s="1"/>
  <c r="J34" i="7"/>
  <c r="J36" i="7" s="1"/>
  <c r="I34" i="7"/>
  <c r="I36" i="7" s="1"/>
  <c r="H34" i="7"/>
  <c r="G34" i="7"/>
  <c r="G36" i="7" s="1"/>
  <c r="F34" i="7"/>
  <c r="E34" i="7"/>
  <c r="E27" i="7" s="1"/>
  <c r="E29" i="4" s="1"/>
  <c r="K27" i="7"/>
  <c r="K29" i="4" s="1"/>
  <c r="J27" i="7"/>
  <c r="J29" i="4" s="1"/>
  <c r="I27" i="7"/>
  <c r="I29" i="4" s="1"/>
  <c r="G27" i="7"/>
  <c r="G29" i="4" s="1"/>
  <c r="D20" i="7"/>
  <c r="C20" i="7"/>
  <c r="D19" i="7"/>
  <c r="C19" i="7"/>
  <c r="D18" i="7"/>
  <c r="C18" i="7"/>
  <c r="D17" i="7"/>
  <c r="C17" i="7"/>
  <c r="D16" i="7"/>
  <c r="C16" i="7"/>
  <c r="D15" i="7"/>
  <c r="C15" i="7"/>
  <c r="S11" i="7"/>
  <c r="S12" i="7" s="1"/>
  <c r="R11" i="7"/>
  <c r="R12" i="7" s="1"/>
  <c r="Q11" i="7"/>
  <c r="Q12" i="7" s="1"/>
  <c r="P11" i="7"/>
  <c r="P12" i="7" s="1"/>
  <c r="O11" i="7"/>
  <c r="O12" i="7" s="1"/>
  <c r="N11" i="7"/>
  <c r="N12" i="7" s="1"/>
  <c r="M11" i="7"/>
  <c r="M12" i="7" s="1"/>
  <c r="L11" i="7"/>
  <c r="L12" i="7" s="1"/>
  <c r="K11" i="7"/>
  <c r="K12" i="7" s="1"/>
  <c r="J11" i="7"/>
  <c r="J12" i="7" s="1"/>
  <c r="I11" i="7"/>
  <c r="I12" i="7" s="1"/>
  <c r="H11" i="7"/>
  <c r="H12" i="7" s="1"/>
  <c r="G11" i="7"/>
  <c r="G12" i="7" s="1"/>
  <c r="F11" i="7"/>
  <c r="F12" i="7" s="1"/>
  <c r="E11" i="7"/>
  <c r="E12" i="7" s="1"/>
  <c r="S10" i="7"/>
  <c r="R10" i="7"/>
  <c r="Q10" i="7"/>
  <c r="P10" i="7"/>
  <c r="O10" i="7"/>
  <c r="N10" i="7"/>
  <c r="M10" i="7"/>
  <c r="L10" i="7"/>
  <c r="K10" i="7"/>
  <c r="J10" i="7"/>
  <c r="I10" i="7"/>
  <c r="H10" i="7"/>
  <c r="G10" i="7"/>
  <c r="F10" i="7"/>
  <c r="E10" i="7"/>
  <c r="S9" i="7"/>
  <c r="R9" i="7"/>
  <c r="Q9" i="7"/>
  <c r="P9" i="7"/>
  <c r="O9" i="7"/>
  <c r="N9" i="7"/>
  <c r="M9" i="7"/>
  <c r="L9" i="7"/>
  <c r="K9" i="7"/>
  <c r="J9" i="7"/>
  <c r="I9" i="7"/>
  <c r="H9" i="7"/>
  <c r="G9" i="7"/>
  <c r="F9" i="7"/>
  <c r="E9" i="7"/>
  <c r="E28" i="6"/>
  <c r="E29" i="6" s="1"/>
  <c r="D14" i="6"/>
  <c r="C14" i="6"/>
  <c r="S13" i="6"/>
  <c r="R13" i="6"/>
  <c r="Q13" i="6"/>
  <c r="P13" i="6"/>
  <c r="O13" i="6"/>
  <c r="N13" i="6"/>
  <c r="M13" i="6"/>
  <c r="L13" i="6"/>
  <c r="K13" i="6"/>
  <c r="J13" i="6"/>
  <c r="I13" i="6"/>
  <c r="H13" i="6"/>
  <c r="G13" i="6"/>
  <c r="F13" i="6"/>
  <c r="E13" i="6"/>
  <c r="D12" i="6"/>
  <c r="C12" i="6"/>
  <c r="D11" i="6"/>
  <c r="C11" i="6"/>
  <c r="D10" i="6"/>
  <c r="C10" i="6"/>
  <c r="D9" i="6"/>
  <c r="C9" i="6"/>
  <c r="S4" i="6"/>
  <c r="R4" i="6"/>
  <c r="Q4" i="6"/>
  <c r="P4" i="6"/>
  <c r="O4" i="6"/>
  <c r="N4" i="6"/>
  <c r="M4" i="6"/>
  <c r="L4" i="6"/>
  <c r="K4" i="6"/>
  <c r="J4" i="6"/>
  <c r="I4" i="6"/>
  <c r="H4" i="6"/>
  <c r="G4" i="6"/>
  <c r="F4" i="6"/>
  <c r="E4" i="6"/>
  <c r="S47" i="4"/>
  <c r="R47" i="4"/>
  <c r="Q47" i="4"/>
  <c r="P47" i="4"/>
  <c r="O47" i="4"/>
  <c r="N47" i="4"/>
  <c r="M47" i="4"/>
  <c r="L47" i="4"/>
  <c r="K47" i="4"/>
  <c r="J47" i="4"/>
  <c r="I47" i="4"/>
  <c r="H47" i="4"/>
  <c r="G47" i="4"/>
  <c r="F47" i="4"/>
  <c r="E47" i="4"/>
  <c r="S42" i="4"/>
  <c r="R42" i="4"/>
  <c r="Q42" i="4"/>
  <c r="P42" i="4"/>
  <c r="O42" i="4"/>
  <c r="N42" i="4"/>
  <c r="M42" i="4"/>
  <c r="L42" i="4"/>
  <c r="K42" i="4"/>
  <c r="J42" i="4"/>
  <c r="I42" i="4"/>
  <c r="H42" i="4"/>
  <c r="G42" i="4"/>
  <c r="F42" i="4"/>
  <c r="E42" i="4"/>
  <c r="C42" i="4"/>
  <c r="S37" i="4"/>
  <c r="R37" i="4"/>
  <c r="Q37" i="4"/>
  <c r="P37" i="4"/>
  <c r="O37" i="4"/>
  <c r="N37" i="4"/>
  <c r="M37" i="4"/>
  <c r="L37" i="4"/>
  <c r="K37" i="4"/>
  <c r="J37" i="4"/>
  <c r="I37" i="4"/>
  <c r="H37" i="4"/>
  <c r="G37" i="4"/>
  <c r="F37" i="4"/>
  <c r="E37" i="4"/>
  <c r="S36" i="4"/>
  <c r="R36" i="4"/>
  <c r="Q36" i="4"/>
  <c r="P36" i="4"/>
  <c r="O36" i="4"/>
  <c r="N36" i="4"/>
  <c r="M36" i="4"/>
  <c r="L36" i="4"/>
  <c r="K36" i="4"/>
  <c r="J36" i="4"/>
  <c r="I36" i="4"/>
  <c r="H36" i="4"/>
  <c r="G36" i="4"/>
  <c r="F36" i="4"/>
  <c r="E36" i="4"/>
  <c r="D36" i="4"/>
  <c r="J25" i="4"/>
  <c r="I25" i="4"/>
  <c r="H25" i="4"/>
  <c r="G25" i="4"/>
  <c r="F25" i="4"/>
  <c r="E25" i="4"/>
  <c r="S19" i="4"/>
  <c r="R19" i="4"/>
  <c r="Q19" i="4"/>
  <c r="P19" i="4"/>
  <c r="O19" i="4"/>
  <c r="N19" i="4"/>
  <c r="M19" i="4"/>
  <c r="L19" i="4"/>
  <c r="K19" i="4"/>
  <c r="J19" i="4"/>
  <c r="I19" i="4"/>
  <c r="H19" i="4"/>
  <c r="G19" i="4"/>
  <c r="F19" i="4"/>
  <c r="E19" i="4"/>
  <c r="S18" i="4"/>
  <c r="R18" i="4"/>
  <c r="Q18" i="4"/>
  <c r="P18" i="4"/>
  <c r="O18" i="4"/>
  <c r="N18" i="4"/>
  <c r="M18" i="4"/>
  <c r="L18" i="4"/>
  <c r="K18" i="4"/>
  <c r="J18" i="4"/>
  <c r="I18" i="4"/>
  <c r="H18" i="4"/>
  <c r="G18" i="4"/>
  <c r="F18" i="4"/>
  <c r="E18" i="4"/>
  <c r="I54" i="3"/>
  <c r="H54" i="3"/>
  <c r="I53" i="3"/>
  <c r="H53" i="3"/>
  <c r="I52" i="3"/>
  <c r="H52" i="3"/>
  <c r="I51" i="3"/>
  <c r="H51" i="3"/>
  <c r="I50" i="3"/>
  <c r="H50" i="3"/>
  <c r="I49" i="3"/>
  <c r="H49" i="3"/>
  <c r="I48" i="3"/>
  <c r="H48" i="3"/>
  <c r="I47" i="3"/>
  <c r="H47" i="3"/>
  <c r="D42" i="3"/>
  <c r="I36" i="3"/>
  <c r="K36" i="3" s="1"/>
  <c r="I35" i="3"/>
  <c r="K35" i="3" s="1"/>
  <c r="I34" i="3"/>
  <c r="K34" i="3" s="1"/>
  <c r="I33" i="3"/>
  <c r="K33" i="3" s="1"/>
  <c r="I32" i="3"/>
  <c r="K32" i="3" s="1"/>
  <c r="I31" i="3"/>
  <c r="K31" i="3" s="1"/>
  <c r="I30" i="3"/>
  <c r="K30" i="3" s="1"/>
  <c r="I29" i="3"/>
  <c r="K29" i="3" s="1"/>
  <c r="F24" i="3"/>
  <c r="G24" i="3" s="1"/>
  <c r="F23" i="3"/>
  <c r="G23" i="3" s="1"/>
  <c r="F22" i="3"/>
  <c r="G22" i="3" s="1"/>
  <c r="F21" i="3"/>
  <c r="G21" i="3" s="1"/>
  <c r="F20" i="3"/>
  <c r="G20" i="3" s="1"/>
  <c r="F19" i="3"/>
  <c r="G19" i="3" s="1"/>
  <c r="F18" i="3"/>
  <c r="G18" i="3" s="1"/>
  <c r="F17" i="3"/>
  <c r="G17" i="3" s="1"/>
  <c r="F16" i="3"/>
  <c r="G16" i="3" s="1"/>
  <c r="F15" i="3"/>
  <c r="G15" i="3" s="1"/>
  <c r="P4" i="2"/>
  <c r="O4" i="2"/>
  <c r="N4" i="2"/>
  <c r="M4" i="2"/>
  <c r="L4" i="2"/>
  <c r="K4" i="2"/>
  <c r="J4" i="2"/>
  <c r="I4" i="2"/>
  <c r="H4" i="2"/>
  <c r="G4" i="2"/>
  <c r="F4" i="2"/>
  <c r="E4" i="2"/>
  <c r="D4" i="2"/>
  <c r="C4" i="2"/>
  <c r="B4" i="2"/>
  <c r="B4" i="1"/>
  <c r="B3" i="1"/>
  <c r="F36" i="7" l="1"/>
  <c r="F27" i="7"/>
  <c r="D23" i="10"/>
  <c r="C37" i="4"/>
  <c r="D42" i="4"/>
  <c r="C36" i="4"/>
  <c r="G27" i="10"/>
  <c r="C16" i="10"/>
  <c r="H36" i="7"/>
  <c r="H25" i="7" s="1"/>
  <c r="H27" i="7"/>
  <c r="C35" i="7"/>
  <c r="E26" i="7"/>
  <c r="R36" i="7"/>
  <c r="R25" i="7" s="1"/>
  <c r="R27" i="7"/>
  <c r="Q36" i="7"/>
  <c r="Q25" i="7" s="1"/>
  <c r="Q27" i="7"/>
  <c r="P36" i="7"/>
  <c r="P25" i="7" s="1"/>
  <c r="P27" i="7"/>
  <c r="O36" i="7"/>
  <c r="O25" i="7" s="1"/>
  <c r="O27" i="7"/>
  <c r="N36" i="7"/>
  <c r="N25" i="7" s="1"/>
  <c r="N27" i="7"/>
  <c r="D37" i="4"/>
  <c r="D35" i="10"/>
  <c r="L36" i="7"/>
  <c r="L25" i="7" s="1"/>
  <c r="L27" i="7"/>
  <c r="C13" i="6"/>
  <c r="S36" i="7"/>
  <c r="S25" i="7" s="1"/>
  <c r="S27" i="7"/>
  <c r="E8" i="9"/>
  <c r="L8" i="9" s="1"/>
  <c r="E5" i="9"/>
  <c r="L5" i="9" s="1"/>
  <c r="H5" i="9"/>
  <c r="D13" i="6"/>
  <c r="C25" i="4"/>
  <c r="C26" i="10"/>
  <c r="C35" i="10"/>
  <c r="D28" i="10"/>
  <c r="S19" i="6"/>
  <c r="S28" i="11"/>
  <c r="R19" i="6"/>
  <c r="R28" i="11"/>
  <c r="Q19" i="6"/>
  <c r="Q28" i="11"/>
  <c r="D24" i="10"/>
  <c r="E7" i="9"/>
  <c r="L7" i="9" s="1"/>
  <c r="B13" i="8"/>
  <c r="B30" i="1" s="1"/>
  <c r="O28" i="11"/>
  <c r="O19" i="6"/>
  <c r="N28" i="11"/>
  <c r="N19" i="6"/>
  <c r="M28" i="11"/>
  <c r="M19" i="6"/>
  <c r="L28" i="11"/>
  <c r="L19" i="6"/>
  <c r="K28" i="11"/>
  <c r="K19" i="6"/>
  <c r="J28" i="11"/>
  <c r="J19" i="6"/>
  <c r="I28" i="11"/>
  <c r="I19" i="6"/>
  <c r="H28" i="11"/>
  <c r="H19" i="6"/>
  <c r="G28" i="11"/>
  <c r="G19" i="6"/>
  <c r="F28" i="11"/>
  <c r="F19" i="6"/>
  <c r="E28" i="11"/>
  <c r="E19" i="6"/>
  <c r="E36" i="7"/>
  <c r="C34" i="7"/>
  <c r="D25" i="4"/>
  <c r="D35" i="7"/>
  <c r="S36" i="10"/>
  <c r="R36" i="10"/>
  <c r="Q36" i="10"/>
  <c r="P36" i="10"/>
  <c r="O36" i="10"/>
  <c r="N36" i="10"/>
  <c r="M36" i="10"/>
  <c r="L36" i="10"/>
  <c r="K36" i="10"/>
  <c r="J36" i="10"/>
  <c r="I36" i="10"/>
  <c r="H36" i="10"/>
  <c r="G36" i="10"/>
  <c r="F36" i="10"/>
  <c r="E36" i="10"/>
  <c r="D26" i="10"/>
  <c r="P28" i="11"/>
  <c r="D22" i="10"/>
  <c r="C22" i="10"/>
  <c r="S29" i="11"/>
  <c r="R29" i="11"/>
  <c r="Q29" i="11"/>
  <c r="P29" i="11"/>
  <c r="O29" i="11"/>
  <c r="N29" i="11"/>
  <c r="M29" i="11"/>
  <c r="L29" i="11"/>
  <c r="K29" i="11"/>
  <c r="J29" i="11"/>
  <c r="I29" i="11"/>
  <c r="H29" i="11"/>
  <c r="D27" i="10"/>
  <c r="F29" i="11"/>
  <c r="E29" i="11"/>
  <c r="H8" i="9"/>
  <c r="E13" i="9"/>
  <c r="H7" i="9"/>
  <c r="C13" i="9"/>
  <c r="F8" i="8"/>
  <c r="G8" i="8" s="1"/>
  <c r="I8" i="8"/>
  <c r="J8" i="8" s="1"/>
  <c r="O8" i="8"/>
  <c r="F7" i="8"/>
  <c r="G7" i="8" s="1"/>
  <c r="I7" i="8"/>
  <c r="J7" i="8" s="1"/>
  <c r="O7" i="8"/>
  <c r="O6" i="8"/>
  <c r="I6" i="8"/>
  <c r="J6" i="8" s="1"/>
  <c r="F6" i="8"/>
  <c r="G6" i="8" s="1"/>
  <c r="H6" i="8" s="1"/>
  <c r="O5" i="8"/>
  <c r="F5" i="8"/>
  <c r="G5" i="8" s="1"/>
  <c r="H5" i="8" s="1"/>
  <c r="I5" i="8"/>
  <c r="J5" i="8" s="1"/>
  <c r="F4" i="8"/>
  <c r="G4" i="8" s="1"/>
  <c r="H4" i="8" s="1"/>
  <c r="O4" i="8"/>
  <c r="I4" i="8"/>
  <c r="J4" i="8" s="1"/>
  <c r="D34" i="7"/>
  <c r="M36" i="7"/>
  <c r="M10" i="11"/>
  <c r="K10" i="11"/>
  <c r="J10" i="11"/>
  <c r="I10" i="11"/>
  <c r="G10" i="11"/>
  <c r="E10" i="11"/>
  <c r="S9" i="11"/>
  <c r="R9" i="11"/>
  <c r="Q9" i="11"/>
  <c r="P9" i="11"/>
  <c r="O9" i="11"/>
  <c r="N9" i="11"/>
  <c r="M9" i="11"/>
  <c r="L9" i="11"/>
  <c r="K9" i="11"/>
  <c r="J9" i="11"/>
  <c r="I9" i="11"/>
  <c r="D26" i="7"/>
  <c r="H9" i="11"/>
  <c r="G9" i="11"/>
  <c r="F9" i="11"/>
  <c r="S24" i="7"/>
  <c r="S23" i="7"/>
  <c r="R24" i="7"/>
  <c r="R23" i="7"/>
  <c r="Q24" i="7"/>
  <c r="Q23" i="7"/>
  <c r="P23" i="7"/>
  <c r="P24" i="7"/>
  <c r="O24" i="7"/>
  <c r="O23" i="7"/>
  <c r="N23" i="7"/>
  <c r="N24" i="7"/>
  <c r="M23" i="7"/>
  <c r="M24" i="7"/>
  <c r="L23" i="7"/>
  <c r="L24" i="7"/>
  <c r="K23" i="7"/>
  <c r="K25" i="7"/>
  <c r="K24" i="7"/>
  <c r="J24" i="7"/>
  <c r="J25" i="7"/>
  <c r="J23" i="7"/>
  <c r="I23" i="7"/>
  <c r="I24" i="7"/>
  <c r="I25" i="7"/>
  <c r="H24" i="7"/>
  <c r="H23" i="7"/>
  <c r="G23" i="7"/>
  <c r="G24" i="7"/>
  <c r="G25" i="7"/>
  <c r="F24" i="7"/>
  <c r="F25" i="7"/>
  <c r="F23" i="7"/>
  <c r="E23" i="7"/>
  <c r="E24" i="7"/>
  <c r="E30" i="6"/>
  <c r="S21" i="4"/>
  <c r="S22" i="4"/>
  <c r="S56" i="4" s="1"/>
  <c r="S59" i="4" s="1"/>
  <c r="R21" i="4"/>
  <c r="R22" i="4"/>
  <c r="R56" i="4" s="1"/>
  <c r="R59" i="4" s="1"/>
  <c r="Q21" i="4"/>
  <c r="Q22" i="4"/>
  <c r="Q56" i="4" s="1"/>
  <c r="Q59" i="4" s="1"/>
  <c r="P21" i="4"/>
  <c r="P22" i="4"/>
  <c r="P56" i="4" s="1"/>
  <c r="P59" i="4" s="1"/>
  <c r="O21" i="4"/>
  <c r="O22" i="4"/>
  <c r="O56" i="4" s="1"/>
  <c r="O59" i="4" s="1"/>
  <c r="N22" i="4"/>
  <c r="N56" i="4" s="1"/>
  <c r="N59" i="4" s="1"/>
  <c r="N21" i="4"/>
  <c r="M22" i="4"/>
  <c r="M56" i="4" s="1"/>
  <c r="M59" i="4" s="1"/>
  <c r="M21" i="4"/>
  <c r="L22" i="4"/>
  <c r="L56" i="4" s="1"/>
  <c r="L59" i="4" s="1"/>
  <c r="L21" i="4"/>
  <c r="K22" i="4"/>
  <c r="K56" i="4" s="1"/>
  <c r="K59" i="4" s="1"/>
  <c r="K21" i="4"/>
  <c r="J22" i="4"/>
  <c r="J56" i="4" s="1"/>
  <c r="J59" i="4" s="1"/>
  <c r="J21" i="4"/>
  <c r="I22" i="4"/>
  <c r="I56" i="4" s="1"/>
  <c r="I59" i="4" s="1"/>
  <c r="I21" i="4"/>
  <c r="H22" i="4"/>
  <c r="H21" i="4"/>
  <c r="G22" i="4"/>
  <c r="G56" i="4" s="1"/>
  <c r="G59" i="4" s="1"/>
  <c r="G21" i="4"/>
  <c r="F21" i="4"/>
  <c r="F22" i="4"/>
  <c r="F56" i="4" s="1"/>
  <c r="F59" i="4" s="1"/>
  <c r="E21" i="4"/>
  <c r="E20" i="4"/>
  <c r="E22" i="4"/>
  <c r="H24" i="3"/>
  <c r="I24" i="3" s="1"/>
  <c r="K24" i="3" s="1"/>
  <c r="H23" i="3"/>
  <c r="I23" i="3" s="1"/>
  <c r="K23" i="3" s="1"/>
  <c r="H22" i="3"/>
  <c r="I22" i="3" s="1"/>
  <c r="K22" i="3" s="1"/>
  <c r="H21" i="3"/>
  <c r="I21" i="3" s="1"/>
  <c r="K21" i="3" s="1"/>
  <c r="H20" i="3"/>
  <c r="I20" i="3" s="1"/>
  <c r="K20" i="3" s="1"/>
  <c r="H19" i="3"/>
  <c r="I19" i="3" s="1"/>
  <c r="K19" i="3" s="1"/>
  <c r="H18" i="3"/>
  <c r="I18" i="3" s="1"/>
  <c r="K18" i="3" s="1"/>
  <c r="H17" i="3"/>
  <c r="I17" i="3" s="1"/>
  <c r="K17" i="3" s="1"/>
  <c r="H16" i="3"/>
  <c r="I16" i="3" s="1"/>
  <c r="K16" i="3" s="1"/>
  <c r="H15" i="3"/>
  <c r="I15" i="3" s="1"/>
  <c r="K15" i="3" s="1"/>
  <c r="J6" i="9"/>
  <c r="K6" i="9" s="1"/>
  <c r="F29" i="4" l="1"/>
  <c r="C29" i="4" s="1"/>
  <c r="C27" i="7"/>
  <c r="F10" i="11"/>
  <c r="G29" i="11"/>
  <c r="C27" i="10"/>
  <c r="C29" i="11"/>
  <c r="H29" i="4"/>
  <c r="H10" i="11"/>
  <c r="H30" i="4" s="1"/>
  <c r="C26" i="7"/>
  <c r="E9" i="11"/>
  <c r="R29" i="4"/>
  <c r="R10" i="11"/>
  <c r="R30" i="4" s="1"/>
  <c r="Q29" i="4"/>
  <c r="Q10" i="11"/>
  <c r="Q30" i="4" s="1"/>
  <c r="P29" i="4"/>
  <c r="P10" i="11"/>
  <c r="P30" i="4" s="1"/>
  <c r="O29" i="4"/>
  <c r="O10" i="11"/>
  <c r="O30" i="4" s="1"/>
  <c r="C36" i="10"/>
  <c r="N29" i="4"/>
  <c r="N10" i="11"/>
  <c r="N30" i="4" s="1"/>
  <c r="L29" i="4"/>
  <c r="L10" i="11"/>
  <c r="L30" i="4" s="1"/>
  <c r="S29" i="4"/>
  <c r="D29" i="4" s="1"/>
  <c r="S10" i="11"/>
  <c r="D27" i="7"/>
  <c r="D36" i="10"/>
  <c r="C21" i="4"/>
  <c r="C19" i="9"/>
  <c r="D19" i="9" s="1"/>
  <c r="E19" i="9" s="1"/>
  <c r="J5" i="9"/>
  <c r="K5" i="9" s="1"/>
  <c r="C19" i="6"/>
  <c r="C28" i="11"/>
  <c r="D21" i="4"/>
  <c r="D28" i="11"/>
  <c r="B10" i="1" s="1"/>
  <c r="D19" i="6"/>
  <c r="C36" i="7"/>
  <c r="E25" i="7"/>
  <c r="D36" i="7"/>
  <c r="M25" i="7"/>
  <c r="D29" i="11"/>
  <c r="R10" i="12"/>
  <c r="J8" i="9"/>
  <c r="K8" i="9" s="1"/>
  <c r="E14" i="9"/>
  <c r="E15" i="9"/>
  <c r="C22" i="9"/>
  <c r="D22" i="9" s="1"/>
  <c r="E22" i="9" s="1"/>
  <c r="J7" i="9"/>
  <c r="K7" i="9" s="1"/>
  <c r="C14" i="9"/>
  <c r="C15" i="9"/>
  <c r="C21" i="9"/>
  <c r="D21" i="9" s="1"/>
  <c r="E21" i="9" s="1"/>
  <c r="L6" i="8"/>
  <c r="B16" i="8"/>
  <c r="L5" i="8"/>
  <c r="B15" i="8"/>
  <c r="L4" i="8"/>
  <c r="B14" i="8"/>
  <c r="M30" i="4"/>
  <c r="K30" i="4"/>
  <c r="J30" i="4"/>
  <c r="I30" i="4"/>
  <c r="G30" i="4"/>
  <c r="F30" i="4"/>
  <c r="E30" i="4"/>
  <c r="C10" i="11"/>
  <c r="H10" i="12"/>
  <c r="D9" i="11"/>
  <c r="S17" i="11"/>
  <c r="S8" i="11"/>
  <c r="S16" i="11"/>
  <c r="S7" i="11"/>
  <c r="S18" i="10"/>
  <c r="S6" i="11"/>
  <c r="S6" i="10"/>
  <c r="S8" i="10" s="1"/>
  <c r="S11" i="10" s="1"/>
  <c r="S15" i="11"/>
  <c r="S29" i="7"/>
  <c r="S43" i="10" s="1"/>
  <c r="S7" i="10"/>
  <c r="S43" i="11"/>
  <c r="R7" i="11"/>
  <c r="R16" i="11"/>
  <c r="R8" i="11"/>
  <c r="R17" i="11"/>
  <c r="R18" i="10"/>
  <c r="R6" i="11"/>
  <c r="R29" i="7"/>
  <c r="R43" i="10" s="1"/>
  <c r="R7" i="10"/>
  <c r="R15" i="11"/>
  <c r="R43" i="11"/>
  <c r="R6" i="10"/>
  <c r="R8" i="10" s="1"/>
  <c r="R11" i="10" s="1"/>
  <c r="Q7" i="11"/>
  <c r="Q16" i="11"/>
  <c r="Q8" i="11"/>
  <c r="Q17" i="11"/>
  <c r="Q6" i="10"/>
  <c r="Q8" i="10" s="1"/>
  <c r="Q11" i="10" s="1"/>
  <c r="Q6" i="11"/>
  <c r="Q15" i="11"/>
  <c r="Q18" i="10"/>
  <c r="Q43" i="11"/>
  <c r="Q29" i="7"/>
  <c r="Q7" i="10"/>
  <c r="P8" i="11"/>
  <c r="P17" i="11"/>
  <c r="P6" i="10"/>
  <c r="P8" i="10" s="1"/>
  <c r="P11" i="10" s="1"/>
  <c r="P7" i="10"/>
  <c r="P6" i="11"/>
  <c r="P29" i="7"/>
  <c r="P18" i="10"/>
  <c r="P15" i="11"/>
  <c r="P43" i="11"/>
  <c r="P7" i="11"/>
  <c r="P16" i="11"/>
  <c r="O16" i="11"/>
  <c r="O7" i="11"/>
  <c r="O43" i="11"/>
  <c r="O7" i="10"/>
  <c r="O29" i="7"/>
  <c r="O6" i="10"/>
  <c r="O8" i="10" s="1"/>
  <c r="O11" i="10" s="1"/>
  <c r="O18" i="10"/>
  <c r="O6" i="11"/>
  <c r="O15" i="11"/>
  <c r="O8" i="11"/>
  <c r="O17" i="11"/>
  <c r="N6" i="11"/>
  <c r="N6" i="10"/>
  <c r="N8" i="10" s="1"/>
  <c r="N11" i="10" s="1"/>
  <c r="N15" i="11"/>
  <c r="N29" i="7"/>
  <c r="N7" i="10"/>
  <c r="N18" i="10"/>
  <c r="N43" i="11"/>
  <c r="N7" i="11"/>
  <c r="N16" i="11"/>
  <c r="N17" i="11"/>
  <c r="N8" i="11"/>
  <c r="M6" i="11"/>
  <c r="M15" i="11"/>
  <c r="M7" i="11"/>
  <c r="M16" i="11"/>
  <c r="L18" i="10"/>
  <c r="L6" i="11"/>
  <c r="L15" i="11"/>
  <c r="L29" i="7"/>
  <c r="L6" i="10"/>
  <c r="L8" i="10" s="1"/>
  <c r="L11" i="10" s="1"/>
  <c r="L7" i="10"/>
  <c r="L43" i="11"/>
  <c r="L7" i="11"/>
  <c r="L16" i="11"/>
  <c r="L8" i="11"/>
  <c r="L17" i="11"/>
  <c r="K6" i="10"/>
  <c r="K8" i="10" s="1"/>
  <c r="K11" i="10" s="1"/>
  <c r="K7" i="10"/>
  <c r="K29" i="7"/>
  <c r="K6" i="11"/>
  <c r="K15" i="11"/>
  <c r="K18" i="10"/>
  <c r="K43" i="11"/>
  <c r="K8" i="11"/>
  <c r="K17" i="11"/>
  <c r="K16" i="11"/>
  <c r="K7" i="11"/>
  <c r="J7" i="11"/>
  <c r="J16" i="11"/>
  <c r="J8" i="11"/>
  <c r="J17" i="11"/>
  <c r="J43" i="11"/>
  <c r="J7" i="10"/>
  <c r="J29" i="7"/>
  <c r="J18" i="10"/>
  <c r="J6" i="11"/>
  <c r="J6" i="10"/>
  <c r="J8" i="10" s="1"/>
  <c r="J11" i="10" s="1"/>
  <c r="J15" i="11"/>
  <c r="I29" i="7"/>
  <c r="I6" i="11"/>
  <c r="I15" i="11"/>
  <c r="I18" i="10"/>
  <c r="I6" i="10"/>
  <c r="I8" i="10" s="1"/>
  <c r="I11" i="10" s="1"/>
  <c r="I7" i="10"/>
  <c r="I43" i="11"/>
  <c r="I7" i="11"/>
  <c r="I16" i="11"/>
  <c r="I8" i="11"/>
  <c r="I17" i="11"/>
  <c r="D24" i="7"/>
  <c r="H7" i="11"/>
  <c r="H16" i="11"/>
  <c r="H6" i="11"/>
  <c r="H15" i="11"/>
  <c r="H7" i="10"/>
  <c r="H43" i="11"/>
  <c r="H18" i="10"/>
  <c r="H29" i="7"/>
  <c r="H6" i="10"/>
  <c r="D23" i="7"/>
  <c r="H8" i="11"/>
  <c r="H17" i="11"/>
  <c r="G6" i="10"/>
  <c r="G8" i="10" s="1"/>
  <c r="G11" i="10" s="1"/>
  <c r="G7" i="10"/>
  <c r="G6" i="11"/>
  <c r="G15" i="11"/>
  <c r="G43" i="11"/>
  <c r="G29" i="7"/>
  <c r="G18" i="10"/>
  <c r="G7" i="11"/>
  <c r="G16" i="11"/>
  <c r="G17" i="11"/>
  <c r="G8" i="11"/>
  <c r="F16" i="11"/>
  <c r="F7" i="11"/>
  <c r="F8" i="11"/>
  <c r="F17" i="11"/>
  <c r="F6" i="10"/>
  <c r="F8" i="10" s="1"/>
  <c r="F11" i="10" s="1"/>
  <c r="F7" i="10"/>
  <c r="F18" i="10"/>
  <c r="F43" i="11"/>
  <c r="F29" i="7"/>
  <c r="F6" i="11"/>
  <c r="F15" i="11"/>
  <c r="E6" i="11"/>
  <c r="E15" i="11"/>
  <c r="C23" i="7"/>
  <c r="C24" i="7"/>
  <c r="E7" i="11"/>
  <c r="E16" i="11"/>
  <c r="E7" i="6"/>
  <c r="E8" i="6"/>
  <c r="H56" i="4"/>
  <c r="H59" i="4" s="1"/>
  <c r="D22" i="4"/>
  <c r="F20" i="4"/>
  <c r="E23" i="4"/>
  <c r="E56" i="4"/>
  <c r="E59" i="4" s="1"/>
  <c r="C22" i="4"/>
  <c r="S10" i="12"/>
  <c r="Q10" i="12"/>
  <c r="P10" i="12"/>
  <c r="O10" i="12"/>
  <c r="N10" i="12"/>
  <c r="M10" i="12"/>
  <c r="L10" i="12"/>
  <c r="K10" i="12"/>
  <c r="J10" i="12"/>
  <c r="I10" i="12"/>
  <c r="G10" i="12"/>
  <c r="N19" i="11"/>
  <c r="H19" i="11"/>
  <c r="I19" i="11"/>
  <c r="J19" i="11"/>
  <c r="K19" i="11"/>
  <c r="L19" i="11"/>
  <c r="M19" i="11"/>
  <c r="S19" i="11"/>
  <c r="R19" i="11"/>
  <c r="Q19" i="11"/>
  <c r="P19" i="11"/>
  <c r="O19" i="11"/>
  <c r="E19" i="11"/>
  <c r="F19" i="11"/>
  <c r="G19" i="11"/>
  <c r="L8" i="8"/>
  <c r="H8" i="8"/>
  <c r="K18" i="11"/>
  <c r="H18" i="11"/>
  <c r="I18" i="11"/>
  <c r="J18" i="11"/>
  <c r="S18" i="11"/>
  <c r="R18" i="11"/>
  <c r="Q18" i="11"/>
  <c r="P18" i="11"/>
  <c r="O18" i="11"/>
  <c r="N18" i="11"/>
  <c r="M18" i="11"/>
  <c r="L18" i="11"/>
  <c r="E18" i="11"/>
  <c r="F18" i="11"/>
  <c r="G18" i="11"/>
  <c r="B17" i="8"/>
  <c r="H7" i="8"/>
  <c r="F10" i="12" l="1"/>
  <c r="C10" i="12" s="1"/>
  <c r="E10" i="12"/>
  <c r="C9" i="11"/>
  <c r="S30" i="4"/>
  <c r="D30" i="4" s="1"/>
  <c r="D10" i="11"/>
  <c r="C30" i="4"/>
  <c r="M17" i="11"/>
  <c r="D17" i="11" s="1"/>
  <c r="M29" i="7"/>
  <c r="M7" i="10"/>
  <c r="D7" i="10" s="1"/>
  <c r="M18" i="10"/>
  <c r="D18" i="10" s="1"/>
  <c r="M43" i="11"/>
  <c r="D43" i="11" s="1"/>
  <c r="B31" i="1" s="1"/>
  <c r="M6" i="10"/>
  <c r="E7" i="10"/>
  <c r="C7" i="10" s="1"/>
  <c r="E18" i="10"/>
  <c r="E43" i="11"/>
  <c r="C43" i="11" s="1"/>
  <c r="E6" i="10"/>
  <c r="E29" i="7"/>
  <c r="C25" i="7"/>
  <c r="E8" i="11"/>
  <c r="E17" i="11"/>
  <c r="C17" i="11" s="1"/>
  <c r="M8" i="11"/>
  <c r="D25" i="7"/>
  <c r="D10" i="12"/>
  <c r="C16" i="11"/>
  <c r="S9" i="12"/>
  <c r="S8" i="12"/>
  <c r="N8" i="12"/>
  <c r="G8" i="12"/>
  <c r="S40" i="11"/>
  <c r="S42" i="11"/>
  <c r="S7" i="12"/>
  <c r="S44" i="10"/>
  <c r="S45" i="10"/>
  <c r="R40" i="11"/>
  <c r="R42" i="11"/>
  <c r="R7" i="12"/>
  <c r="R44" i="10"/>
  <c r="R45" i="10"/>
  <c r="Q40" i="11"/>
  <c r="Q42" i="11"/>
  <c r="Q7" i="12"/>
  <c r="S14" i="10"/>
  <c r="Q43" i="10"/>
  <c r="P40" i="11"/>
  <c r="P42" i="11"/>
  <c r="P7" i="12"/>
  <c r="R14" i="10"/>
  <c r="P43" i="10"/>
  <c r="O43" i="10"/>
  <c r="Q14" i="10"/>
  <c r="O40" i="11"/>
  <c r="O42" i="11"/>
  <c r="O7" i="12"/>
  <c r="N40" i="11"/>
  <c r="N42" i="11"/>
  <c r="N7" i="12"/>
  <c r="P14" i="10"/>
  <c r="N43" i="10"/>
  <c r="M40" i="11"/>
  <c r="M7" i="12"/>
  <c r="L40" i="11"/>
  <c r="L42" i="11"/>
  <c r="L7" i="12"/>
  <c r="L43" i="10"/>
  <c r="K43" i="10"/>
  <c r="K40" i="11"/>
  <c r="K42" i="11"/>
  <c r="K7" i="12"/>
  <c r="J43" i="10"/>
  <c r="L14" i="10"/>
  <c r="J40" i="11"/>
  <c r="J42" i="11"/>
  <c r="J7" i="12"/>
  <c r="K14" i="10"/>
  <c r="I43" i="10"/>
  <c r="I40" i="11"/>
  <c r="I42" i="11"/>
  <c r="I7" i="12"/>
  <c r="H8" i="12"/>
  <c r="D7" i="11"/>
  <c r="H40" i="11"/>
  <c r="H42" i="11"/>
  <c r="H7" i="12"/>
  <c r="D6" i="11"/>
  <c r="D15" i="11"/>
  <c r="H43" i="10"/>
  <c r="J14" i="10"/>
  <c r="H8" i="10"/>
  <c r="H9" i="12"/>
  <c r="G40" i="11"/>
  <c r="G42" i="11"/>
  <c r="G7" i="12"/>
  <c r="G43" i="10"/>
  <c r="I14" i="10"/>
  <c r="F43" i="10"/>
  <c r="H14" i="10"/>
  <c r="F40" i="11"/>
  <c r="F42" i="11"/>
  <c r="F7" i="12"/>
  <c r="E40" i="11"/>
  <c r="E7" i="12"/>
  <c r="C6" i="11"/>
  <c r="C15" i="11"/>
  <c r="E8" i="12"/>
  <c r="C7" i="11"/>
  <c r="G20" i="4"/>
  <c r="F23" i="4"/>
  <c r="E24" i="4"/>
  <c r="E57" i="4"/>
  <c r="E58" i="4" s="1"/>
  <c r="E51" i="4"/>
  <c r="E54" i="4" s="1"/>
  <c r="P8" i="12"/>
  <c r="O8" i="12"/>
  <c r="R8" i="12"/>
  <c r="R9" i="12"/>
  <c r="Q8" i="12"/>
  <c r="Q9" i="12"/>
  <c r="P9" i="12"/>
  <c r="M8" i="12"/>
  <c r="L8" i="12"/>
  <c r="L9" i="12"/>
  <c r="K9" i="12"/>
  <c r="K8" i="12"/>
  <c r="J8" i="12"/>
  <c r="J9" i="12"/>
  <c r="I8" i="12"/>
  <c r="D16" i="11"/>
  <c r="I9" i="12"/>
  <c r="F8" i="12"/>
  <c r="D19" i="11"/>
  <c r="C19" i="11"/>
  <c r="D18" i="11"/>
  <c r="C18" i="11"/>
  <c r="O9" i="12" l="1"/>
  <c r="N9" i="12"/>
  <c r="M9" i="12"/>
  <c r="O14" i="10"/>
  <c r="M43" i="10"/>
  <c r="N14" i="10"/>
  <c r="M14" i="10"/>
  <c r="D29" i="7"/>
  <c r="M8" i="10"/>
  <c r="D6" i="10"/>
  <c r="C18" i="10"/>
  <c r="E19" i="10"/>
  <c r="E8" i="10"/>
  <c r="C6" i="10"/>
  <c r="E14" i="10"/>
  <c r="C29" i="7"/>
  <c r="G14" i="10"/>
  <c r="E43" i="10"/>
  <c r="E29" i="10" s="1"/>
  <c r="F14" i="10"/>
  <c r="E42" i="11"/>
  <c r="C42" i="11" s="1"/>
  <c r="E9" i="12"/>
  <c r="C8" i="11"/>
  <c r="G9" i="12"/>
  <c r="F9" i="12"/>
  <c r="M42" i="11"/>
  <c r="D42" i="11" s="1"/>
  <c r="D8" i="11"/>
  <c r="C40" i="11"/>
  <c r="C7" i="12"/>
  <c r="Q44" i="10"/>
  <c r="Q45" i="10"/>
  <c r="P44" i="10"/>
  <c r="P45" i="10"/>
  <c r="O44" i="10"/>
  <c r="O45" i="10"/>
  <c r="N44" i="10"/>
  <c r="N45" i="10"/>
  <c r="L44" i="10"/>
  <c r="L45" i="10"/>
  <c r="K44" i="10"/>
  <c r="K45" i="10"/>
  <c r="J44" i="10"/>
  <c r="J45" i="10"/>
  <c r="I44" i="10"/>
  <c r="I45" i="10"/>
  <c r="H44" i="10"/>
  <c r="H45" i="10"/>
  <c r="H11" i="10"/>
  <c r="G44" i="10"/>
  <c r="G45" i="10"/>
  <c r="F44" i="10"/>
  <c r="F45" i="10"/>
  <c r="C20" i="4"/>
  <c r="H20" i="4"/>
  <c r="G23" i="4"/>
  <c r="F51" i="4"/>
  <c r="F54" i="4" s="1"/>
  <c r="F24" i="4"/>
  <c r="F57" i="4"/>
  <c r="F58" i="4" s="1"/>
  <c r="E53" i="4"/>
  <c r="E52" i="4"/>
  <c r="E26" i="4" s="1"/>
  <c r="D8" i="12"/>
  <c r="D40" i="11"/>
  <c r="D7" i="12"/>
  <c r="C8" i="12"/>
  <c r="D9" i="12" l="1"/>
  <c r="D14" i="10"/>
  <c r="E9" i="10"/>
  <c r="E11" i="10"/>
  <c r="C11" i="10" s="1"/>
  <c r="C8" i="10"/>
  <c r="C14" i="10"/>
  <c r="F15" i="10"/>
  <c r="M44" i="10"/>
  <c r="D44" i="10" s="1"/>
  <c r="M45" i="10"/>
  <c r="D45" i="10" s="1"/>
  <c r="D43" i="10"/>
  <c r="M11" i="10"/>
  <c r="D11" i="10" s="1"/>
  <c r="D8" i="10"/>
  <c r="B23" i="1" s="1"/>
  <c r="C43" i="10"/>
  <c r="E44" i="10"/>
  <c r="C44" i="10" s="1"/>
  <c r="E45" i="10"/>
  <c r="C45" i="10" s="1"/>
  <c r="F19" i="10"/>
  <c r="E30" i="10"/>
  <c r="C9" i="12"/>
  <c r="I20" i="4"/>
  <c r="H23" i="4"/>
  <c r="C23" i="4"/>
  <c r="G24" i="4"/>
  <c r="G57" i="4"/>
  <c r="G58" i="4" s="1"/>
  <c r="G51" i="4"/>
  <c r="G54" i="4" s="1"/>
  <c r="F52" i="4"/>
  <c r="F53" i="4"/>
  <c r="F38" i="10" s="1"/>
  <c r="F21" i="6" s="1"/>
  <c r="E41" i="4"/>
  <c r="E46" i="4"/>
  <c r="E48" i="4" s="1"/>
  <c r="E28" i="7"/>
  <c r="E38" i="10"/>
  <c r="E10" i="10" l="1"/>
  <c r="F9" i="10"/>
  <c r="E46" i="10"/>
  <c r="F29" i="10"/>
  <c r="G15" i="10"/>
  <c r="G19" i="10"/>
  <c r="H19" i="10" s="1"/>
  <c r="F30" i="10"/>
  <c r="J20" i="4"/>
  <c r="I23" i="4"/>
  <c r="H24" i="4"/>
  <c r="H51" i="4"/>
  <c r="H54" i="4" s="1"/>
  <c r="H57" i="4"/>
  <c r="H58" i="4" s="1"/>
  <c r="C24" i="4"/>
  <c r="C51" i="4"/>
  <c r="G52" i="4"/>
  <c r="G53" i="4"/>
  <c r="F26" i="4"/>
  <c r="E43" i="4"/>
  <c r="E44" i="4"/>
  <c r="E6" i="6"/>
  <c r="E44" i="11"/>
  <c r="E11" i="11"/>
  <c r="E21" i="6"/>
  <c r="G26" i="4" l="1"/>
  <c r="C52" i="4"/>
  <c r="F46" i="10"/>
  <c r="G9" i="10"/>
  <c r="F10" i="10"/>
  <c r="G29" i="10"/>
  <c r="C29" i="10" s="1"/>
  <c r="H15" i="10"/>
  <c r="C15" i="10"/>
  <c r="G30" i="10"/>
  <c r="C30" i="10" s="1"/>
  <c r="C19" i="10"/>
  <c r="I19" i="10"/>
  <c r="H30" i="10"/>
  <c r="K20" i="4"/>
  <c r="J23" i="4"/>
  <c r="I57" i="4"/>
  <c r="I58" i="4" s="1"/>
  <c r="I24" i="4"/>
  <c r="I51" i="4"/>
  <c r="H52" i="4"/>
  <c r="H26" i="4" s="1"/>
  <c r="H53" i="4"/>
  <c r="C53" i="4"/>
  <c r="G38" i="10"/>
  <c r="F28" i="7"/>
  <c r="F46" i="4"/>
  <c r="F48" i="4" s="1"/>
  <c r="F41" i="4"/>
  <c r="E15" i="6"/>
  <c r="E12" i="11"/>
  <c r="E6" i="12"/>
  <c r="E20" i="11"/>
  <c r="E35" i="4" s="1"/>
  <c r="E28" i="4"/>
  <c r="G46" i="4" l="1"/>
  <c r="G48" i="4" s="1"/>
  <c r="C48" i="4" s="1"/>
  <c r="G41" i="4"/>
  <c r="G28" i="7"/>
  <c r="C26" i="4"/>
  <c r="H9" i="10"/>
  <c r="C9" i="10"/>
  <c r="G10" i="10"/>
  <c r="G46" i="10"/>
  <c r="C46" i="10" s="1"/>
  <c r="H29" i="10"/>
  <c r="I15" i="10"/>
  <c r="J19" i="10"/>
  <c r="I30" i="10"/>
  <c r="L20" i="4"/>
  <c r="K23" i="4"/>
  <c r="J51" i="4"/>
  <c r="J24" i="4"/>
  <c r="J57" i="4"/>
  <c r="J58" i="4" s="1"/>
  <c r="I52" i="4"/>
  <c r="I53" i="4"/>
  <c r="H41" i="4"/>
  <c r="H46" i="4"/>
  <c r="H48" i="4" s="1"/>
  <c r="H28" i="7"/>
  <c r="H38" i="10"/>
  <c r="C38" i="10"/>
  <c r="G21" i="6"/>
  <c r="C21" i="6" s="1"/>
  <c r="F11" i="11"/>
  <c r="F44" i="11"/>
  <c r="F43" i="4"/>
  <c r="F44" i="4"/>
  <c r="E37" i="10"/>
  <c r="E16" i="6"/>
  <c r="F28" i="6"/>
  <c r="F29" i="6" s="1"/>
  <c r="B5" i="2"/>
  <c r="E41" i="11"/>
  <c r="E34" i="11"/>
  <c r="E39" i="4"/>
  <c r="E38" i="4"/>
  <c r="E11" i="12"/>
  <c r="E26" i="12" s="1"/>
  <c r="E21" i="11"/>
  <c r="E23" i="11" s="1"/>
  <c r="E24" i="11" s="1"/>
  <c r="E31" i="4"/>
  <c r="I54" i="4"/>
  <c r="G43" i="4" l="1"/>
  <c r="G44" i="4"/>
  <c r="C44" i="4" s="1"/>
  <c r="C41" i="4"/>
  <c r="G11" i="11"/>
  <c r="G44" i="11"/>
  <c r="C44" i="11" s="1"/>
  <c r="C28" i="7"/>
  <c r="C10" i="10"/>
  <c r="E47" i="10"/>
  <c r="E31" i="10" s="1"/>
  <c r="H10" i="10"/>
  <c r="F47" i="10" s="1"/>
  <c r="H46" i="10"/>
  <c r="I9" i="10"/>
  <c r="I29" i="10"/>
  <c r="J15" i="10"/>
  <c r="E33" i="4"/>
  <c r="E32" i="4"/>
  <c r="K19" i="10"/>
  <c r="J30" i="10"/>
  <c r="M20" i="4"/>
  <c r="L23" i="4"/>
  <c r="K57" i="4"/>
  <c r="K58" i="4" s="1"/>
  <c r="K24" i="4"/>
  <c r="K51" i="4"/>
  <c r="J53" i="4"/>
  <c r="J52" i="4"/>
  <c r="J26" i="4"/>
  <c r="I26" i="4"/>
  <c r="H43" i="4"/>
  <c r="H44" i="4"/>
  <c r="H44" i="11"/>
  <c r="H11" i="11"/>
  <c r="H21" i="6"/>
  <c r="F12" i="11"/>
  <c r="F6" i="12"/>
  <c r="F20" i="11"/>
  <c r="F35" i="4" s="1"/>
  <c r="F28" i="4"/>
  <c r="E20" i="6"/>
  <c r="E40" i="10"/>
  <c r="E27" i="11"/>
  <c r="F30" i="6"/>
  <c r="F16" i="12"/>
  <c r="B8" i="2"/>
  <c r="B11" i="2"/>
  <c r="B6" i="2"/>
  <c r="E14" i="12"/>
  <c r="J54" i="4"/>
  <c r="I38" i="10"/>
  <c r="I21" i="6" s="1"/>
  <c r="J9" i="10" l="1"/>
  <c r="I10" i="10"/>
  <c r="G47" i="10" s="1"/>
  <c r="I46" i="10"/>
  <c r="G12" i="11"/>
  <c r="H28" i="6" s="1"/>
  <c r="G6" i="12"/>
  <c r="G20" i="11"/>
  <c r="G28" i="4"/>
  <c r="C11" i="11"/>
  <c r="J29" i="10"/>
  <c r="K15" i="10"/>
  <c r="L15" i="10" s="1"/>
  <c r="K29" i="10"/>
  <c r="F31" i="10"/>
  <c r="K30" i="10"/>
  <c r="L19" i="10"/>
  <c r="E30" i="11"/>
  <c r="E31" i="11" s="1"/>
  <c r="E23" i="6"/>
  <c r="E24" i="6" s="1"/>
  <c r="N20" i="4"/>
  <c r="M23" i="4"/>
  <c r="L57" i="4"/>
  <c r="L58" i="4" s="1"/>
  <c r="L24" i="4"/>
  <c r="L51" i="4"/>
  <c r="L54" i="4" s="1"/>
  <c r="K53" i="4"/>
  <c r="K38" i="10" s="1"/>
  <c r="K21" i="6" s="1"/>
  <c r="K52" i="4"/>
  <c r="J41" i="4"/>
  <c r="J46" i="4"/>
  <c r="J48" i="4" s="1"/>
  <c r="J28" i="7"/>
  <c r="I28" i="7"/>
  <c r="I46" i="4"/>
  <c r="I48" i="4" s="1"/>
  <c r="I41" i="4"/>
  <c r="H12" i="11"/>
  <c r="H6" i="12"/>
  <c r="H20" i="11"/>
  <c r="H35" i="4" s="1"/>
  <c r="H28" i="4"/>
  <c r="G28" i="6"/>
  <c r="G29" i="6" s="1"/>
  <c r="C5" i="2"/>
  <c r="F41" i="11"/>
  <c r="F34" i="11"/>
  <c r="F39" i="4"/>
  <c r="F38" i="4"/>
  <c r="F11" i="12"/>
  <c r="F21" i="11"/>
  <c r="F23" i="11" s="1"/>
  <c r="F24" i="11" s="1"/>
  <c r="F31" i="4"/>
  <c r="E32" i="10"/>
  <c r="F8" i="6"/>
  <c r="F7" i="6"/>
  <c r="F6" i="6"/>
  <c r="K54" i="4"/>
  <c r="J38" i="10"/>
  <c r="J46" i="10" l="1"/>
  <c r="K9" i="10"/>
  <c r="J10" i="10"/>
  <c r="H47" i="10" s="1"/>
  <c r="H31" i="10" s="1"/>
  <c r="D5" i="2"/>
  <c r="G41" i="11"/>
  <c r="G34" i="11"/>
  <c r="C12" i="11"/>
  <c r="C41" i="11" s="1"/>
  <c r="C20" i="11"/>
  <c r="G35" i="4"/>
  <c r="G21" i="11"/>
  <c r="G11" i="12"/>
  <c r="C6" i="12"/>
  <c r="G31" i="4"/>
  <c r="C31" i="4" s="1"/>
  <c r="C33" i="4" s="1"/>
  <c r="C28" i="4"/>
  <c r="F30" i="11"/>
  <c r="F23" i="6"/>
  <c r="L29" i="10"/>
  <c r="M15" i="10"/>
  <c r="G31" i="10"/>
  <c r="C47" i="10"/>
  <c r="G30" i="6"/>
  <c r="H29" i="6"/>
  <c r="H30" i="6" s="1"/>
  <c r="F26" i="12"/>
  <c r="M19" i="10"/>
  <c r="L30" i="10"/>
  <c r="O20" i="4"/>
  <c r="N23" i="4"/>
  <c r="M51" i="4"/>
  <c r="M54" i="4" s="1"/>
  <c r="M24" i="4"/>
  <c r="M57" i="4"/>
  <c r="M58" i="4" s="1"/>
  <c r="L53" i="4"/>
  <c r="L52" i="4"/>
  <c r="L26" i="4" s="1"/>
  <c r="K26" i="4"/>
  <c r="J43" i="4"/>
  <c r="J44" i="4"/>
  <c r="J11" i="11"/>
  <c r="J44" i="11"/>
  <c r="I11" i="11"/>
  <c r="I44" i="11"/>
  <c r="I43" i="4"/>
  <c r="I44" i="4"/>
  <c r="I28" i="6"/>
  <c r="E5" i="2"/>
  <c r="H41" i="11"/>
  <c r="H34" i="11"/>
  <c r="H39" i="4"/>
  <c r="H38" i="4"/>
  <c r="H11" i="12"/>
  <c r="H21" i="11"/>
  <c r="H23" i="11" s="1"/>
  <c r="H24" i="11" s="1"/>
  <c r="H31" i="4"/>
  <c r="G16" i="12"/>
  <c r="C16" i="12" s="1"/>
  <c r="C8" i="2"/>
  <c r="C11" i="2"/>
  <c r="C6" i="2"/>
  <c r="F14" i="12"/>
  <c r="E25" i="6"/>
  <c r="E33" i="11"/>
  <c r="E15" i="12"/>
  <c r="B7" i="2"/>
  <c r="B9" i="2" s="1"/>
  <c r="F15" i="6"/>
  <c r="J21" i="6"/>
  <c r="F32" i="4"/>
  <c r="F33" i="4"/>
  <c r="L9" i="10" l="1"/>
  <c r="L10" i="10" s="1"/>
  <c r="J47" i="10" s="1"/>
  <c r="J31" i="10" s="1"/>
  <c r="K10" i="10"/>
  <c r="I47" i="10" s="1"/>
  <c r="K46" i="10"/>
  <c r="C35" i="4"/>
  <c r="C38" i="4" s="1"/>
  <c r="G38" i="4"/>
  <c r="G39" i="4"/>
  <c r="C39" i="4" s="1"/>
  <c r="H26" i="12"/>
  <c r="D8" i="2"/>
  <c r="C34" i="11"/>
  <c r="H16" i="12"/>
  <c r="G14" i="12"/>
  <c r="C14" i="12" s="1"/>
  <c r="D6" i="2"/>
  <c r="G23" i="11"/>
  <c r="C21" i="11"/>
  <c r="G26" i="12"/>
  <c r="C26" i="12" s="1"/>
  <c r="C11" i="12"/>
  <c r="D11" i="2"/>
  <c r="G32" i="4"/>
  <c r="C32" i="4" s="1"/>
  <c r="G33" i="4"/>
  <c r="C31" i="10"/>
  <c r="G23" i="6"/>
  <c r="C23" i="6" s="1"/>
  <c r="G30" i="11"/>
  <c r="C30" i="11" s="1"/>
  <c r="M29" i="10"/>
  <c r="N15" i="10"/>
  <c r="I29" i="6"/>
  <c r="I30" i="6" s="1"/>
  <c r="G8" i="6"/>
  <c r="C8" i="6" s="1"/>
  <c r="G7" i="6"/>
  <c r="C7" i="6" s="1"/>
  <c r="G6" i="6"/>
  <c r="H32" i="4"/>
  <c r="H33" i="4"/>
  <c r="M30" i="10"/>
  <c r="N19" i="10"/>
  <c r="H23" i="6"/>
  <c r="H30" i="11"/>
  <c r="P20" i="4"/>
  <c r="O23" i="4"/>
  <c r="N57" i="4"/>
  <c r="N58" i="4" s="1"/>
  <c r="N24" i="4"/>
  <c r="N51" i="4"/>
  <c r="N54" i="4" s="1"/>
  <c r="M53" i="4"/>
  <c r="M52" i="4"/>
  <c r="L41" i="4"/>
  <c r="L46" i="4"/>
  <c r="L48" i="4" s="1"/>
  <c r="L28" i="7"/>
  <c r="L38" i="10"/>
  <c r="K28" i="7"/>
  <c r="K46" i="4"/>
  <c r="K48" i="4" s="1"/>
  <c r="K41" i="4"/>
  <c r="J12" i="11"/>
  <c r="J6" i="12"/>
  <c r="J11" i="12" s="1"/>
  <c r="J20" i="11"/>
  <c r="J28" i="4"/>
  <c r="J31" i="4" s="1"/>
  <c r="I12" i="11"/>
  <c r="I6" i="12"/>
  <c r="I20" i="11"/>
  <c r="I35" i="4" s="1"/>
  <c r="I28" i="4"/>
  <c r="I16" i="12"/>
  <c r="E8" i="2"/>
  <c r="E11" i="2"/>
  <c r="E6" i="2"/>
  <c r="H14" i="12"/>
  <c r="E35" i="11"/>
  <c r="E17" i="12"/>
  <c r="E24" i="12"/>
  <c r="F37" i="10"/>
  <c r="F16" i="6"/>
  <c r="H6" i="6"/>
  <c r="H8" i="6"/>
  <c r="H7" i="6"/>
  <c r="L46" i="10" l="1"/>
  <c r="M9" i="10"/>
  <c r="C23" i="11"/>
  <c r="C24" i="11" s="1"/>
  <c r="G24" i="11"/>
  <c r="N29" i="10"/>
  <c r="O15" i="10"/>
  <c r="G15" i="6"/>
  <c r="C6" i="6"/>
  <c r="N30" i="10"/>
  <c r="O19" i="10"/>
  <c r="J30" i="11"/>
  <c r="J23" i="6"/>
  <c r="I31" i="10"/>
  <c r="Q20" i="4"/>
  <c r="P23" i="4"/>
  <c r="O24" i="4"/>
  <c r="O51" i="4"/>
  <c r="O54" i="4" s="1"/>
  <c r="O57" i="4"/>
  <c r="O58" i="4" s="1"/>
  <c r="N52" i="4"/>
  <c r="N26" i="4" s="1"/>
  <c r="N53" i="4"/>
  <c r="M26" i="4"/>
  <c r="L43" i="4"/>
  <c r="L44" i="4"/>
  <c r="L44" i="11"/>
  <c r="L11" i="11"/>
  <c r="L21" i="6"/>
  <c r="K44" i="11"/>
  <c r="K11" i="11"/>
  <c r="K43" i="4"/>
  <c r="K44" i="4"/>
  <c r="J33" i="4"/>
  <c r="J32" i="4"/>
  <c r="G5" i="2"/>
  <c r="K28" i="6"/>
  <c r="J41" i="11"/>
  <c r="J34" i="11"/>
  <c r="G11" i="2"/>
  <c r="J28" i="6"/>
  <c r="J29" i="6" s="1"/>
  <c r="F5" i="2"/>
  <c r="I41" i="11"/>
  <c r="I34" i="11"/>
  <c r="I39" i="4"/>
  <c r="I38" i="4"/>
  <c r="I11" i="12"/>
  <c r="I21" i="11"/>
  <c r="I23" i="11" s="1"/>
  <c r="I24" i="11" s="1"/>
  <c r="I31" i="4"/>
  <c r="E36" i="11"/>
  <c r="E37" i="11"/>
  <c r="B10" i="2"/>
  <c r="B12" i="2"/>
  <c r="E19" i="12"/>
  <c r="B14" i="2"/>
  <c r="F40" i="10"/>
  <c r="F20" i="6"/>
  <c r="F27" i="11"/>
  <c r="I7" i="6"/>
  <c r="I6" i="6"/>
  <c r="I8" i="6"/>
  <c r="H15" i="6"/>
  <c r="M38" i="10"/>
  <c r="M21" i="6" s="1"/>
  <c r="J21" i="11"/>
  <c r="J23" i="11" s="1"/>
  <c r="J24" i="11" s="1"/>
  <c r="J35" i="4"/>
  <c r="M10" i="10" l="1"/>
  <c r="K47" i="10" s="1"/>
  <c r="N9" i="10"/>
  <c r="M46" i="10"/>
  <c r="O29" i="10"/>
  <c r="P15" i="10"/>
  <c r="C15" i="6"/>
  <c r="G16" i="6"/>
  <c r="C16" i="6" s="1"/>
  <c r="G37" i="10"/>
  <c r="J26" i="12"/>
  <c r="I26" i="12"/>
  <c r="I33" i="4"/>
  <c r="I32" i="4"/>
  <c r="I15" i="6"/>
  <c r="O30" i="10"/>
  <c r="P19" i="10"/>
  <c r="I23" i="6"/>
  <c r="I30" i="11"/>
  <c r="R20" i="4"/>
  <c r="Q23" i="4"/>
  <c r="P51" i="4"/>
  <c r="P57" i="4"/>
  <c r="P58" i="4" s="1"/>
  <c r="P24" i="4"/>
  <c r="O53" i="4"/>
  <c r="O52" i="4"/>
  <c r="N41" i="4"/>
  <c r="N46" i="4"/>
  <c r="N48" i="4" s="1"/>
  <c r="N28" i="7"/>
  <c r="M28" i="7"/>
  <c r="M46" i="4"/>
  <c r="M48" i="4" s="1"/>
  <c r="M41" i="4"/>
  <c r="L12" i="11"/>
  <c r="L6" i="12"/>
  <c r="L11" i="12" s="1"/>
  <c r="L20" i="11"/>
  <c r="L28" i="4"/>
  <c r="L31" i="4" s="1"/>
  <c r="K12" i="11"/>
  <c r="K6" i="12"/>
  <c r="K20" i="11"/>
  <c r="K35" i="4" s="1"/>
  <c r="K28" i="4"/>
  <c r="K16" i="12"/>
  <c r="G8" i="2"/>
  <c r="J16" i="12"/>
  <c r="F8" i="2"/>
  <c r="F11" i="2"/>
  <c r="I14" i="12"/>
  <c r="F6" i="2"/>
  <c r="E21" i="12"/>
  <c r="F32" i="10"/>
  <c r="F24" i="6"/>
  <c r="F31" i="11"/>
  <c r="H37" i="10"/>
  <c r="H16" i="6"/>
  <c r="G6" i="2"/>
  <c r="J14" i="12"/>
  <c r="J38" i="4"/>
  <c r="J39" i="4"/>
  <c r="N38" i="10"/>
  <c r="K29" i="6"/>
  <c r="J30" i="6"/>
  <c r="N46" i="10" l="1"/>
  <c r="O9" i="10"/>
  <c r="N10" i="10"/>
  <c r="L47" i="10" s="1"/>
  <c r="L31" i="10" s="1"/>
  <c r="P29" i="10"/>
  <c r="Q15" i="10"/>
  <c r="C37" i="10"/>
  <c r="G40" i="10"/>
  <c r="G20" i="6"/>
  <c r="G27" i="11"/>
  <c r="I37" i="10"/>
  <c r="I16" i="6"/>
  <c r="Q19" i="10"/>
  <c r="P30" i="10"/>
  <c r="K31" i="10"/>
  <c r="S20" i="4"/>
  <c r="R23" i="4"/>
  <c r="Q51" i="4"/>
  <c r="Q24" i="4"/>
  <c r="Q57" i="4"/>
  <c r="Q58" i="4" s="1"/>
  <c r="P53" i="4"/>
  <c r="P52" i="4"/>
  <c r="P26" i="4"/>
  <c r="O26" i="4"/>
  <c r="N43" i="4"/>
  <c r="N44" i="4"/>
  <c r="N11" i="11"/>
  <c r="N44" i="11"/>
  <c r="M11" i="11"/>
  <c r="M44" i="11"/>
  <c r="M43" i="4"/>
  <c r="M44" i="4"/>
  <c r="L33" i="4"/>
  <c r="L32" i="4"/>
  <c r="I5" i="2"/>
  <c r="M28" i="6"/>
  <c r="L41" i="11"/>
  <c r="L34" i="11"/>
  <c r="I11" i="2"/>
  <c r="L28" i="6"/>
  <c r="L29" i="6" s="1"/>
  <c r="H5" i="2"/>
  <c r="K41" i="11"/>
  <c r="K34" i="11"/>
  <c r="K39" i="4"/>
  <c r="K38" i="4"/>
  <c r="K11" i="12"/>
  <c r="K21" i="11"/>
  <c r="K23" i="11" s="1"/>
  <c r="K24" i="11" s="1"/>
  <c r="K31" i="4"/>
  <c r="F20" i="12"/>
  <c r="B13" i="2"/>
  <c r="E25" i="12"/>
  <c r="F25" i="6"/>
  <c r="F33" i="11"/>
  <c r="C7" i="2"/>
  <c r="C9" i="2" s="1"/>
  <c r="F15" i="12"/>
  <c r="H20" i="6"/>
  <c r="H40" i="10"/>
  <c r="H27" i="11"/>
  <c r="N21" i="6"/>
  <c r="K30" i="6"/>
  <c r="J6" i="6"/>
  <c r="J8" i="6"/>
  <c r="J7" i="6"/>
  <c r="P54" i="4"/>
  <c r="O38" i="10"/>
  <c r="O21" i="6" s="1"/>
  <c r="L21" i="11"/>
  <c r="L23" i="11" s="1"/>
  <c r="L24" i="11" s="1"/>
  <c r="L35" i="4"/>
  <c r="O46" i="10" l="1"/>
  <c r="P9" i="10"/>
  <c r="O10" i="10"/>
  <c r="M47" i="10" s="1"/>
  <c r="M31" i="10" s="1"/>
  <c r="Q29" i="10"/>
  <c r="R15" i="10"/>
  <c r="C40" i="10"/>
  <c r="G32" i="10"/>
  <c r="C32" i="10" s="1"/>
  <c r="G24" i="6"/>
  <c r="C20" i="6"/>
  <c r="G31" i="11"/>
  <c r="C27" i="11"/>
  <c r="I27" i="11"/>
  <c r="I31" i="11" s="1"/>
  <c r="I20" i="6"/>
  <c r="I24" i="6" s="1"/>
  <c r="I40" i="10"/>
  <c r="I32" i="10" s="1"/>
  <c r="R19" i="10"/>
  <c r="Q30" i="10"/>
  <c r="K30" i="11"/>
  <c r="K23" i="6"/>
  <c r="R24" i="4"/>
  <c r="R51" i="4"/>
  <c r="R54" i="4" s="1"/>
  <c r="R57" i="4"/>
  <c r="R58" i="4" s="1"/>
  <c r="Q53" i="4"/>
  <c r="Q38" i="10" s="1"/>
  <c r="Q21" i="6" s="1"/>
  <c r="Q52" i="4"/>
  <c r="P41" i="4"/>
  <c r="P46" i="4"/>
  <c r="P48" i="4" s="1"/>
  <c r="P28" i="7"/>
  <c r="O28" i="7"/>
  <c r="O46" i="4"/>
  <c r="O48" i="4" s="1"/>
  <c r="O41" i="4"/>
  <c r="N12" i="11"/>
  <c r="N6" i="12"/>
  <c r="N11" i="12" s="1"/>
  <c r="N20" i="11"/>
  <c r="N28" i="4"/>
  <c r="N31" i="4" s="1"/>
  <c r="M12" i="11"/>
  <c r="M6" i="12"/>
  <c r="M20" i="11"/>
  <c r="M35" i="4" s="1"/>
  <c r="M28" i="4"/>
  <c r="M16" i="12"/>
  <c r="I8" i="2"/>
  <c r="L16" i="12"/>
  <c r="H8" i="2"/>
  <c r="H11" i="2"/>
  <c r="K14" i="12"/>
  <c r="H6" i="2"/>
  <c r="B15" i="2"/>
  <c r="F35" i="11"/>
  <c r="F17" i="12"/>
  <c r="F24" i="12"/>
  <c r="H24" i="6"/>
  <c r="H32" i="10"/>
  <c r="H31" i="11"/>
  <c r="K7" i="6"/>
  <c r="K6" i="6"/>
  <c r="K8" i="6"/>
  <c r="L30" i="6"/>
  <c r="M29" i="6"/>
  <c r="J15" i="6"/>
  <c r="L23" i="6"/>
  <c r="L30" i="11"/>
  <c r="I6" i="2"/>
  <c r="L14" i="12"/>
  <c r="L38" i="4"/>
  <c r="L39" i="4"/>
  <c r="S23" i="4"/>
  <c r="D23" i="4" s="1"/>
  <c r="D20" i="4"/>
  <c r="Q54" i="4"/>
  <c r="P38" i="10"/>
  <c r="L26" i="12"/>
  <c r="K26" i="12"/>
  <c r="K33" i="4"/>
  <c r="K32" i="4"/>
  <c r="Q9" i="10" l="1"/>
  <c r="P46" i="10"/>
  <c r="P10" i="10"/>
  <c r="N47" i="10" s="1"/>
  <c r="R29" i="10"/>
  <c r="S15" i="10"/>
  <c r="B25" i="1" s="1"/>
  <c r="I25" i="6"/>
  <c r="G25" i="6"/>
  <c r="C25" i="6" s="1"/>
  <c r="C24" i="6"/>
  <c r="D7" i="2"/>
  <c r="D9" i="2" s="1"/>
  <c r="G15" i="12"/>
  <c r="C31" i="11"/>
  <c r="G33" i="11"/>
  <c r="I33" i="11"/>
  <c r="I35" i="11" s="1"/>
  <c r="I15" i="12"/>
  <c r="F7" i="2"/>
  <c r="F9" i="2" s="1"/>
  <c r="R30" i="10"/>
  <c r="S19" i="10"/>
  <c r="R53" i="4"/>
  <c r="R52" i="4"/>
  <c r="Q26" i="4"/>
  <c r="P43" i="4"/>
  <c r="P44" i="4"/>
  <c r="P44" i="11"/>
  <c r="P11" i="11"/>
  <c r="O44" i="11"/>
  <c r="O11" i="11"/>
  <c r="O43" i="4"/>
  <c r="O44" i="4"/>
  <c r="O28" i="6"/>
  <c r="N33" i="4"/>
  <c r="N32" i="4"/>
  <c r="K5" i="2"/>
  <c r="N41" i="11"/>
  <c r="N34" i="11"/>
  <c r="K11" i="2"/>
  <c r="J5" i="2"/>
  <c r="M41" i="11"/>
  <c r="M34" i="11"/>
  <c r="N28" i="6"/>
  <c r="N29" i="6" s="1"/>
  <c r="M39" i="4"/>
  <c r="M38" i="4"/>
  <c r="M11" i="12"/>
  <c r="M21" i="11"/>
  <c r="M23" i="11" s="1"/>
  <c r="M24" i="11" s="1"/>
  <c r="M31" i="4"/>
  <c r="C10" i="2"/>
  <c r="F37" i="11"/>
  <c r="F36" i="11"/>
  <c r="C12" i="2"/>
  <c r="F19" i="12"/>
  <c r="C14" i="2"/>
  <c r="H25" i="6"/>
  <c r="H33" i="11"/>
  <c r="H15" i="12"/>
  <c r="E7" i="2"/>
  <c r="E9" i="2" s="1"/>
  <c r="L7" i="6"/>
  <c r="L6" i="6"/>
  <c r="L8" i="6"/>
  <c r="M30" i="6"/>
  <c r="J37" i="10"/>
  <c r="J16" i="6"/>
  <c r="M30" i="11"/>
  <c r="M23" i="6"/>
  <c r="S51" i="4"/>
  <c r="S54" i="4" s="1"/>
  <c r="S24" i="4"/>
  <c r="D24" i="4" s="1"/>
  <c r="S57" i="4"/>
  <c r="S58" i="4" s="1"/>
  <c r="P21" i="6"/>
  <c r="K15" i="6"/>
  <c r="N21" i="11"/>
  <c r="N23" i="11" s="1"/>
  <c r="N24" i="11" s="1"/>
  <c r="N35" i="4"/>
  <c r="Q10" i="10" l="1"/>
  <c r="O47" i="10" s="1"/>
  <c r="O31" i="10" s="1"/>
  <c r="Q46" i="10"/>
  <c r="R9" i="10"/>
  <c r="G35" i="11"/>
  <c r="C33" i="11"/>
  <c r="S29" i="10"/>
  <c r="D29" i="10" s="1"/>
  <c r="D15" i="10"/>
  <c r="C15" i="12"/>
  <c r="G24" i="12"/>
  <c r="G17" i="12"/>
  <c r="M33" i="4"/>
  <c r="M32" i="4"/>
  <c r="F10" i="2"/>
  <c r="I37" i="11"/>
  <c r="I36" i="11"/>
  <c r="I17" i="12"/>
  <c r="I24" i="12"/>
  <c r="F14" i="2" s="1"/>
  <c r="D19" i="10"/>
  <c r="S30" i="10"/>
  <c r="D30" i="10" s="1"/>
  <c r="N31" i="10"/>
  <c r="R38" i="10"/>
  <c r="Q28" i="7"/>
  <c r="Q46" i="4"/>
  <c r="Q48" i="4" s="1"/>
  <c r="Q41" i="4"/>
  <c r="P12" i="11"/>
  <c r="P6" i="12"/>
  <c r="P11" i="12" s="1"/>
  <c r="P20" i="11"/>
  <c r="P28" i="4"/>
  <c r="P31" i="4" s="1"/>
  <c r="O12" i="11"/>
  <c r="O6" i="12"/>
  <c r="O20" i="11"/>
  <c r="O35" i="4" s="1"/>
  <c r="O28" i="4"/>
  <c r="O16" i="12"/>
  <c r="K8" i="2"/>
  <c r="N16" i="12"/>
  <c r="J8" i="2"/>
  <c r="J11" i="2"/>
  <c r="J6" i="2"/>
  <c r="M14" i="12"/>
  <c r="F21" i="12"/>
  <c r="H35" i="11"/>
  <c r="H17" i="12"/>
  <c r="H24" i="12"/>
  <c r="L15" i="6"/>
  <c r="M6" i="6"/>
  <c r="M8" i="6"/>
  <c r="M7" i="6"/>
  <c r="N30" i="6"/>
  <c r="O29" i="6"/>
  <c r="J40" i="10"/>
  <c r="J20" i="6"/>
  <c r="J27" i="11"/>
  <c r="D51" i="4"/>
  <c r="S52" i="4"/>
  <c r="S53" i="4"/>
  <c r="K16" i="6"/>
  <c r="K37" i="10"/>
  <c r="K6" i="2"/>
  <c r="N14" i="12"/>
  <c r="N38" i="4"/>
  <c r="N39" i="4"/>
  <c r="R26" i="4"/>
  <c r="M26" i="12"/>
  <c r="N26" i="12"/>
  <c r="O23" i="6" l="1"/>
  <c r="O30" i="11"/>
  <c r="R10" i="10"/>
  <c r="S9" i="10"/>
  <c r="R46" i="10"/>
  <c r="G36" i="11"/>
  <c r="C35" i="11"/>
  <c r="C36" i="11" s="1"/>
  <c r="G37" i="11"/>
  <c r="C37" i="11" s="1"/>
  <c r="D10" i="2"/>
  <c r="D14" i="2"/>
  <c r="C24" i="12"/>
  <c r="C17" i="12"/>
  <c r="D12" i="2"/>
  <c r="G19" i="12"/>
  <c r="C19" i="12" s="1"/>
  <c r="F12" i="2"/>
  <c r="I19" i="12"/>
  <c r="N30" i="11"/>
  <c r="N23" i="6"/>
  <c r="R21" i="6"/>
  <c r="Q11" i="11"/>
  <c r="Q44" i="11"/>
  <c r="Q43" i="4"/>
  <c r="Q44" i="4"/>
  <c r="Q28" i="6"/>
  <c r="P33" i="4"/>
  <c r="P32" i="4"/>
  <c r="M5" i="2"/>
  <c r="P41" i="11"/>
  <c r="P34" i="11"/>
  <c r="M11" i="2"/>
  <c r="L5" i="2"/>
  <c r="P28" i="6"/>
  <c r="P29" i="6" s="1"/>
  <c r="O41" i="11"/>
  <c r="O34" i="11"/>
  <c r="O39" i="4"/>
  <c r="O38" i="4"/>
  <c r="O11" i="12"/>
  <c r="O21" i="11"/>
  <c r="O23" i="11" s="1"/>
  <c r="O24" i="11" s="1"/>
  <c r="O31" i="4"/>
  <c r="G20" i="12"/>
  <c r="C13" i="2"/>
  <c r="F25" i="12"/>
  <c r="H36" i="11"/>
  <c r="H37" i="11"/>
  <c r="E10" i="2"/>
  <c r="E12" i="2"/>
  <c r="H19" i="12"/>
  <c r="E14" i="2"/>
  <c r="L37" i="10"/>
  <c r="L16" i="6"/>
  <c r="N6" i="6"/>
  <c r="N7" i="6"/>
  <c r="N8" i="6"/>
  <c r="O30" i="6"/>
  <c r="J32" i="10"/>
  <c r="J24" i="6"/>
  <c r="J31" i="11"/>
  <c r="K40" i="10"/>
  <c r="K20" i="6"/>
  <c r="K27" i="11"/>
  <c r="R28" i="7"/>
  <c r="R46" i="4"/>
  <c r="R48" i="4" s="1"/>
  <c r="R41" i="4"/>
  <c r="P21" i="11"/>
  <c r="P23" i="11" s="1"/>
  <c r="P24" i="11" s="1"/>
  <c r="P35" i="4"/>
  <c r="M15" i="6"/>
  <c r="S26" i="4"/>
  <c r="D52" i="4"/>
  <c r="S38" i="10"/>
  <c r="D53" i="4"/>
  <c r="R47" i="10" l="1"/>
  <c r="R31" i="10" s="1"/>
  <c r="P47" i="10"/>
  <c r="P31" i="10" s="1"/>
  <c r="S46" i="10"/>
  <c r="D46" i="10" s="1"/>
  <c r="S10" i="10"/>
  <c r="D9" i="10"/>
  <c r="B24" i="1" s="1"/>
  <c r="S46" i="4"/>
  <c r="S48" i="4" s="1"/>
  <c r="D48" i="4" s="1"/>
  <c r="S28" i="7"/>
  <c r="S21" i="6"/>
  <c r="D21" i="6" s="1"/>
  <c r="D38" i="10"/>
  <c r="G21" i="12"/>
  <c r="Q12" i="11"/>
  <c r="Q6" i="12"/>
  <c r="Q20" i="11"/>
  <c r="Q35" i="4" s="1"/>
  <c r="Q28" i="4"/>
  <c r="Q16" i="12"/>
  <c r="M8" i="2"/>
  <c r="P16" i="12"/>
  <c r="L8" i="2"/>
  <c r="L11" i="2"/>
  <c r="O14" i="12"/>
  <c r="L6" i="2"/>
  <c r="C15" i="2"/>
  <c r="L40" i="10"/>
  <c r="L20" i="6"/>
  <c r="L27" i="11"/>
  <c r="O8" i="6"/>
  <c r="O7" i="6"/>
  <c r="O6" i="6"/>
  <c r="Q29" i="6"/>
  <c r="P30" i="6"/>
  <c r="J25" i="6"/>
  <c r="J33" i="11"/>
  <c r="G7" i="2"/>
  <c r="G9" i="2" s="1"/>
  <c r="J15" i="12"/>
  <c r="R11" i="11"/>
  <c r="R44" i="11"/>
  <c r="R43" i="4"/>
  <c r="R44" i="4"/>
  <c r="M6" i="2"/>
  <c r="P14" i="12"/>
  <c r="P38" i="4"/>
  <c r="P39" i="4"/>
  <c r="M16" i="6"/>
  <c r="M37" i="10"/>
  <c r="S41" i="4"/>
  <c r="D26" i="4"/>
  <c r="P26" i="12"/>
  <c r="O26" i="12"/>
  <c r="O33" i="4"/>
  <c r="O32" i="4"/>
  <c r="N15" i="6"/>
  <c r="K32" i="10"/>
  <c r="K24" i="6"/>
  <c r="K31" i="11"/>
  <c r="R30" i="11" l="1"/>
  <c r="R23" i="6"/>
  <c r="S47" i="10"/>
  <c r="S31" i="10" s="1"/>
  <c r="Q47" i="10"/>
  <c r="D10" i="10"/>
  <c r="D28" i="7"/>
  <c r="S44" i="11"/>
  <c r="D44" i="11" s="1"/>
  <c r="B32" i="1" s="1"/>
  <c r="S11" i="11"/>
  <c r="G25" i="12"/>
  <c r="D13" i="2"/>
  <c r="H20" i="12"/>
  <c r="C21" i="12"/>
  <c r="K25" i="6"/>
  <c r="P23" i="6"/>
  <c r="P30" i="11"/>
  <c r="N5" i="2"/>
  <c r="R28" i="6"/>
  <c r="R29" i="6" s="1"/>
  <c r="Q41" i="11"/>
  <c r="Q34" i="11"/>
  <c r="Q39" i="4"/>
  <c r="Q38" i="4"/>
  <c r="Q11" i="12"/>
  <c r="Q26" i="12" s="1"/>
  <c r="Q21" i="11"/>
  <c r="Q23" i="11" s="1"/>
  <c r="Q24" i="11" s="1"/>
  <c r="Q31" i="4"/>
  <c r="Q30" i="6"/>
  <c r="P8" i="6"/>
  <c r="P6" i="6"/>
  <c r="P7" i="6"/>
  <c r="J35" i="11"/>
  <c r="J17" i="12"/>
  <c r="J24" i="12"/>
  <c r="R12" i="11"/>
  <c r="R6" i="12"/>
  <c r="R20" i="11"/>
  <c r="R28" i="4"/>
  <c r="M20" i="6"/>
  <c r="M40" i="10"/>
  <c r="M27" i="11"/>
  <c r="D41" i="4"/>
  <c r="S44" i="4"/>
  <c r="D44" i="4" s="1"/>
  <c r="S43" i="4"/>
  <c r="N16" i="6"/>
  <c r="N37" i="10"/>
  <c r="K15" i="12"/>
  <c r="H7" i="2"/>
  <c r="H9" i="2" s="1"/>
  <c r="K33" i="11"/>
  <c r="K35" i="11" s="1"/>
  <c r="L32" i="10"/>
  <c r="L24" i="6"/>
  <c r="L31" i="11"/>
  <c r="O15" i="6"/>
  <c r="Q31" i="10" l="1"/>
  <c r="D47" i="10"/>
  <c r="S23" i="6"/>
  <c r="S30" i="11"/>
  <c r="L25" i="6"/>
  <c r="D11" i="11"/>
  <c r="S28" i="4"/>
  <c r="S20" i="11"/>
  <c r="D20" i="11" s="1"/>
  <c r="S6" i="12"/>
  <c r="S12" i="11"/>
  <c r="D12" i="11" s="1"/>
  <c r="D15" i="2"/>
  <c r="C25" i="12"/>
  <c r="H21" i="12"/>
  <c r="E13" i="2" s="1"/>
  <c r="D20" i="12"/>
  <c r="P15" i="6"/>
  <c r="R16" i="12"/>
  <c r="N8" i="2"/>
  <c r="N11" i="2"/>
  <c r="Q14" i="12"/>
  <c r="N6" i="2"/>
  <c r="Q6" i="6"/>
  <c r="Q8" i="6"/>
  <c r="Q7" i="6"/>
  <c r="R30" i="6"/>
  <c r="G10" i="2"/>
  <c r="J37" i="11"/>
  <c r="J36" i="11"/>
  <c r="G12" i="2"/>
  <c r="J19" i="12"/>
  <c r="G14" i="2"/>
  <c r="S28" i="6"/>
  <c r="S29" i="6" s="1"/>
  <c r="S30" i="6" s="1"/>
  <c r="O5" i="2"/>
  <c r="R41" i="11"/>
  <c r="R34" i="11"/>
  <c r="N40" i="10"/>
  <c r="N20" i="6"/>
  <c r="N27" i="11"/>
  <c r="K17" i="12"/>
  <c r="K24" i="12"/>
  <c r="H10" i="2"/>
  <c r="K37" i="11"/>
  <c r="K36" i="11"/>
  <c r="L15" i="12"/>
  <c r="I7" i="2"/>
  <c r="I9" i="2" s="1"/>
  <c r="L33" i="11"/>
  <c r="O16" i="6"/>
  <c r="O37" i="10"/>
  <c r="Q33" i="4"/>
  <c r="Q32" i="4"/>
  <c r="R11" i="12"/>
  <c r="R21" i="11"/>
  <c r="R35" i="4"/>
  <c r="R31" i="4"/>
  <c r="M24" i="6"/>
  <c r="M32" i="10"/>
  <c r="M31" i="11"/>
  <c r="D31" i="10" l="1"/>
  <c r="Q23" i="6"/>
  <c r="D23" i="6" s="1"/>
  <c r="Q30" i="11"/>
  <c r="D30" i="11" s="1"/>
  <c r="S31" i="4"/>
  <c r="D31" i="4" s="1"/>
  <c r="D33" i="4" s="1"/>
  <c r="D28" i="4"/>
  <c r="S11" i="12"/>
  <c r="S26" i="12" s="1"/>
  <c r="D6" i="12"/>
  <c r="S35" i="4"/>
  <c r="D35" i="4" s="1"/>
  <c r="D38" i="4" s="1"/>
  <c r="S21" i="11"/>
  <c r="D21" i="11" s="1"/>
  <c r="S34" i="11"/>
  <c r="S41" i="11"/>
  <c r="P5" i="2"/>
  <c r="H25" i="12"/>
  <c r="E15" i="2" s="1"/>
  <c r="I20" i="12"/>
  <c r="I21" i="12" s="1"/>
  <c r="I25" i="12" s="1"/>
  <c r="R23" i="11"/>
  <c r="P37" i="10"/>
  <c r="P16" i="6"/>
  <c r="R33" i="4"/>
  <c r="R32" i="4"/>
  <c r="R26" i="12"/>
  <c r="Q15" i="6"/>
  <c r="R6" i="6"/>
  <c r="R7" i="6"/>
  <c r="R8" i="6"/>
  <c r="S7" i="6"/>
  <c r="S8" i="6"/>
  <c r="S6" i="6"/>
  <c r="S16" i="12"/>
  <c r="D16" i="12" s="1"/>
  <c r="O8" i="2"/>
  <c r="H12" i="2"/>
  <c r="K19" i="12"/>
  <c r="L17" i="12"/>
  <c r="L24" i="12"/>
  <c r="L35" i="11"/>
  <c r="O20" i="6"/>
  <c r="O40" i="10"/>
  <c r="O27" i="11"/>
  <c r="D41" i="11"/>
  <c r="B27" i="1" s="1"/>
  <c r="B7" i="1"/>
  <c r="B28" i="1"/>
  <c r="B29" i="1"/>
  <c r="O11" i="2"/>
  <c r="O6" i="2"/>
  <c r="R14" i="12"/>
  <c r="H27" i="12"/>
  <c r="G27" i="12"/>
  <c r="F27" i="12"/>
  <c r="E27" i="12"/>
  <c r="B21" i="1"/>
  <c r="R38" i="4"/>
  <c r="R39" i="4"/>
  <c r="M25" i="6"/>
  <c r="M15" i="12"/>
  <c r="J7" i="2"/>
  <c r="J9" i="2" s="1"/>
  <c r="M33" i="11"/>
  <c r="M35" i="11" s="1"/>
  <c r="N32" i="10"/>
  <c r="N24" i="6"/>
  <c r="N31" i="11"/>
  <c r="H14" i="2"/>
  <c r="S32" i="4" l="1"/>
  <c r="D32" i="4" s="1"/>
  <c r="S33" i="4"/>
  <c r="P11" i="2"/>
  <c r="D11" i="12"/>
  <c r="N25" i="6"/>
  <c r="S15" i="6"/>
  <c r="D26" i="12"/>
  <c r="B20" i="1" s="1"/>
  <c r="S39" i="4"/>
  <c r="D39" i="4" s="1"/>
  <c r="S38" i="4"/>
  <c r="S14" i="12"/>
  <c r="D14" i="12" s="1"/>
  <c r="P6" i="2"/>
  <c r="S23" i="11"/>
  <c r="D34" i="11"/>
  <c r="P8" i="2"/>
  <c r="C27" i="12"/>
  <c r="F13" i="2"/>
  <c r="J20" i="12"/>
  <c r="J21" i="12" s="1"/>
  <c r="I27" i="12"/>
  <c r="R24" i="11"/>
  <c r="P27" i="11"/>
  <c r="P31" i="11" s="1"/>
  <c r="P20" i="6"/>
  <c r="P24" i="6" s="1"/>
  <c r="P40" i="10"/>
  <c r="P32" i="10" s="1"/>
  <c r="D6" i="6"/>
  <c r="Q37" i="10"/>
  <c r="Q16" i="6"/>
  <c r="I12" i="2"/>
  <c r="L19" i="12"/>
  <c r="I10" i="2"/>
  <c r="L37" i="11"/>
  <c r="L36" i="11"/>
  <c r="M17" i="12"/>
  <c r="M24" i="12"/>
  <c r="J14" i="2" s="1"/>
  <c r="J10" i="2"/>
  <c r="M37" i="11"/>
  <c r="M36" i="11"/>
  <c r="N15" i="12"/>
  <c r="K7" i="2"/>
  <c r="K9" i="2" s="1"/>
  <c r="N33" i="11"/>
  <c r="R15" i="6"/>
  <c r="D7" i="6"/>
  <c r="D8" i="6"/>
  <c r="F15" i="2"/>
  <c r="I14" i="2"/>
  <c r="O24" i="6"/>
  <c r="O32" i="10"/>
  <c r="O31" i="11"/>
  <c r="D15" i="6" l="1"/>
  <c r="S37" i="10"/>
  <c r="S16" i="6"/>
  <c r="S24" i="11"/>
  <c r="D23" i="11"/>
  <c r="J27" i="12"/>
  <c r="J25" i="12"/>
  <c r="G15" i="2" s="1"/>
  <c r="G13" i="2"/>
  <c r="K20" i="12"/>
  <c r="K21" i="12" s="1"/>
  <c r="P25" i="6"/>
  <c r="P33" i="11"/>
  <c r="P35" i="11" s="1"/>
  <c r="M7" i="2"/>
  <c r="M9" i="2" s="1"/>
  <c r="P15" i="12"/>
  <c r="Q40" i="10"/>
  <c r="Q20" i="6"/>
  <c r="Q27" i="11"/>
  <c r="J12" i="2"/>
  <c r="M19" i="12"/>
  <c r="N17" i="12"/>
  <c r="N24" i="12"/>
  <c r="N35" i="11"/>
  <c r="R16" i="6"/>
  <c r="R37" i="10"/>
  <c r="O25" i="6"/>
  <c r="O15" i="12"/>
  <c r="L7" i="2"/>
  <c r="L9" i="2" s="1"/>
  <c r="O33" i="11"/>
  <c r="O35" i="11" s="1"/>
  <c r="D37" i="10" l="1"/>
  <c r="S20" i="6"/>
  <c r="S24" i="6" s="1"/>
  <c r="S40" i="10"/>
  <c r="S32" i="10" s="1"/>
  <c r="S27" i="11"/>
  <c r="S31" i="11" s="1"/>
  <c r="D16" i="6"/>
  <c r="B8" i="1"/>
  <c r="D24" i="11"/>
  <c r="K27" i="12"/>
  <c r="K25" i="12"/>
  <c r="H15" i="2" s="1"/>
  <c r="H13" i="2"/>
  <c r="L20" i="12"/>
  <c r="L21" i="12" s="1"/>
  <c r="M10" i="2"/>
  <c r="P36" i="11"/>
  <c r="P37" i="11"/>
  <c r="P24" i="12"/>
  <c r="M14" i="2" s="1"/>
  <c r="P17" i="12"/>
  <c r="Q32" i="10"/>
  <c r="Q24" i="6"/>
  <c r="Q31" i="11"/>
  <c r="K12" i="2"/>
  <c r="N19" i="12"/>
  <c r="K14" i="2"/>
  <c r="K10" i="2"/>
  <c r="N37" i="11"/>
  <c r="N36" i="11"/>
  <c r="R20" i="6"/>
  <c r="R40" i="10"/>
  <c r="R27" i="11"/>
  <c r="O17" i="12"/>
  <c r="O24" i="12"/>
  <c r="L10" i="2"/>
  <c r="O37" i="11"/>
  <c r="O36" i="11"/>
  <c r="S25" i="6" l="1"/>
  <c r="P7" i="2"/>
  <c r="P9" i="2" s="1"/>
  <c r="S33" i="11"/>
  <c r="S35" i="11" s="1"/>
  <c r="S15" i="12"/>
  <c r="I13" i="2"/>
  <c r="L25" i="12"/>
  <c r="I15" i="2" s="1"/>
  <c r="L27" i="12"/>
  <c r="M20" i="12"/>
  <c r="M21" i="12" s="1"/>
  <c r="M12" i="2"/>
  <c r="P19" i="12"/>
  <c r="R32" i="10"/>
  <c r="D32" i="10" s="1"/>
  <c r="D40" i="10"/>
  <c r="R31" i="11"/>
  <c r="D27" i="11"/>
  <c r="R24" i="6"/>
  <c r="D20" i="6"/>
  <c r="Q25" i="6"/>
  <c r="Q33" i="11"/>
  <c r="N7" i="2"/>
  <c r="N9" i="2" s="1"/>
  <c r="Q15" i="12"/>
  <c r="L12" i="2"/>
  <c r="O19" i="12"/>
  <c r="L14" i="2"/>
  <c r="P10" i="2" l="1"/>
  <c r="S37" i="11"/>
  <c r="S36" i="11"/>
  <c r="S17" i="12"/>
  <c r="S24" i="12"/>
  <c r="P14" i="2" s="1"/>
  <c r="M27" i="12"/>
  <c r="M25" i="12"/>
  <c r="J15" i="2" s="1"/>
  <c r="J13" i="2"/>
  <c r="N20" i="12"/>
  <c r="N21" i="12" s="1"/>
  <c r="D31" i="11"/>
  <c r="R33" i="11"/>
  <c r="R15" i="12"/>
  <c r="O7" i="2"/>
  <c r="O9" i="2" s="1"/>
  <c r="D24" i="6"/>
  <c r="R25" i="6"/>
  <c r="D25" i="6" s="1"/>
  <c r="Q35" i="11"/>
  <c r="Q17" i="12"/>
  <c r="Q24" i="12"/>
  <c r="P12" i="2" l="1"/>
  <c r="S19" i="12"/>
  <c r="N25" i="12"/>
  <c r="K15" i="2" s="1"/>
  <c r="O20" i="12"/>
  <c r="O21" i="12" s="1"/>
  <c r="N27" i="12"/>
  <c r="K13" i="2"/>
  <c r="R35" i="11"/>
  <c r="O10" i="2" s="1"/>
  <c r="D33" i="11"/>
  <c r="B14" i="1"/>
  <c r="B9" i="1"/>
  <c r="D15" i="12"/>
  <c r="R17" i="12"/>
  <c r="R24" i="12"/>
  <c r="N10" i="2"/>
  <c r="Q37" i="11"/>
  <c r="Q36" i="11"/>
  <c r="N12" i="2"/>
  <c r="Q19" i="12"/>
  <c r="N14" i="2"/>
  <c r="O27" i="12" l="1"/>
  <c r="L13" i="2"/>
  <c r="O25" i="12"/>
  <c r="L15" i="2" s="1"/>
  <c r="P20" i="12"/>
  <c r="P21" i="12" s="1"/>
  <c r="D35" i="11"/>
  <c r="R37" i="11"/>
  <c r="D37" i="11" s="1"/>
  <c r="R36" i="11"/>
  <c r="D17" i="12"/>
  <c r="R19" i="12"/>
  <c r="D19" i="12" s="1"/>
  <c r="O12" i="2"/>
  <c r="O14" i="2"/>
  <c r="D24" i="12"/>
  <c r="P25" i="12" l="1"/>
  <c r="M15" i="2" s="1"/>
  <c r="P27" i="12"/>
  <c r="M13" i="2"/>
  <c r="Q20" i="12"/>
  <c r="Q21" i="12" s="1"/>
  <c r="D36" i="11"/>
  <c r="B11" i="1"/>
  <c r="Q27" i="12" l="1"/>
  <c r="Q25" i="12"/>
  <c r="N15" i="2" s="1"/>
  <c r="N13" i="2"/>
  <c r="R20" i="12"/>
  <c r="R21" i="12" s="1"/>
  <c r="B13" i="1"/>
  <c r="B12" i="1"/>
  <c r="R27" i="12" l="1"/>
  <c r="S20" i="12"/>
  <c r="S21" i="12" s="1"/>
  <c r="R25" i="12"/>
  <c r="O15" i="2" s="1"/>
  <c r="O13" i="2"/>
  <c r="B17" i="1" l="1"/>
  <c r="S27" i="12"/>
  <c r="D27" i="12" s="1"/>
  <c r="B16" i="1"/>
  <c r="S25" i="12"/>
  <c r="P13" i="2"/>
  <c r="D21" i="12"/>
  <c r="B19" i="1" s="1"/>
  <c r="P15" i="2" l="1"/>
  <c r="D41" i="3" s="1"/>
  <c r="D25" i="12"/>
  <c r="B18" i="1"/>
  <c r="D40" i="3"/>
  <c r="D39" i="3"/>
</calcChain>
</file>

<file path=xl/sharedStrings.xml><?xml version="1.0" encoding="utf-8"?>
<sst xmlns="http://schemas.openxmlformats.org/spreadsheetml/2006/main" count="1714" uniqueCount="965">
  <si>
    <t>Teman Journey - 2027 plan: profitable with both founders paid</t>
  </si>
  <si>
    <t>Goal for 2027: a business that is profitable on its own and pays both founders. Investors come later, after scale. All money in Rp million.</t>
  </si>
  <si>
    <t>Active scenario:</t>
  </si>
  <si>
    <t>Active price plan:</t>
  </si>
  <si>
    <t>Question</t>
  </si>
  <si>
    <t>Answer</t>
  </si>
  <si>
    <t>Unit</t>
  </si>
  <si>
    <t>What it means</t>
  </si>
  <si>
    <t>A. Is 2027 profitable?</t>
  </si>
  <si>
    <t>Revenue FY 2027</t>
  </si>
  <si>
    <t>Rp m</t>
  </si>
  <si>
    <t>Total sales booked in 2027.</t>
  </si>
  <si>
    <t>Gross profit FY 2027</t>
  </si>
  <si>
    <t>Revenue minus delivery cost.</t>
  </si>
  <si>
    <t>Total fixed cost FY 2027</t>
  </si>
  <si>
    <t>Base + founders + sales + delivery steps.</t>
  </si>
  <si>
    <t xml:space="preserve">  of which founder salaries</t>
  </si>
  <si>
    <t>Both founders, from the start month in Inputs.</t>
  </si>
  <si>
    <t>Net profit FY 2027</t>
  </si>
  <si>
    <t>After founder salaries and tax.</t>
  </si>
  <si>
    <t>Net margin FY 2027</t>
  </si>
  <si>
    <t>%</t>
  </si>
  <si>
    <t>Net profit / revenue.</t>
  </si>
  <si>
    <t>Meets your target margin?</t>
  </si>
  <si>
    <t>Target is set in Inputs.</t>
  </si>
  <si>
    <t>Break-even: BI work needed per month (in KPW-event equivalents)</t>
  </si>
  <si>
    <t>events</t>
  </si>
  <si>
    <t>With banks, EAP and B2C at plan, this many KPW-size BI events a month (or the same profit from Flagships) covers all 2027 fixed costs.</t>
  </si>
  <si>
    <t>B. Is cash safe? (Pillar 3)</t>
  </si>
  <si>
    <t>Lowest month-end cash (Oct 26 - Dec 27)</t>
  </si>
  <si>
    <t>Must stay above zero.</t>
  </si>
  <si>
    <t>Month of lowest cash</t>
  </si>
  <si>
    <t>Where the squeeze is.</t>
  </si>
  <si>
    <t>Months below the cash floor</t>
  </si>
  <si>
    <t>months</t>
  </si>
  <si>
    <t>Floor = 1 month fixed cost + delivery cost.</t>
  </si>
  <si>
    <t>Cash at end of 2027</t>
  </si>
  <si>
    <t>Peak money owed by clients</t>
  </si>
  <si>
    <t>Cash tied up in unpaid invoices.</t>
  </si>
  <si>
    <t>Runway at end of Dec 2026 if B2B stops</t>
  </si>
  <si>
    <t>Months you survive on B2C alone with 2027 cost base.</t>
  </si>
  <si>
    <t>C. Can we deliver it? (Pillar 2)</t>
  </si>
  <si>
    <t>Peak facilitators needed in one month</t>
  </si>
  <si>
    <t>people</t>
  </si>
  <si>
    <t>Compare with your plan of 11.</t>
  </si>
  <si>
    <t>Facilitators to certify by end 2027</t>
  </si>
  <si>
    <t>Month the Project Manager is hired</t>
  </si>
  <si>
    <t>Triggered by the 3-month average of B2B events.</t>
  </si>
  <si>
    <t>D. What will investors ask? (risk)</t>
  </si>
  <si>
    <t>BI share of 2027 revenue</t>
  </si>
  <si>
    <t>Concentration risk. Lower is safer.</t>
  </si>
  <si>
    <t>B2B share of 2027 revenue</t>
  </si>
  <si>
    <t>Q4 share of 2027 revenue</t>
  </si>
  <si>
    <t>Seasonality risk.</t>
  </si>
  <si>
    <t>Cost to win one new B2B client (CAC)</t>
  </si>
  <si>
    <t>Sales spend / new clients.</t>
  </si>
  <si>
    <t>Memo: Coreitera revenue from TJ in 2027</t>
  </si>
  <si>
    <t>The 'tech' revenue line for the investor story.</t>
  </si>
  <si>
    <t>Memo: Theta revenue from TJ in 2027</t>
  </si>
  <si>
    <t>Scenario comparison (v15 values from Excel; refresh with analysis/excel_runner.py, then rebuild)</t>
  </si>
  <si>
    <t>Measure</t>
  </si>
  <si>
    <t>Old timing, v13 costs</t>
  </si>
  <si>
    <t>Real timing, v13 costs</t>
  </si>
  <si>
    <t>Our plan (v15)</t>
  </si>
  <si>
    <t>Our plan, no bank deal</t>
  </si>
  <si>
    <t>Our plan, BI buys 30% less</t>
  </si>
  <si>
    <t>Oct-26</t>
  </si>
  <si>
    <t>Apr-27</t>
  </si>
  <si>
    <t>Feb-27</t>
  </si>
  <si>
    <t>Outlook: sales, costs and cash each month (Rp million)</t>
  </si>
  <si>
    <t>Read the bars against the line: when the grey cost bar is taller than the blue sales bar, cash goes down. Cash is paid later than sales, because clients pay 0 to 60 days after the event.</t>
  </si>
  <si>
    <t>Month</t>
  </si>
  <si>
    <t>Sales (revenue)</t>
  </si>
  <si>
    <t>Delivery cost</t>
  </si>
  <si>
    <t>Fixed cost</t>
  </si>
  <si>
    <t>Tax</t>
  </si>
  <si>
    <t>Total cost</t>
  </si>
  <si>
    <t>Net profit</t>
  </si>
  <si>
    <t>Cash in</t>
  </si>
  <si>
    <t>Cash out</t>
  </si>
  <si>
    <t>Cash at end of month</t>
  </si>
  <si>
    <t>Cash floor (1 month of costs)</t>
  </si>
  <si>
    <t>Above the floor? (1 = yes)</t>
  </si>
  <si>
    <t>Roadmap: when we must start selling and preparing, worked backward from each start date</t>
  </si>
  <si>
    <t>Rule: start from the date the work begins and go back through three clocks: sales (lead to signed), delivery (people ready) and cash (work done to cash in). Regulators and banks also need us inside their budget, which they plan in the second half of the year before.</t>
  </si>
  <si>
    <t>Today (blue: change it when you review)</t>
  </si>
  <si>
    <t>A. Lead times by client type, in days (Estimate until we log 3 real deals of each type in section E)</t>
  </si>
  <si>
    <t>Client type</t>
  </si>
  <si>
    <t>Contract and paperwork (legal, vendor registration, work order)</t>
  </si>
  <si>
    <t>Pitch, scoping, proposal</t>
  </si>
  <si>
    <t>Finding qualified leads</t>
  </si>
  <si>
    <t>Private company</t>
  </si>
  <si>
    <t>Regulator (BI, OJK, LPS)</t>
  </si>
  <si>
    <t>State-owned bank</t>
  </si>
  <si>
    <t>B2C public</t>
  </si>
  <si>
    <t>B. Sales clock: the latest date to start each deal</t>
  </si>
  <si>
    <t>Milestone</t>
  </si>
  <si>
    <t>New client? (1 = yes)</t>
  </si>
  <si>
    <t>Work starts</t>
  </si>
  <si>
    <t>Client budget window closes</t>
  </si>
  <si>
    <t>Sign by</t>
  </si>
  <si>
    <t>Start pitching</t>
  </si>
  <si>
    <t>Start finding leads</t>
  </si>
  <si>
    <t>Latest start</t>
  </si>
  <si>
    <t>Owner</t>
  </si>
  <si>
    <t>Status today</t>
  </si>
  <si>
    <t>BI 2027: Flagship and regional programs (first in March)</t>
  </si>
  <si>
    <t>Kia</t>
  </si>
  <si>
    <t>BI 2027: regional events Jul-Sep (moved from the Q4 peak)</t>
  </si>
  <si>
    <t>BI 2027: regional peak Oct-Dec</t>
  </si>
  <si>
    <t>EAP contract 2: the warm lead (chase now)</t>
  </si>
  <si>
    <t>Galih</t>
  </si>
  <si>
    <t>EAP contract 2 if the client is a bank</t>
  </si>
  <si>
    <t>EAP contract 3 with a bank</t>
  </si>
  <si>
    <t>Bank agreement: training days</t>
  </si>
  <si>
    <t>Kia, then BD co-founder</t>
  </si>
  <si>
    <t>B2C events (Instagram campaign, then tickets)</t>
  </si>
  <si>
    <t>Galih (lead marketing)</t>
  </si>
  <si>
    <t>OJK and LPS programs for 2028</t>
  </si>
  <si>
    <t>BI 2028 programs</t>
  </si>
  <si>
    <t>Latest start = the earlier of: start finding leads, or the budget window close minus the pitch time.</t>
  </si>
  <si>
    <t>C. Delivery clock: people ready before the work</t>
  </si>
  <si>
    <t>Item</t>
  </si>
  <si>
    <t>Why</t>
  </si>
  <si>
    <t>Needed by</t>
  </si>
  <si>
    <t>Lead time (months)</t>
  </si>
  <si>
    <t>3 certified trainers</t>
  </si>
  <si>
    <t>First programs in March need 3 trainers</t>
  </si>
  <si>
    <t>Part-time psychologist pool for EAP 2</t>
  </si>
  <si>
    <t>EAP 2 starts in February</t>
  </si>
  <si>
    <t>Second paid part-time psychologist</t>
  </si>
  <si>
    <t>B2C evenings and EAP days from January</t>
  </si>
  <si>
    <t>Standby project manager (paid per project)</t>
  </si>
  <si>
    <t>From July, more than 2 projects in a month</t>
  </si>
  <si>
    <t>Sales co-founder</t>
  </si>
  <si>
    <t>Joins in July; searching takes longer than a normal hire</t>
  </si>
  <si>
    <t>Kia and Galih</t>
  </si>
  <si>
    <t>8 certified trainers</t>
  </si>
  <si>
    <t>Busiest months: Oct to Dec 2027</t>
  </si>
  <si>
    <t>Lead Partnership (non-psychologist)</t>
  </si>
  <si>
    <t>Manages EAP clients from October; brings clients</t>
  </si>
  <si>
    <t>Intern for invoices</t>
  </si>
  <si>
    <t>Invoices grow to about 11 a month in Q4</t>
  </si>
  <si>
    <t>D. Cash clock: work done, cash not yet in</t>
  </si>
  <si>
    <t>Lowest cash in the plan (Rp m)</t>
  </si>
  <si>
    <t>Month of the lowest cash</t>
  </si>
  <si>
    <t>Months below the safety floor</t>
  </si>
  <si>
    <t>Down payment on Flagship programs (Inputs)</t>
  </si>
  <si>
    <t>Costs leave in the event month; BI central pays 60/30/10% over 60 days, regional offices per payday, banks 20/50/30%, EAP the next month. Fix a gap before signing: a down payment, staged invoices, or a later start.</t>
  </si>
  <si>
    <t>E. Sales speed log: fill in after every won or lost deal, then replace the estimates in section A</t>
  </si>
  <si>
    <t>Client</t>
  </si>
  <si>
    <t>First contact</t>
  </si>
  <si>
    <t>Proposal sent</t>
  </si>
  <si>
    <t>Signed</t>
  </si>
  <si>
    <t>Work started</t>
  </si>
  <si>
    <t>Days to sign</t>
  </si>
  <si>
    <t>Days to cash</t>
  </si>
  <si>
    <t>Won or lost</t>
  </si>
  <si>
    <t>Note</t>
  </si>
  <si>
    <t>B2C funnel: Instagram followers to paid counseling sessions, and B2C vs B2B revenue (Rp million)</t>
  </si>
  <si>
    <t>Growth is set per quarter (blue). Followers on 5 Oct 2026: @temanjourney_id. Today about 2 paid sessions a month, so the booking rate starts at about 0.6 new paying clients a month per 1,000 followers. Feeds Volume row 28.</t>
  </si>
  <si>
    <t>Quarterly inputs (blue = change freely)</t>
  </si>
  <si>
    <t>Q4 2026</t>
  </si>
  <si>
    <t>Q1 2027</t>
  </si>
  <si>
    <t>Q2 2027</t>
  </si>
  <si>
    <t>Q3 2027</t>
  </si>
  <si>
    <t>Q4 2027</t>
  </si>
  <si>
    <t>Follower growth in the quarter</t>
  </si>
  <si>
    <t>Booking rate: new paying clients a month per 1,000 followers</t>
  </si>
  <si>
    <t>Sessions per client</t>
  </si>
  <si>
    <t>Referral share of new clients (target 20% by Q4 2027)</t>
  </si>
  <si>
    <t>Instagram followers on 5 Oct 2026</t>
  </si>
  <si>
    <t>Theta voucher sessions a month per EAP contract</t>
  </si>
  <si>
    <t>Theta vouchers start</t>
  </si>
  <si>
    <t>Sessions one paid part-time psychologist covers a month (3 shifts a week x 3)</t>
  </si>
  <si>
    <t>Paid part-time psychologists from Jan-27</t>
  </si>
  <si>
    <t>Pool capacity: 20 part-timers x 8 hours a month</t>
  </si>
  <si>
    <t>Full-time psychologist pay, if hired (gross)</t>
  </si>
  <si>
    <t>Referral reward per referred client (Rp100k credit to each side)</t>
  </si>
  <si>
    <t>Base Instagram ads already in the software budget (Rp m a month)</t>
  </si>
  <si>
    <t>Line</t>
  </si>
  <si>
    <t>FY 2027</t>
  </si>
  <si>
    <t>Quarter (1 = Q4 2026 ... 5 = Q4 2027)</t>
  </si>
  <si>
    <t>#</t>
  </si>
  <si>
    <t>Instagram followers (end of month)</t>
  </si>
  <si>
    <t>Booking rate</t>
  </si>
  <si>
    <t>per 1,000</t>
  </si>
  <si>
    <t>x</t>
  </si>
  <si>
    <t>New paying clients from Instagram</t>
  </si>
  <si>
    <t>clients</t>
  </si>
  <si>
    <t>Sessions from Instagram</t>
  </si>
  <si>
    <t>sessions</t>
  </si>
  <si>
    <t>Sessions from Theta vouchers (EAP staff)</t>
  </si>
  <si>
    <t>Paid B2C counseling sessions (Instagram + vouchers + referral)</t>
  </si>
  <si>
    <t>Revenue</t>
  </si>
  <si>
    <t>Counseling revenue</t>
  </si>
  <si>
    <t>Public events</t>
  </si>
  <si>
    <t>Public event revenue</t>
  </si>
  <si>
    <t>B2C revenue</t>
  </si>
  <si>
    <t>B2B revenue (regulators, banks, EAP)</t>
  </si>
  <si>
    <t>B2C share of all revenue</t>
  </si>
  <si>
    <t>Can B2C pay for our psychologists?</t>
  </si>
  <si>
    <t>B2C gross profit (after psychologist session fees and event costs)</t>
  </si>
  <si>
    <t>Paid psychologists' pay incl. BPJS and THR</t>
  </si>
  <si>
    <t>Extra Instagram ads</t>
  </si>
  <si>
    <t>Psychologists' pay covered by B2C gross profit</t>
  </si>
  <si>
    <t>B2C profit after psychologists, ads and referral rewards</t>
  </si>
  <si>
    <t>Capacity (COO)</t>
  </si>
  <si>
    <t>COO: sessions to deliver (B2C + EAP)</t>
  </si>
  <si>
    <t>Paid part-time capacity</t>
  </si>
  <si>
    <t>Load on paid part-timers</t>
  </si>
  <si>
    <t>Sessions for the pool of 20</t>
  </si>
  <si>
    <t>When can we afford a full-time psychologist?</t>
  </si>
  <si>
    <t>Full-time test: counseling profit, 3-month average</t>
  </si>
  <si>
    <t>Pay of the PIC part-timer + one full-timer, incl. BPJS and THR</t>
  </si>
  <si>
    <t>Full-time psychologist affordable? (1 = yes)</t>
  </si>
  <si>
    <t>flag</t>
  </si>
  <si>
    <t>Referral (track the source of every booking)</t>
  </si>
  <si>
    <t>New clients from referral</t>
  </si>
  <si>
    <t>Sessions from referral</t>
  </si>
  <si>
    <t>Referral rewards (cost)</t>
  </si>
  <si>
    <t>Referral share of new clients</t>
  </si>
  <si>
    <t>Unit economics per client</t>
  </si>
  <si>
    <t>Profit per client (LTV) = price x (1 - psychologist fee) x sessions per client</t>
  </si>
  <si>
    <t>Cost to win a client through Instagram (all ads / Instagram clients)</t>
  </si>
  <si>
    <t>LTV / CAC, Instagram</t>
  </si>
  <si>
    <t>LTV / CAC, referral</t>
  </si>
  <si>
    <t>Inputs and assumptions (all money in Rp million)</t>
  </si>
  <si>
    <t>Blue numbers are inputs you can change. Status: Known = you told us or it is in your v10 file; Your plan = your own budget; Estimate = industry estimate used until you give the real number (yellow-shaded, listed in the To_Fill sheet).</t>
  </si>
  <si>
    <t>Key</t>
  </si>
  <si>
    <t>Value</t>
  </si>
  <si>
    <t>Status</t>
  </si>
  <si>
    <t>Source / logic</t>
  </si>
  <si>
    <t>0. Scenario selector</t>
  </si>
  <si>
    <t>scen</t>
  </si>
  <si>
    <t>Active scenario (1-4)</t>
  </si>
  <si>
    <t>number</t>
  </si>
  <si>
    <t>Known</t>
  </si>
  <si>
    <t>1 = Base plan (v10 volumes). 2 = No new B2B event closes Jan-Jun 2027. 3 = BI cuts its volume by the % below. 4 = Both 2 and 3 (worst case).</t>
  </si>
  <si>
    <t>bi_cut</t>
  </si>
  <si>
    <t>BI volume cut used in scenarios 3 and 4</t>
  </si>
  <si>
    <t>Stress test size. Change freely.</t>
  </si>
  <si>
    <t>1. Prices (per event, or per month for EAP)</t>
  </si>
  <si>
    <t>p_flag</t>
  </si>
  <si>
    <t>Flagship regulator ToT (CBP Rupiah)</t>
  </si>
  <si>
    <t>Rp m / event</t>
  </si>
  <si>
    <t>Your v10 file.</t>
  </si>
  <si>
    <t>p_kpw</t>
  </si>
  <si>
    <t>Regulator regional ToT (BI KPW and LPS)</t>
  </si>
  <si>
    <t>p_kcp</t>
  </si>
  <si>
    <t>Bank branch event (KCP)</t>
  </si>
  <si>
    <t>p_eap</t>
  </si>
  <si>
    <t>Bank EAP subscription</t>
  </si>
  <si>
    <t>Rp m / month</t>
  </si>
  <si>
    <t>p_b2ce</t>
  </si>
  <si>
    <t>B2C mass event</t>
  </si>
  <si>
    <t>p_b2cc</t>
  </si>
  <si>
    <t>B2C counseling client</t>
  </si>
  <si>
    <t>Rp m / client</t>
  </si>
  <si>
    <t>Your v10 file (Rp 1,000,000 per session).</t>
  </si>
  <si>
    <t>2. Delivery cost (cost of goods sold)</t>
  </si>
  <si>
    <t>c_flag</t>
  </si>
  <si>
    <t>Flagship delivery cost</t>
  </si>
  <si>
    <t>Your v10 file: travel, hotel, materials, premium facilitator fees.</t>
  </si>
  <si>
    <t>c_kpw</t>
  </si>
  <si>
    <t>KPW / LPS delivery cost</t>
  </si>
  <si>
    <t>Your v10 file. Covers about 2 handler fees only, so travel is assumed paid by the client (see below).</t>
  </si>
  <si>
    <t>c_kcp</t>
  </si>
  <si>
    <t>Bank KCP event delivery cost</t>
  </si>
  <si>
    <t>c_eap</t>
  </si>
  <si>
    <t>EAP delivery cost</t>
  </si>
  <si>
    <t>Your v10 file: on-call tele-counseling retainer.</t>
  </si>
  <si>
    <t>c_b2ce</t>
  </si>
  <si>
    <t>B2C event delivery cost</t>
  </si>
  <si>
    <t>Your v10 file: venue, ads, materials, fees.</t>
  </si>
  <si>
    <t>c_b2cc</t>
  </si>
  <si>
    <t>B2C counseling cost (psychologist fee)</t>
  </si>
  <si>
    <t>% of price</t>
  </si>
  <si>
    <t>Your v10 file: Rp 400k of Rp 1m.</t>
  </si>
  <si>
    <t>travel_client</t>
  </si>
  <si>
    <t>Client pays travel for regional events? (1 = yes, 0 = no)</t>
  </si>
  <si>
    <t>switch</t>
  </si>
  <si>
    <t>Estimate</t>
  </si>
  <si>
    <t>The Rp 8m KPW cost only covers 2 handler fees, so we assume BI pays travel.</t>
  </si>
  <si>
    <t>travel_pp</t>
  </si>
  <si>
    <t>Travel cost per handler per regional trip</t>
  </si>
  <si>
    <t>Rp m / person</t>
  </si>
  <si>
    <t>Industry estimate: return flight ~Rp 2m + 2 hotel nights ~Rp 1m + per diem ~Rp 0.5m.</t>
  </si>
  <si>
    <t>regional_share</t>
  </si>
  <si>
    <t>Share of KPW / LPS events outside Jakarta</t>
  </si>
  <si>
    <t>Estimate: most KPW offices are outside Jakarta.</t>
  </si>
  <si>
    <t>3. Delivery staffing (from your v10 file)</t>
  </si>
  <si>
    <t>h_flag</t>
  </si>
  <si>
    <t>Handlers per Flagship event</t>
  </si>
  <si>
    <t>1 PM, 1 Lead Psychologist, 2 Facilitators.</t>
  </si>
  <si>
    <t>h_kpw</t>
  </si>
  <si>
    <t>Handlers per KPW / LPS event</t>
  </si>
  <si>
    <t>1 Lead, 1 Facilitator.</t>
  </si>
  <si>
    <t>h_kcp</t>
  </si>
  <si>
    <t>Handlers per KCP event</t>
  </si>
  <si>
    <t>h_b2ce</t>
  </si>
  <si>
    <t>Handlers per B2C event</t>
  </si>
  <si>
    <t>1 Lead, 1 Facilitator / Assistant.</t>
  </si>
  <si>
    <t>d_flag</t>
  </si>
  <si>
    <t>Days per Flagship event</t>
  </si>
  <si>
    <t>days</t>
  </si>
  <si>
    <t>You said 2-3 day program; we use 3.</t>
  </si>
  <si>
    <t>d_kpw</t>
  </si>
  <si>
    <t>Days per KPW / LPS event</t>
  </si>
  <si>
    <t>Estimate.</t>
  </si>
  <si>
    <t>d_kcp</t>
  </si>
  <si>
    <t>Days per KCP event</t>
  </si>
  <si>
    <t>d_b2ce</t>
  </si>
  <si>
    <t>Days per B2C event</t>
  </si>
  <si>
    <t>Estimate (weekend event).</t>
  </si>
  <si>
    <t>fac_cap</t>
  </si>
  <si>
    <t>Max events per facilitator per month</t>
  </si>
  <si>
    <t>Your v10 quality rule.</t>
  </si>
  <si>
    <t>fac_now</t>
  </si>
  <si>
    <t>Certified facilitators today</t>
  </si>
  <si>
    <t>You told us: 2 active core facilitators.</t>
  </si>
  <si>
    <t>fac_plan</t>
  </si>
  <si>
    <t>Your plan: facilitators certified by Nov 2026</t>
  </si>
  <si>
    <t>Your earlier plan.</t>
  </si>
  <si>
    <t>cert_cost</t>
  </si>
  <si>
    <t>Cost to certify one new facilitator</t>
  </si>
  <si>
    <t>Industry estimate: 2-day internal ToT, materials, observed practice event.</t>
  </si>
  <si>
    <t>4. Fixed cost: base (your 2027 'bensin' budget, monthly)</t>
  </si>
  <si>
    <t>o_lead_mkt</t>
  </si>
  <si>
    <t>Lead Marketing</t>
  </si>
  <si>
    <t>Your 2027 budget.</t>
  </si>
  <si>
    <t>o_socmed</t>
  </si>
  <si>
    <t>Social Media Specialist</t>
  </si>
  <si>
    <t>o_intern_mkt</t>
  </si>
  <si>
    <t>Marketing intern</t>
  </si>
  <si>
    <t>o_pic</t>
  </si>
  <si>
    <t>PIC Psychologist</t>
  </si>
  <si>
    <t>o_admin</t>
  </si>
  <si>
    <t>Admin</t>
  </si>
  <si>
    <t>You raised it from Rp 1.8m to Rp 3m (Oct 2026).</t>
  </si>
  <si>
    <t>o_intern_ops</t>
  </si>
  <si>
    <t>Operations intern</t>
  </si>
  <si>
    <t>o_saas</t>
  </si>
  <si>
    <t>Software and IG ads (Workspace, Canva, Claude, CapCut, IG ads, Zoom)</t>
  </si>
  <si>
    <t>Your 2027 budget: Rp 24.959m per year / 12.</t>
  </si>
  <si>
    <t>o_office</t>
  </si>
  <si>
    <t>Office (rent 5.0 + electricity 0.5 + meals 0.3)</t>
  </si>
  <si>
    <t>Your 2027 budget: Rp 69.6m per year / 12.</t>
  </si>
  <si>
    <t>o_acct</t>
  </si>
  <si>
    <t>Accountant / tax consultant</t>
  </si>
  <si>
    <t>Industry estimate for a small PT in Jakarta. Not in your list; set to 0 if you do it yourself.</t>
  </si>
  <si>
    <t>5. Fixed cost: steps (only switched on when triggered)</t>
  </si>
  <si>
    <t>f_sal1</t>
  </si>
  <si>
    <t>Founder salary: co-founder</t>
  </si>
  <si>
    <t>You set this (Oct 2026).</t>
  </si>
  <si>
    <t>f_sal2</t>
  </si>
  <si>
    <t>Founder salary: Galih</t>
  </si>
  <si>
    <t>f_start</t>
  </si>
  <si>
    <t>Founder salaries start month</t>
  </si>
  <si>
    <t>Jan-27</t>
  </si>
  <si>
    <t>month</t>
  </si>
  <si>
    <t>Your plan - confirm</t>
  </si>
  <si>
    <t>Your 2027 goal. Must match a month label exactly (e.g. Jan-27).</t>
  </si>
  <si>
    <t>am_on</t>
  </si>
  <si>
    <t>Hire a B2B Account Manager? (1 = yes)</t>
  </si>
  <si>
    <t>You decided: founders handle accounts for now. Set 1 to test hiring one later.</t>
  </si>
  <si>
    <t>am_cost</t>
  </si>
  <si>
    <t>Account Manager salary</t>
  </si>
  <si>
    <t>Your Rp 35m plan.</t>
  </si>
  <si>
    <t>am_start</t>
  </si>
  <si>
    <t>B2B sales push start month (and AM start, if hired)</t>
  </si>
  <si>
    <t>Founders start selling to LPS, OJK and banks. Must match a month label.</t>
  </si>
  <si>
    <t>sales_travel</t>
  </si>
  <si>
    <t>Sales travel and meetings (from sales start month)</t>
  </si>
  <si>
    <t>Industry estimate: 2 regional or bank HQ trips a month + meeting costs.</t>
  </si>
  <si>
    <t>pm_cost</t>
  </si>
  <si>
    <t>Project Manager salary</t>
  </si>
  <si>
    <t>pm_thr</t>
  </si>
  <si>
    <t>PM trigger: average B2B events per month (last 3 months) at or above</t>
  </si>
  <si>
    <t>Step rule: when the 3-month average reaches this, hire the PM next month. Once hired, the PM stays.</t>
  </si>
  <si>
    <t>adm2_thr</t>
  </si>
  <si>
    <t>Second admin trigger: invoices per month above</t>
  </si>
  <si>
    <t>invoices</t>
  </si>
  <si>
    <t>Step rule: invoicing on time protects the KPW payday cutoff.</t>
  </si>
  <si>
    <t>corp_inv</t>
  </si>
  <si>
    <t>Invoices per month from small corporate clients</t>
  </si>
  <si>
    <t>You have about 4 small clients, mostly quarterly: 4 / 3 per month.</t>
  </si>
  <si>
    <t>6. Coreitera and Theta (charges between your own companies)</t>
  </si>
  <si>
    <t>core_in_cogs</t>
  </si>
  <si>
    <t>Coreitera fee already inside the delivery costs above? (1 = yes)</t>
  </si>
  <si>
    <t>Assumed yes. If 0, the fee is added on top of event cost.</t>
  </si>
  <si>
    <t>core_fee</t>
  </si>
  <si>
    <t>Coreitera fee per assessment</t>
  </si>
  <si>
    <t>Rp m / participant</t>
  </si>
  <si>
    <t>Industry estimate for online B2B psychometric assessment in Indonesia: Rp 50k-150k. We use Rp 75k.</t>
  </si>
  <si>
    <t>pax_flag</t>
  </si>
  <si>
    <t>Participants per Flagship event</t>
  </si>
  <si>
    <t>pax_kpw</t>
  </si>
  <si>
    <t>Participants per KPW / LPS event</t>
  </si>
  <si>
    <t>pax_kcp</t>
  </si>
  <si>
    <t>Participants per KCP event</t>
  </si>
  <si>
    <t>pax_b2ce</t>
  </si>
  <si>
    <t>Participants per B2C event</t>
  </si>
  <si>
    <t>theta_fee</t>
  </si>
  <si>
    <t>Theta fee per counseling allocation</t>
  </si>
  <si>
    <t>Rp m / session</t>
  </si>
  <si>
    <t>Industry estimate for a platform fee per session. Shown as a memo only.</t>
  </si>
  <si>
    <t>eap_sessions</t>
  </si>
  <si>
    <t>Counseling sessions per EAP contract per month</t>
  </si>
  <si>
    <t>7. Customer acquisition (B2B)</t>
  </si>
  <si>
    <t>new_logos</t>
  </si>
  <si>
    <t>New B2B clients won in 2027 (LPS, OJK, banks)</t>
  </si>
  <si>
    <t>Your strategy: LPS and OJK, then banks such as BRI and Mandiri. Estimate: 2 regulators + 2 banks.</t>
  </si>
  <si>
    <t>8. Cash timing</t>
  </si>
  <si>
    <t>cash0</t>
  </si>
  <si>
    <t>Cash in bank at 1 Oct 2026</t>
  </si>
  <si>
    <t>You told us. Assumed free cash: no unpaid bills and no money owed to you.</t>
  </si>
  <si>
    <t>flag_s0</t>
  </si>
  <si>
    <t>BI central (Flagship): paid same month</t>
  </si>
  <si>
    <t>You said most clients pay the same month, never later than 60 days.</t>
  </si>
  <si>
    <t>flag_s30</t>
  </si>
  <si>
    <t>BI central (Flagship): paid after ~30 days</t>
  </si>
  <si>
    <t>As above.</t>
  </si>
  <si>
    <t>flag_s60</t>
  </si>
  <si>
    <t>BI central (Flagship): paid after ~60 days</t>
  </si>
  <si>
    <t>kpw_cut</t>
  </si>
  <si>
    <t>KPW / LPS: share of invoices sent before the payday cutoff</t>
  </si>
  <si>
    <t>Known rule: BI pays on the 1st; invoice before cutoff = paid that cycle, after = next month. Share is an estimate.</t>
  </si>
  <si>
    <t>bank_s0</t>
  </si>
  <si>
    <t>Banks (KCP events): paid same month</t>
  </si>
  <si>
    <t>No bank client yet, so we assume slower than BI.</t>
  </si>
  <si>
    <t>bank_s30</t>
  </si>
  <si>
    <t>Banks (KCP events): paid after ~30 days</t>
  </si>
  <si>
    <t>bank_s60</t>
  </si>
  <si>
    <t>Banks (KCP events): paid after ~60 days</t>
  </si>
  <si>
    <t>tax_rate</t>
  </si>
  <si>
    <t>Income tax on revenue (final tax, PP 55/2022)</t>
  </si>
  <si>
    <t>% of revenue</t>
  </si>
  <si>
    <t>Assumes the 0.5% small-business final tax and that prices exclude VAT. Paid the next month.</t>
  </si>
  <si>
    <t>9. Targets and concentration</t>
  </si>
  <si>
    <t>target_margin</t>
  </si>
  <si>
    <t>Target net profit margin for 2027</t>
  </si>
  <si>
    <t>Your goal is to 'look profitable'. 15% used until you set a number.</t>
  </si>
  <si>
    <t>bi_share_kpw</t>
  </si>
  <si>
    <t>Share of 'KPW and LPS' events that are BI (rest is LPS / OJK)</t>
  </si>
  <si>
    <t>BI is 70% of revenue today; LPS / OJK are new in 2027.</t>
  </si>
  <si>
    <t>10. Rate card - elite boutique pricing (used when price plan = 2)</t>
  </si>
  <si>
    <t>plan</t>
  </si>
  <si>
    <t>Active price plan (1 = current prices, 2 = new rate card)</t>
  </si>
  <si>
    <t>Switch to compare old and new prices.</t>
  </si>
  <si>
    <t>np_start</t>
  </si>
  <si>
    <t>New prices start month</t>
  </si>
  <si>
    <t>Q4 2026 work is already agreed at old prices. Must match a month label.</t>
  </si>
  <si>
    <t>np_flag</t>
  </si>
  <si>
    <t>New price: Flagship regulator ToT (3 days, training part)</t>
  </si>
  <si>
    <t>Rp m / program</t>
  </si>
  <si>
    <t>About 2x the SBM fee budget for 3 days (~Rp50m); regulators assumed to allow a bit more than SBM.</t>
  </si>
  <si>
    <t>np_kpw</t>
  </si>
  <si>
    <t>New price: KPW / LPS regional ToT (1 day, training part)</t>
  </si>
  <si>
    <t>Brings KPW to your 3x rule. About 1.9x the SBM fee budget for 1 day (~Rp12.6m).</t>
  </si>
  <si>
    <t>np_bumn</t>
  </si>
  <si>
    <t>New price: state-owned bank, per group per day</t>
  </si>
  <si>
    <t>Rp m / day</t>
  </si>
  <si>
    <t>About half of what big trainers charge banks (2-3x your old rate). Tender pressure keeps it below private banks.</t>
  </si>
  <si>
    <t>np_priv</t>
  </si>
  <si>
    <t>New price: private big bank, per group per day</t>
  </si>
  <si>
    <t>About 60% of the big-trainer rate: elite boutique = clearly cheaper than big firms, never the cheapest.</t>
  </si>
  <si>
    <t>priv_share</t>
  </si>
  <si>
    <t>Share of 2027 bank events with private banks</t>
  </si>
  <si>
    <t>Your plan starts with state banks; 1 in 4 bank events assumed private.</t>
  </si>
  <si>
    <t>assess_price</t>
  </si>
  <si>
    <t>Assessment and impact report, price per participant</t>
  </si>
  <si>
    <t>Sold as its own line (BI confirmed this is allowed). Pre- and post-assessment by Coreitera + impact report.</t>
  </si>
  <si>
    <t>as_flag</t>
  </si>
  <si>
    <t>Sell assessment with Flagship? (1 = yes)</t>
  </si>
  <si>
    <t>BI accepts it as a separate line.</t>
  </si>
  <si>
    <t>as_kpw</t>
  </si>
  <si>
    <t>Sell assessment with KPW / LPS? (1 = yes)</t>
  </si>
  <si>
    <t>as_kcp</t>
  </si>
  <si>
    <t>Sell assessment with bank events? (1 = yes)</t>
  </si>
  <si>
    <t>Banks have not been asked yet.</t>
  </si>
  <si>
    <t>bt_mult</t>
  </si>
  <si>
    <t>Big trainers charge banks this multiple of your old bank rate</t>
  </si>
  <si>
    <t>You said 2-3x; midpoint used.</t>
  </si>
  <si>
    <t>elite_up</t>
  </si>
  <si>
    <t>Elite package uplift over Signature package</t>
  </si>
  <si>
    <t>Elite adds a cascade licence and 3 months of trainer follow-up.</t>
  </si>
  <si>
    <t>vol_keep</t>
  </si>
  <si>
    <t>B2B volume kept after the price change</t>
  </si>
  <si>
    <t>100% = no client lost. Lower it to test the risk; see the volume-loss table on Rate_Card.</t>
  </si>
  <si>
    <t>11. Timing - when new sales really start (v15)</t>
  </si>
  <si>
    <t>pipe_on</t>
  </si>
  <si>
    <t>Pipeline-first timing? (1 = no new sales before the month below)</t>
  </si>
  <si>
    <t>Oct 2026 to Feb 2027 is used to pitch and sign. Existing EAP and counseling clients continue.</t>
  </si>
  <si>
    <t>sales_from</t>
  </si>
  <si>
    <t>First month new events are delivered</t>
  </si>
  <si>
    <t>Mar-27</t>
  </si>
  <si>
    <t>Must match a month label (e.g. Mar-27). Earlier months get no new B2B events.</t>
  </si>
  <si>
    <t>pipe_b2c</t>
  </si>
  <si>
    <t>Also stop B2C mass events before that month? (1 = yes)</t>
  </si>
  <si>
    <t>1 = the team focuses on pitching. 0 = keep public events running.</t>
  </si>
  <si>
    <t>12. Growth plan (v15) - pay is set month by month on the Pay_Plan sheet</t>
  </si>
  <si>
    <t>gp_on</t>
  </si>
  <si>
    <t>Growth plan switch (1 = on, 0 = v13 cost base)</t>
  </si>
  <si>
    <t>Turns on this section and the Pay_Plan sheet.</t>
  </si>
  <si>
    <t>oncost</t>
  </si>
  <si>
    <t>BPJS + THR on top of staff pay</t>
  </si>
  <si>
    <t>Required for employees even when the micro-business wage rule applies; confirm with a payroll provider.</t>
  </si>
  <si>
    <t>eap2_start</t>
  </si>
  <si>
    <t>New EAP contract 2 starts</t>
  </si>
  <si>
    <t>Each EAP contract: Rp15m a month, cost Rp5m. Signed during the pitching months.</t>
  </si>
  <si>
    <t>eap3_start</t>
  </si>
  <si>
    <t>New EAP contract 3 starts</t>
  </si>
  <si>
    <t>Jul-27</t>
  </si>
  <si>
    <t>Must match a month label.</t>
  </si>
  <si>
    <t>cof_cost</t>
  </si>
  <si>
    <t>Sales co-founder cash pay</t>
  </si>
  <si>
    <t>Plus shares that vest over 4 years.</t>
  </si>
  <si>
    <t>cof_start</t>
  </si>
  <si>
    <t>Sales co-founder starts</t>
  </si>
  <si>
    <t>Start only when a bank, OJK or LPS offer is open.</t>
  </si>
  <si>
    <t>bank_start</t>
  </si>
  <si>
    <t>Bank agreement: first training day</t>
  </si>
  <si>
    <t>Oct-27</t>
  </si>
  <si>
    <t>Bank days are priced and costed as bank events (Rate_Card).</t>
  </si>
  <si>
    <t>bank_days</t>
  </si>
  <si>
    <t>Bank training days per month from that month</t>
  </si>
  <si>
    <t>Set 0 to test 'no bank deal'.</t>
  </si>
  <si>
    <t>13. Operations (COO review, 5 Oct 2026)</t>
  </si>
  <si>
    <t>pm_fee</t>
  </si>
  <si>
    <t>Project manager fee per B2B project</t>
  </si>
  <si>
    <t>Rp m / project</t>
  </si>
  <si>
    <t>She is paid per project, not a salary: usually Rp2m per project (founders, 5 Oct 2026).</t>
  </si>
  <si>
    <t>pm_cap</t>
  </si>
  <si>
    <t>Projects one project manager can run in a month</t>
  </si>
  <si>
    <t>projects</t>
  </si>
  <si>
    <t>Founders: she handles 1 or 2 projects a month. More projects = a second (standby) project manager.</t>
  </si>
  <si>
    <t>cert_lead</t>
  </si>
  <si>
    <t>Certify new trainers this many months before they are needed</t>
  </si>
  <si>
    <t>Certification takes 1-2 months (observe, co-facilitate, lead). 0 = certify in the month of need (v13 logic).</t>
  </si>
  <si>
    <t>dp_flag</t>
  </si>
  <si>
    <t>Down payment on Flagship programs, paid the month before</t>
  </si>
  <si>
    <t>Taken from the same-month share. Test 30% in the scenario runs; ask BI whether a down payment or staged payment is possible.</t>
  </si>
  <si>
    <t>adm_base</t>
  </si>
  <si>
    <t>Admin: base pay a month (paid for days she comes in)</t>
  </si>
  <si>
    <t>Kia, 5 Oct 2026: Rp1.8m if she comes in.</t>
  </si>
  <si>
    <t>adm_fee</t>
  </si>
  <si>
    <t>Admin: fee per client handled</t>
  </si>
  <si>
    <t>Rp17,000 per client (counseling clients + EAP sessions).</t>
  </si>
  <si>
    <t>adm_bonus</t>
  </si>
  <si>
    <t>Admin: monthly bonus when she handles 5 clients a week</t>
  </si>
  <si>
    <t>Rp155,000 a week x 4 weeks.</t>
  </si>
  <si>
    <t>adm_thr</t>
  </si>
  <si>
    <t>Admin: clients a month that earn the bonus</t>
  </si>
  <si>
    <t>5 clients a week x 4 weeks.</t>
  </si>
  <si>
    <t>ump</t>
  </si>
  <si>
    <t>Jakarta minimum wage (fair-pay floor)</t>
  </si>
  <si>
    <t>UMP DKI 2026.</t>
  </si>
  <si>
    <t>perf1</t>
  </si>
  <si>
    <t>Pay step 1 unlocks when average sales of the last 3 months reach</t>
  </si>
  <si>
    <t>Founders, 5 Oct 2026: targets first, then pay rises. Social media Rp3.0m, lead marketing Rp4.0m.</t>
  </si>
  <si>
    <t>lp_cost</t>
  </si>
  <si>
    <t>Lead Partnership (non-psychologist) pay</t>
  </si>
  <si>
    <t>Kia, 5 Oct 2026: no full-time psychologist for now; a non-psychologist Lead Partnership manages EAP clients and brings clients (no conflict of interest).</t>
  </si>
  <si>
    <t>lp_start</t>
  </si>
  <si>
    <t>Lead Partnership starts</t>
  </si>
  <si>
    <t>When 3 EAP contracts run.</t>
  </si>
  <si>
    <t>perf2</t>
  </si>
  <si>
    <t>Pay step 2 unlocks at average sales of</t>
  </si>
  <si>
    <t>Social media Rp4.5m; admin gets at least the minimum wage.</t>
  </si>
  <si>
    <t>perf3</t>
  </si>
  <si>
    <t>Pay step 3 unlocks at average sales of</t>
  </si>
  <si>
    <t>Social media at the minimum wage.</t>
  </si>
  <si>
    <t>b2c_extra</t>
  </si>
  <si>
    <t>Extra public event (cash-savings step 5)</t>
  </si>
  <si>
    <t>One public event in the pitch months; the B2C funnel itself is on the B2C sheet.</t>
  </si>
  <si>
    <t>Pay plan: gross pay a month for every role (Rp million). Blue cells are your decisions; change them freely.</t>
  </si>
  <si>
    <t>Decided 5 Oct 2026: BPJS + THR from Jan-27; social media up in steps; admin to the minimum wage from Jul-27; lead marketing capped at Rp4m in 2027 (KPI: 10k IG followers) with Rp3.5m of her budget moved to ads; admin paid per client (Rp1.8m base + Rp17k a client + Rp620k bonus); pay rises for admin, social media and lead marketing unlock when sales targets are met (rows 27-30), not by date; psychologist stays part-time (no full-time hire for now); a non-psychologist Lead Partnership from Oct-27; IG ads today Rp1m (software budget) + Rp3.5m moved from lead marketing; founders: only one is paid today (Rp10m); Rp25m from Mar-27 keeps room for the second founder, whose start is still to decide.</t>
  </si>
  <si>
    <t>Gross pay a month (blue = your input)</t>
  </si>
  <si>
    <t>Admin (formula: base + fee per client + weekly bonus; minimum wage once step 2 is unlocked)</t>
  </si>
  <si>
    <t>Social media specialist (formula: 1.5, then 3.0 / 4.5 / minimum wage at pay steps 1 / 2 / 3)</t>
  </si>
  <si>
    <t>Lead marketing (formula: 2.5, then 4.0 cap at pay step 1; KPI 10k IG followers; has shares)</t>
  </si>
  <si>
    <t>Psychologists, paid part-time: PIC now + 1 more from Jan-27 (no full-time hire in 2027)</t>
  </si>
  <si>
    <t>Interns, not Magang (2 people)</t>
  </si>
  <si>
    <t>Founders: Rp10m now (one founder paid); Rp25m from Mar-27 = room for both (second founder's start: to decide)</t>
  </si>
  <si>
    <t>Extra IG ads (Rp3.5m moved from lead marketing; Rp1m is already in the software budget)</t>
  </si>
  <si>
    <t>Lead Partnership, non-psychologist (formula: from Inputs)</t>
  </si>
  <si>
    <t>BPJS + THR paid on staff pay? (1 = yes)</t>
  </si>
  <si>
    <t>Team cost incl. BPJS and THR (staff + psychologist + interns)</t>
  </si>
  <si>
    <t>Total pay plan (team + founders + extra ads)</t>
  </si>
  <si>
    <t>Running cost by group: all fixed costs a month (Rp million)</t>
  </si>
  <si>
    <t>Founders</t>
  </si>
  <si>
    <t>Team: staff, psychologist, interns, BPJS, THR</t>
  </si>
  <si>
    <t>Marketing: software and IG ads</t>
  </si>
  <si>
    <t>Office and accountant</t>
  </si>
  <si>
    <t>Sales and delivery support: co-founder, travel, project manager, 2nd admin, trainer training</t>
  </si>
  <si>
    <t>Total running cost (equals Capacity_OPEX total)</t>
  </si>
  <si>
    <t>Check: difference to Capacity_OPEX total (must be 0)</t>
  </si>
  <si>
    <t>Pay steps: unlocked by sales, not by date (founders, 5 Oct 2026)</t>
  </si>
  <si>
    <t>Average sales of the previous 3 months (Rp m)</t>
  </si>
  <si>
    <t>Highest so far (a pay step never goes back down)</t>
  </si>
  <si>
    <t>Pay step unlocked this month (0 to 3)</t>
  </si>
  <si>
    <t>Event volume plan (from your v10 file, moved to Oct 2026 - Dec 2027)</t>
  </si>
  <si>
    <t>Rp million unless stated. Q4 2026 and FY 2027 columns are totals (or averages / peaks where stated).</t>
  </si>
  <si>
    <t>Nov-26</t>
  </si>
  <si>
    <t>Dec-26</t>
  </si>
  <si>
    <t>May-27</t>
  </si>
  <si>
    <t>Jun-27</t>
  </si>
  <si>
    <t>Aug-27</t>
  </si>
  <si>
    <t>Sep-27</t>
  </si>
  <si>
    <t>Nov-27</t>
  </si>
  <si>
    <t>Dec-27</t>
  </si>
  <si>
    <t>Timeline helpers</t>
  </si>
  <si>
    <t>Month number</t>
  </si>
  <si>
    <t>Is 2027? (1 = yes)</t>
  </si>
  <si>
    <t>Is Jan-Jun 2027? (1 = yes)</t>
  </si>
  <si>
    <t>Scenario switch: new B2B events allowed (1 = yes)</t>
  </si>
  <si>
    <t>Scenario factor: BI volume</t>
  </si>
  <si>
    <t>New prices active this month? (1 = yes)</t>
  </si>
  <si>
    <t>Price plan factor: B2B volume kept</t>
  </si>
  <si>
    <t>Base plan volumes (blue = your v10 plan; edit here)</t>
  </si>
  <si>
    <t>Flagship regulator ToT</t>
  </si>
  <si>
    <t>KPW / LPS regional ToT</t>
  </si>
  <si>
    <t>Bank KCP events</t>
  </si>
  <si>
    <t>Bank EAP contracts active</t>
  </si>
  <si>
    <t>contracts</t>
  </si>
  <si>
    <t>B2C mass events</t>
  </si>
  <si>
    <t>B2C counseling clients</t>
  </si>
  <si>
    <t>Volumes used in the model (after scenario)</t>
  </si>
  <si>
    <t>Bank KCP events (incl. growth-plan bank days)</t>
  </si>
  <si>
    <t>Bank EAP contracts active (existing + growth plan)</t>
  </si>
  <si>
    <t>B2C counseling sessions (B2C funnel sheet when the growth plan is on)</t>
  </si>
  <si>
    <t>Total B2B events (Flagship + KPW/LPS + KCP)</t>
  </si>
  <si>
    <t>Notes: v15 adds the timing switch (no new sales before the first delivery month) and the growth plan (new EAP contracts and bank days). Change them in Inputs sections 11 and 12.</t>
  </si>
  <si>
    <t>Timing and growth plan (v15)</t>
  </si>
  <si>
    <t>Pipeline gap: no new sales yet (1 = yes)</t>
  </si>
  <si>
    <t>New EAP contracts active (growth plan)</t>
  </si>
  <si>
    <t>Bank training days (growth plan)</t>
  </si>
  <si>
    <t>Pillar 1 - Unit economics and B2B customer acquisition cost (Rp million)</t>
  </si>
  <si>
    <t>Product</t>
  </si>
  <si>
    <t>Price</t>
  </si>
  <si>
    <t>Extra travel (if you pay)</t>
  </si>
  <si>
    <t>Coreitera fee (assessment cost)</t>
  </si>
  <si>
    <t>Total delivery cost</t>
  </si>
  <si>
    <t>Contribution (profit per event)</t>
  </si>
  <si>
    <t>Contribution %</t>
  </si>
  <si>
    <t>Price / external cost</t>
  </si>
  <si>
    <t>Meets your 3x rule?</t>
  </si>
  <si>
    <t>Handler-days</t>
  </si>
  <si>
    <t>Contribution per handler-day</t>
  </si>
  <si>
    <t>Coreitera revenue per event (memo)</t>
  </si>
  <si>
    <t>Old price (before new prices start)</t>
  </si>
  <si>
    <t>Old delivery cost</t>
  </si>
  <si>
    <t>Bank KCP event</t>
  </si>
  <si>
    <t>Bank EAP (per month)</t>
  </si>
  <si>
    <t>B2B customer acquisition cost (CAC)</t>
  </si>
  <si>
    <t>Sales cost per year (sales travel + Account Manager if hired; founder time not costed)</t>
  </si>
  <si>
    <t>New B2B clients won per year</t>
  </si>
  <si>
    <t>CAC: cost to win one new B2B client</t>
  </si>
  <si>
    <t>Events needed to pay back CAC: Flagship</t>
  </si>
  <si>
    <t>Events needed to pay back CAC: KPW / LPS</t>
  </si>
  <si>
    <t>Events needed to pay back CAC: Bank KCP</t>
  </si>
  <si>
    <t>Months of EAP needed to pay back CAC</t>
  </si>
  <si>
    <t>How to read: Contribution = price minus everything you pay to deliver that one event. It is what is left to pay fixed costs.</t>
  </si>
  <si>
    <t>Your pricing rule is price at least 3x the delivery cost paid outside the group (Coreitera fees stay inside). Rows marked 'No' break that rule.</t>
  </si>
  <si>
    <t>CAC counts only direct sales spend. Founder time is not costed here because founders are paid a fixed salary.</t>
  </si>
  <si>
    <t>Coreitera revenue per event is a memo: it is money paid between your own companies, so it cancels out in the combined profit.</t>
  </si>
  <si>
    <t>Rate card - elite boutique pricing by client tier (Rp million)</t>
  </si>
  <si>
    <t>Rule: price close to the buyer's ceiling for regulators, and against the big-trainer alternative for banks. Never below 3x delivery cost. Prices here always show the new rate card, whatever the active price plan.</t>
  </si>
  <si>
    <t>Tier and product</t>
  </si>
  <si>
    <t>What caps the price</t>
  </si>
  <si>
    <t>Training price</t>
  </si>
  <si>
    <t>Days</t>
  </si>
  <si>
    <t>Price per day</t>
  </si>
  <si>
    <t>Assessment per participant</t>
  </si>
  <si>
    <t>Participants</t>
  </si>
  <si>
    <t>Package price (training + assessment)</t>
  </si>
  <si>
    <t>External delivery cost (excl. Coreitera)</t>
  </si>
  <si>
    <t>Meets 3x?</t>
  </si>
  <si>
    <t>Per day vs big-trainer rate</t>
  </si>
  <si>
    <t>Best contract shape</t>
  </si>
  <si>
    <t>Tier 1 regulator - Flagship ToT (BI, OJK, LPS)</t>
  </si>
  <si>
    <t>Budget ceiling per activity; past contracts set the anchor</t>
  </si>
  <si>
    <t>Yearly framework contract with central procurement</t>
  </si>
  <si>
    <t>Tier 1 regulator - Regional ToT (BI KPW, LPS)</t>
  </si>
  <si>
    <t>Budget ceiling per activity</t>
  </si>
  <si>
    <t>Framework + work order (SPK) per office</t>
  </si>
  <si>
    <t>State-owned bank (BRI, Mandiri, BNI, BTN)</t>
  </si>
  <si>
    <t>Vendor tender and price competition</t>
  </si>
  <si>
    <t>Multi-branch yearly framework (10+ groups), 30% down payment</t>
  </si>
  <si>
    <t>Private big bank (BCA and others)</t>
  </si>
  <si>
    <t>Value vs big trainers (2-3x your old rate)</t>
  </si>
  <si>
    <t>Annual learning partnership + EAP priced per employee</t>
  </si>
  <si>
    <t>Reference: big-trainer day rate charged to banks</t>
  </si>
  <si>
    <t>Your old bank rate x the multiple you gave (2-3x, midpoint).</t>
  </si>
  <si>
    <t>Bank packages (good / better / best) - per group per day</t>
  </si>
  <si>
    <t>Package</t>
  </si>
  <si>
    <t>What is included</t>
  </si>
  <si>
    <t>Private bank</t>
  </si>
  <si>
    <t>Essential</t>
  </si>
  <si>
    <t>Training day only</t>
  </si>
  <si>
    <t>Signature (lead offer)</t>
  </si>
  <si>
    <t>Training + pre/post assessment + impact report</t>
  </si>
  <si>
    <t>Elite</t>
  </si>
  <si>
    <t>Signature + cascade licence for trainers + 3 months follow-up</t>
  </si>
  <si>
    <t>Volume-loss test: how many events can you lose and still earn more?</t>
  </si>
  <si>
    <t>Profit per event, old price</t>
  </si>
  <si>
    <t>Profit per event, new package</t>
  </si>
  <si>
    <t>Max share of events you can lose</t>
  </si>
  <si>
    <t>Meaning</t>
  </si>
  <si>
    <t>Flagship ToT</t>
  </si>
  <si>
    <t>KPW / LPS ToT</t>
  </si>
  <si>
    <t>Bank event (state-owned)</t>
  </si>
  <si>
    <t>Bank event (private)</t>
  </si>
  <si>
    <t>Pricing rules (all tiers)</t>
  </si>
  <si>
    <t>1. Price units: per group per day (training), per participant (assessment), per employee per month (EAP), per year (cascade licence). Never one lump sum.</t>
  </si>
  <si>
    <t>2. Floor: never below 3x the delivery cost paid outside the group. The Coreitera fee is excluded because it stays inside your own companies.</t>
  </si>
  <si>
    <t>3. Pilot discount: at most 20%, once per client, recorded as a sales cost, and tied to a follow-on contract.</t>
  </si>
  <si>
    <t>4. Volume discount: 5% for 5+ groups a year, 10% for 10+ groups. Never more than 10%.</t>
  </si>
  <si>
    <t>5. Travel and venue: paid by the client, or billed at cost plus 10%.</t>
  </si>
  <si>
    <t>6. Payment: 30% down payment for bank contracts above Rp100m. Regulators keep current terms.</t>
  </si>
  <si>
    <t>7. Regulators: never raise the price of an old item. Add new items (assessment, licence, follow-up), which get a fresh budget ceiling.</t>
  </si>
  <si>
    <t>8. Elite boutique position: always clearly below big trainers, never the cheapest. Compete on more services and a measured result.</t>
  </si>
  <si>
    <t>Pillar 2 - Capacity and step-function fixed costs</t>
  </si>
  <si>
    <t>Delivery capacity</t>
  </si>
  <si>
    <t>Handler placements (people x events)</t>
  </si>
  <si>
    <t>placements</t>
  </si>
  <si>
    <t>Handler-days (placements x days per event)</t>
  </si>
  <si>
    <t>Facilitators needed this month (placements / max events each)</t>
  </si>
  <si>
    <t>Certified facilitator pool (grows when needed, never shrinks)</t>
  </si>
  <si>
    <t>New facilitators to certify this month</t>
  </si>
  <si>
    <t>Your plan (11 by Nov 2026) minus need: spare facilitators</t>
  </si>
  <si>
    <t>Step triggers</t>
  </si>
  <si>
    <t>B2B events, average of last 3 months</t>
  </si>
  <si>
    <t>Project Manager hired? (1 = yes; starts the month after the trigger)</t>
  </si>
  <si>
    <t>Account Manager active? (1 = yes)</t>
  </si>
  <si>
    <t>Founder salaries active? (1 = yes)</t>
  </si>
  <si>
    <t>Invoices to send this month</t>
  </si>
  <si>
    <t>Second admin hired? (1 = yes; stays once hired)</t>
  </si>
  <si>
    <t>Fixed costs per month (Rp million)</t>
  </si>
  <si>
    <t>L0 Base team (your 2027 list: 6 people)</t>
  </si>
  <si>
    <t>L0 Software and IG ads</t>
  </si>
  <si>
    <t>L0 Office</t>
  </si>
  <si>
    <t>L0 Accountant / tax (estimate)</t>
  </si>
  <si>
    <t>Founder salaries (Pay_Plan when the growth plan is on)</t>
  </si>
  <si>
    <t>L1 Account Manager</t>
  </si>
  <si>
    <t>L1 Sales travel (from Oct-26 when the growth plan is on: we pitch now)</t>
  </si>
  <si>
    <t>L2 Project Manager (per project when the growth plan is on)</t>
  </si>
  <si>
    <t>L2 Second admin</t>
  </si>
  <si>
    <t>L3 Facilitator certification (one-off, ahead of need)</t>
  </si>
  <si>
    <t>Total fixed cost</t>
  </si>
  <si>
    <t>Growth plan fixed costs (v15)</t>
  </si>
  <si>
    <t>Growth plan on? (1 = yes)</t>
  </si>
  <si>
    <t>BPJS + THR paid? (Pay_Plan)</t>
  </si>
  <si>
    <t>Team pay change vs the 2027 budget (Pay_Plan, incl. BPJS and THR)</t>
  </si>
  <si>
    <t>Extra IG ads (Pay_Plan) + referral rewards (B2C sheet)</t>
  </si>
  <si>
    <t>Growth plan fixed cost</t>
  </si>
  <si>
    <t>Operations load (COO review)</t>
  </si>
  <si>
    <t>B2B projects this month (one event = one project)</t>
  </si>
  <si>
    <t>Project managers needed</t>
  </si>
  <si>
    <t>Load on one project manager (100% = full)</t>
  </si>
  <si>
    <t>Trainer load (placements / what the trainer pool can do)</t>
  </si>
  <si>
    <t>Trainers to certify this month (ahead of need)</t>
  </si>
  <si>
    <t>Profit and loss by month (Rp million) - money counted when the event is delivered</t>
  </si>
  <si>
    <t>Bank EAP</t>
  </si>
  <si>
    <t>B2C counseling</t>
  </si>
  <si>
    <t>Total revenue</t>
  </si>
  <si>
    <t>Flagship</t>
  </si>
  <si>
    <t>KPW / LPS</t>
  </si>
  <si>
    <t>Bank KCP</t>
  </si>
  <si>
    <t>B2C events</t>
  </si>
  <si>
    <t>Gross profit</t>
  </si>
  <si>
    <t>Gross margin</t>
  </si>
  <si>
    <t>Fixed costs (from Capacity_OPEX)</t>
  </si>
  <si>
    <t>Base: team, software, office, accountant (+ pay plan and extra ads)</t>
  </si>
  <si>
    <t>Founder salaries</t>
  </si>
  <si>
    <t>B2B sales (co-founder, Account Manager, travel)</t>
  </si>
  <si>
    <t>Delivery capacity (PM, 2nd admin, certification)</t>
  </si>
  <si>
    <t>Profit before tax</t>
  </si>
  <si>
    <t>Income tax (final tax on revenue)</t>
  </si>
  <si>
    <t>Net margin</t>
  </si>
  <si>
    <t>Net profit if founders were not paid (for comparison)</t>
  </si>
  <si>
    <t>Concentration and memo lines</t>
  </si>
  <si>
    <t>Revenue from BI (Flagship + BI share of KPW/LPS)</t>
  </si>
  <si>
    <t>BI share of revenue</t>
  </si>
  <si>
    <t>B2B revenue</t>
  </si>
  <si>
    <t>Memo: Coreitera assessment revenue (paid by TJ)</t>
  </si>
  <si>
    <t>Memo: Theta counseling revenue (paid by TJ)</t>
  </si>
  <si>
    <t>Pillar 3 - Cash flow by month (Rp million) - money counted when it moves</t>
  </si>
  <si>
    <t>B2C (paid on the day)</t>
  </si>
  <si>
    <t>BI central - Flagship (incl. optional down payment)</t>
  </si>
  <si>
    <t>BI KPW / LPS (payday cutoff rule)</t>
  </si>
  <si>
    <t>Banks - KCP events</t>
  </si>
  <si>
    <t>Banks - EAP (paid the next month)</t>
  </si>
  <si>
    <t>Total cash in</t>
  </si>
  <si>
    <t>Delivery costs (paid in the event month)</t>
  </si>
  <si>
    <t>Fixed costs (salaries paid on the 25th)</t>
  </si>
  <si>
    <t>Income tax (paid the next month)</t>
  </si>
  <si>
    <t>Total cash out</t>
  </si>
  <si>
    <t>Net cash flow</t>
  </si>
  <si>
    <t>Cash at start of month</t>
  </si>
  <si>
    <t>Safety checks</t>
  </si>
  <si>
    <t>Cash floor: one month of fixed cost + this month's delivery cost</t>
  </si>
  <si>
    <t>Above the floor? (1 = yes, 0 = warning)</t>
  </si>
  <si>
    <t>Money clients still owe you (end of month)</t>
  </si>
  <si>
    <t>Months of runway if all B2B stopped from here (2027 avg B2C profit)</t>
  </si>
  <si>
    <t>Note: this is a monthly model. Because BI pays on the 1st and salaries go out on the 25th, keep cash above the floor line at all times. Prices are assumed to exclude VAT (VAT passes through).</t>
  </si>
  <si>
    <t>To fill: numbers we estimated - please replace with your real numbers</t>
  </si>
  <si>
    <t>How to use: write your real number in the yellow 'Your real number' column, then copy it into the blue cell named in 'Where to change it' on the Inputs sheet. The model updates everywhere.</t>
  </si>
  <si>
    <t>Pillar</t>
  </si>
  <si>
    <t>Value used now</t>
  </si>
  <si>
    <t>Why it matters</t>
  </si>
  <si>
    <t>Where to change it</t>
  </si>
  <si>
    <t>Your real number</t>
  </si>
  <si>
    <t>e.g.</t>
  </si>
  <si>
    <t>2. Fixed cost</t>
  </si>
  <si>
    <t>Office rent (example row - do not edit)</t>
  </si>
  <si>
    <t>Shows the format to use.</t>
  </si>
  <si>
    <t>Inputs!C?</t>
  </si>
  <si>
    <t>Done</t>
  </si>
  <si>
    <t>1. Unit economics</t>
  </si>
  <si>
    <t>If you pay travel yourself, each KPW event loses about Rp 6m of its Rp 12m profit.</t>
  </si>
  <si>
    <t>Inputs!C22</t>
  </si>
  <si>
    <t>Open</t>
  </si>
  <si>
    <t>Only used if the switch above is 0.</t>
  </si>
  <si>
    <t>Inputs!C23</t>
  </si>
  <si>
    <t>Only used if you pay travel yourself.</t>
  </si>
  <si>
    <t>Inputs!C24</t>
  </si>
  <si>
    <t>2. Capacity</t>
  </si>
  <si>
    <t>Drives handler-days and how many facilitators you must certify.</t>
  </si>
  <si>
    <t>Inputs!C30</t>
  </si>
  <si>
    <t>Drives handler-days.</t>
  </si>
  <si>
    <t>Inputs!C31</t>
  </si>
  <si>
    <t>Inputs!C32</t>
  </si>
  <si>
    <t>Inputs!C33</t>
  </si>
  <si>
    <t>One-off cost each time the pool must grow.</t>
  </si>
  <si>
    <t>Inputs!C37</t>
  </si>
  <si>
    <t>Bank and regulator vendors need clean books and tax filings.</t>
  </si>
  <si>
    <t>Inputs!C47</t>
  </si>
  <si>
    <t>Earlier start = less cash buffer in Q1-Q2.</t>
  </si>
  <si>
    <t>Inputs!C51</t>
  </si>
  <si>
    <t>Starts sales travel spending.</t>
  </si>
  <si>
    <t>Inputs!C54</t>
  </si>
  <si>
    <t>Main part of B2B customer acquisition cost.</t>
  </si>
  <si>
    <t>Inputs!C55</t>
  </si>
  <si>
    <t>Decides when Rp 5m is added to fixed cost.</t>
  </si>
  <si>
    <t>Inputs!C57</t>
  </si>
  <si>
    <t>Decides when a second admin (same salary as admin) is added.</t>
  </si>
  <si>
    <t>Inputs!C58</t>
  </si>
  <si>
    <t>Only affects the admin trigger.</t>
  </si>
  <si>
    <t>Inputs!C59</t>
  </si>
  <si>
    <t>If it is not already inside, every event costs more.</t>
  </si>
  <si>
    <t>Inputs!C61</t>
  </si>
  <si>
    <t>This is Coreitera's revenue line for the investor story.</t>
  </si>
  <si>
    <t>Inputs!C62</t>
  </si>
  <si>
    <t>Number of Coreitera assessments sold per event.</t>
  </si>
  <si>
    <t>Inputs!C63</t>
  </si>
  <si>
    <t>Inputs!C64</t>
  </si>
  <si>
    <t>Inputs!C65</t>
  </si>
  <si>
    <t>Inputs!C66</t>
  </si>
  <si>
    <t>This is Theta's revenue line for the investor story.</t>
  </si>
  <si>
    <t>Inputs!C67</t>
  </si>
  <si>
    <t>Theta volume from EAP.</t>
  </si>
  <si>
    <t>Inputs!C68</t>
  </si>
  <si>
    <t>Sales cost / new clients = cost to win one client.</t>
  </si>
  <si>
    <t>Inputs!C70</t>
  </si>
  <si>
    <t>3. Cash</t>
  </si>
  <si>
    <t>Cash timing.</t>
  </si>
  <si>
    <t>Inputs!C73</t>
  </si>
  <si>
    <t>Inputs!C74</t>
  </si>
  <si>
    <t>Inputs!C75</t>
  </si>
  <si>
    <t>Sending invoices on time moves cash forward by one month.</t>
  </si>
  <si>
    <t>Inputs!C76</t>
  </si>
  <si>
    <t>Cash timing for new bank clients.</t>
  </si>
  <si>
    <t>Inputs!C77</t>
  </si>
  <si>
    <t>Inputs!C78</t>
  </si>
  <si>
    <t>Inputs!C79</t>
  </si>
  <si>
    <t>If you pay normal corporate tax instead, tax is on profit, not revenue.</t>
  </si>
  <si>
    <t>Inputs!C80</t>
  </si>
  <si>
    <t>Goal</t>
  </si>
  <si>
    <t>Used for the pass / fail check on the Summary.</t>
  </si>
  <si>
    <t>Inputs!C82</t>
  </si>
  <si>
    <t>Measures how much revenue depends on BI.</t>
  </si>
  <si>
    <t>Inputs!C83</t>
  </si>
  <si>
    <t>Pricing</t>
  </si>
  <si>
    <t>New prices should start with the new budget year.</t>
  </si>
  <si>
    <t>Inputs!C86</t>
  </si>
  <si>
    <t>Biggest single regulator product.</t>
  </si>
  <si>
    <t>Inputs!C87</t>
  </si>
  <si>
    <t>17 events a year, so each Rp1m matters.</t>
  </si>
  <si>
    <t>Inputs!C88</t>
  </si>
  <si>
    <t>Price for BRI, Mandiri, BNI, BTN.</t>
  </si>
  <si>
    <t>Inputs!C89</t>
  </si>
  <si>
    <t>Price for BCA and other private banks.</t>
  </si>
  <si>
    <t>Inputs!C90</t>
  </si>
  <si>
    <t>Mix between the two bank prices.</t>
  </si>
  <si>
    <t>Inputs!C91</t>
  </si>
  <si>
    <t>New line item = new budget ceiling, and Coreitera revenue.</t>
  </si>
  <si>
    <t>Inputs!C92</t>
  </si>
  <si>
    <t>Adds about Rp6m per bank event.</t>
  </si>
  <si>
    <t>Inputs!C95</t>
  </si>
  <si>
    <t>Sets the top package price for banks.</t>
  </si>
  <si>
    <t>Inputs!C97</t>
  </si>
  <si>
    <t>The main risk of any price rise.</t>
  </si>
  <si>
    <t>Inputs!C98</t>
  </si>
  <si>
    <t>Is the Rp 210m free cash? Any unpaid bills, or money clients still owe you?</t>
  </si>
  <si>
    <t>Assumed free</t>
  </si>
  <si>
    <t>Changes the starting cash.</t>
  </si>
  <si>
    <t>Inputs: Cash in bank</t>
  </si>
  <si>
    <t>Volume</t>
  </si>
  <si>
    <t>Which Oct-Dec 2026 events are signed, and which are still hopes?</t>
  </si>
  <si>
    <t>v10 plan</t>
  </si>
  <si>
    <t>Q4 2026 is 3 of your 15 months.</t>
  </si>
  <si>
    <t>Volume sheet, blue rows</t>
  </si>
  <si>
    <t>Is the bank EAP contract live today?</t>
  </si>
  <si>
    <t>1 contract all months</t>
  </si>
  <si>
    <t>Rp 10m profit per month.</t>
  </si>
  <si>
    <t>Volume sheet, EAP row</t>
  </si>
  <si>
    <t>What would a bank pay per employee per month for EAP?</t>
  </si>
  <si>
    <t>Rp 15m per contract per month</t>
  </si>
  <si>
    <t>Needed to price EAP per employee, as the rate card suggests.</t>
  </si>
  <si>
    <t>Inputs: Prices</t>
  </si>
  <si>
    <t>One real quote from a big trainer to a bank (day rate)</t>
  </si>
  <si>
    <t>2.5x your old rate</t>
  </si>
  <si>
    <t>Checks the private-bank price.</t>
  </si>
  <si>
    <t>Inputs: Rate card</t>
  </si>
  <si>
    <t>Live talks with LPS, OJK or a bank: stage and likely close month?</t>
  </si>
  <si>
    <t>In v10 KPW/LPS row</t>
  </si>
  <si>
    <t>Tests if the 2027 volume is realistic.</t>
  </si>
  <si>
    <t>Timing</t>
  </si>
  <si>
    <t>Decides how long we live on cash only.</t>
  </si>
  <si>
    <t>Inputs!C102</t>
  </si>
  <si>
    <t>Pay plan</t>
  </si>
  <si>
    <t>Cost of every pay step.</t>
  </si>
  <si>
    <t>Inputs!C106</t>
  </si>
  <si>
    <t>Lead Partnership pay (Oct-27)</t>
  </si>
  <si>
    <t>Hiring step in Oct-27.</t>
  </si>
  <si>
    <t>Inputs!C124</t>
  </si>
  <si>
    <t>Growth plan</t>
  </si>
  <si>
    <t>EAP contract 2 and 3 start months</t>
  </si>
  <si>
    <t>Main source of new monthly income.</t>
  </si>
  <si>
    <t>Inputs!C107</t>
  </si>
  <si>
    <t>Sales co-founder cash pay and start</t>
  </si>
  <si>
    <t>Hiring step in Jul-27.</t>
  </si>
  <si>
    <t>Inputs!C109</t>
  </si>
  <si>
    <t>Bank training days per month and start</t>
  </si>
  <si>
    <t>The swing factor for 2027.</t>
  </si>
  <si>
    <t>Inputs!C112</t>
  </si>
  <si>
    <t>Operations</t>
  </si>
  <si>
    <t>Project manager fee per project</t>
  </si>
  <si>
    <t>Cost of every B2B project.</t>
  </si>
  <si>
    <t>Inputs!C114</t>
  </si>
  <si>
    <t>Lead times by client type (days)</t>
  </si>
  <si>
    <t>Sets the latest date to start selling.</t>
  </si>
  <si>
    <t>Roadmap!B8</t>
  </si>
  <si>
    <t>Down payment on Flagship programs</t>
  </si>
  <si>
    <t>Lifts the April cash low.</t>
  </si>
  <si>
    <t>Inputs!C117</t>
  </si>
  <si>
    <t>B2C</t>
  </si>
  <si>
    <t>Follower growth, booking rate and sessions per client by quarter</t>
  </si>
  <si>
    <t>Sets B2C revenue.</t>
  </si>
  <si>
    <t>B2C!C6</t>
  </si>
  <si>
    <t>Instagram followers and paid sessions, last 3-6 months</t>
  </si>
  <si>
    <t>Replaces the target path with a real trend.</t>
  </si>
  <si>
    <t>B2C!C10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</si>
</sst>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
    <numFmt numFmtId="166" formatCode="#,##0;\(#,##0\);\-"/>
    <numFmt numFmtId="167" formatCode="0.0%"/>
    <numFmt numFmtId="168" formatCode="0.0\x"/>
    <numFmt numFmtId="169" formatCode="0.000"/>
    <numFmt numFmtId="170" formatCode="0.0"/>
    <numFmt numFmtId="172" formatCode="d\ mmm\ yyyy"/>
  </numFmts>
  <fonts count="21" x14ac:knownFonts="1">
    <font>
      <sz val="11"/>
      <color theme="1"/>
      <name val="Calibri"/>
      <family val="2"/>
      <charset val="1"/>
    </font>
    <font>
      <b/>
      <sz val="14"/>
      <name val="Arial"/>
      <family val="2"/>
    </font>
    <font>
      <sz val="11"/>
      <color theme="1"/>
      <name val="Arial"/>
      <family val="2"/>
    </font>
    <font>
      <i/>
      <sz val="11"/>
      <color rgb="FF808080"/>
      <name val="Arial"/>
      <family val="2"/>
    </font>
    <font>
      <b/>
      <sz val="11"/>
      <color rgb="FFC00000"/>
      <name val="Arial"/>
      <family val="2"/>
    </font>
    <font>
      <b/>
      <sz val="11"/>
      <color rgb="FFFFFFFF"/>
      <name val="Arial"/>
      <family val="2"/>
    </font>
    <font>
      <b/>
      <sz val="11"/>
      <name val="Arial"/>
      <family val="2"/>
    </font>
    <font>
      <sz val="11"/>
      <name val="Arial"/>
      <family val="2"/>
    </font>
    <font>
      <sz val="11"/>
      <color rgb="FF0000FF"/>
      <name val="Arial"/>
      <family val="2"/>
    </font>
    <font>
      <sz val="11"/>
      <color rgb="FF000000"/>
      <name val="Arial"/>
      <family val="2"/>
    </font>
    <font>
      <b/>
      <sz val="11"/>
      <color theme="1"/>
      <name val="Arial"/>
      <family val="2"/>
    </font>
    <font>
      <sz val="11"/>
      <color rgb="FF008000"/>
      <name val="Arial"/>
      <family val="2"/>
    </font>
    <font>
      <b/>
      <sz val="13"/>
      <name val="Arial"/>
      <family val="2"/>
    </font>
    <font>
      <i/>
      <sz val="10"/>
      <name val="Arial"/>
      <family val="2"/>
    </font>
    <font>
      <sz val="10"/>
      <name val="Arial"/>
      <family val="2"/>
    </font>
    <font>
      <b/>
      <sz val="14"/>
      <name val="Arial"/>
      <family val="2"/>
    </font>
    <font>
      <b/>
      <sz val="10"/>
      <name val="Arial"/>
      <family val="2"/>
    </font>
    <font>
      <b/>
      <sz val="10"/>
      <color rgb="FF008000"/>
      <name val="Arial"/>
      <family val="2"/>
    </font>
    <font>
      <sz val="10"/>
      <color rgb="FF008000"/>
      <name val="Arial"/>
      <family val="2"/>
    </font>
    <font>
      <sz val="10"/>
      <color rgb="FF0000FF"/>
      <name val="Arial"/>
      <family val="2"/>
    </font>
    <font>
      <i/>
      <sz val="9"/>
      <name val="Arial"/>
      <family val="2"/>
    </font>
  </fonts>
  <fills count="9">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00"/>
        <bgColor rgb="FFFFFF00"/>
      </patternFill>
    </fill>
    <fill>
      <patternFill patternType="solid">
        <fgColor rgb="FFFFF2CC"/>
        <bgColor rgb="FFE2EFDA"/>
      </patternFill>
    </fill>
    <fill>
      <patternFill patternType="solid">
        <fgColor rgb="FFE2EFDA"/>
        <bgColor rgb="FFD9E1F2"/>
      </patternFill>
    </fill>
    <fill>
      <patternFill patternType="solid">
        <fgColor rgb="FFDDE3EE"/>
      </patternFill>
    </fill>
    <fill>
      <patternFill patternType="solid">
        <fgColor rgb="FFFFF2CC"/>
      </patternFill>
    </fill>
  </fills>
  <borders count="1">
    <border>
      <left/>
      <right/>
      <top/>
      <bottom/>
      <diagonal/>
    </border>
  </borders>
  <cellStyleXfs count="1">
    <xf numFmtId="0" fontId="0" fillId="0" borderId="0"/>
  </cellStyleXfs>
  <cellXfs count="8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3" borderId="0" xfId="0" applyFont="1" applyFill="1"/>
    <xf numFmtId="0" fontId="2" fillId="3" borderId="0" xfId="0" applyFont="1" applyFill="1"/>
    <xf numFmtId="164" fontId="2" fillId="0" borderId="0" xfId="0" applyNumberFormat="1" applyFont="1"/>
    <xf numFmtId="165" fontId="2" fillId="0" borderId="0" xfId="0" applyNumberFormat="1" applyFont="1"/>
    <xf numFmtId="166" fontId="2" fillId="0" borderId="0" xfId="0" applyNumberFormat="1" applyFont="1"/>
    <xf numFmtId="0" fontId="6" fillId="0" borderId="0" xfId="0" applyFont="1"/>
    <xf numFmtId="164" fontId="7" fillId="0" borderId="0" xfId="0" applyNumberFormat="1" applyFont="1"/>
    <xf numFmtId="167" fontId="7" fillId="0" borderId="0" xfId="0" applyNumberFormat="1" applyFont="1"/>
    <xf numFmtId="0" fontId="7" fillId="0" borderId="0" xfId="0" applyFont="1"/>
    <xf numFmtId="1" fontId="7" fillId="0" borderId="0" xfId="0" applyNumberFormat="1" applyFont="1"/>
    <xf numFmtId="166" fontId="8" fillId="0" borderId="0" xfId="0" applyNumberFormat="1" applyFont="1"/>
    <xf numFmtId="0" fontId="2" fillId="0" borderId="0" xfId="0" applyFont="1" applyAlignment="1">
      <alignment vertical="top" wrapText="1"/>
    </xf>
    <xf numFmtId="165" fontId="8" fillId="0" borderId="0" xfId="0" applyNumberFormat="1" applyFont="1"/>
    <xf numFmtId="164" fontId="8" fillId="0" borderId="0" xfId="0" applyNumberFormat="1" applyFont="1"/>
    <xf numFmtId="166" fontId="8" fillId="4" borderId="0" xfId="0" applyNumberFormat="1" applyFont="1" applyFill="1"/>
    <xf numFmtId="0" fontId="2" fillId="5" borderId="0" xfId="0" applyFont="1" applyFill="1"/>
    <xf numFmtId="164" fontId="8" fillId="4" borderId="0" xfId="0" applyNumberFormat="1" applyFont="1" applyFill="1"/>
    <xf numFmtId="165" fontId="8" fillId="4" borderId="0" xfId="0" applyNumberFormat="1" applyFont="1" applyFill="1"/>
    <xf numFmtId="49" fontId="8" fillId="4" borderId="0" xfId="0" applyNumberFormat="1" applyFont="1" applyFill="1"/>
    <xf numFmtId="0" fontId="2" fillId="6" borderId="0" xfId="0" applyFont="1" applyFill="1"/>
    <xf numFmtId="168" fontId="8" fillId="0" borderId="0" xfId="0" applyNumberFormat="1" applyFont="1"/>
    <xf numFmtId="0" fontId="5" fillId="2" borderId="0" xfId="0" applyFont="1" applyFill="1" applyAlignment="1">
      <alignment horizontal="center"/>
    </xf>
    <xf numFmtId="0" fontId="9" fillId="0" borderId="0" xfId="0" applyFont="1"/>
    <xf numFmtId="166" fontId="6" fillId="0" borderId="0" xfId="0" applyNumberFormat="1" applyFont="1"/>
    <xf numFmtId="165" fontId="6" fillId="0" borderId="0" xfId="0" applyNumberFormat="1" applyFont="1"/>
    <xf numFmtId="164" fontId="6" fillId="0" borderId="0" xfId="0" applyNumberFormat="1" applyFont="1"/>
    <xf numFmtId="164" fontId="10" fillId="0" borderId="0" xfId="0" applyNumberFormat="1" applyFont="1"/>
    <xf numFmtId="0" fontId="5" fillId="2" borderId="0" xfId="0" applyFont="1" applyFill="1" applyAlignment="1">
      <alignment horizontal="center" vertical="center" wrapText="1"/>
    </xf>
    <xf numFmtId="164" fontId="11" fillId="0" borderId="0" xfId="0" applyNumberFormat="1" applyFont="1"/>
    <xf numFmtId="168" fontId="2" fillId="0" borderId="0" xfId="0" applyNumberFormat="1" applyFont="1"/>
    <xf numFmtId="164" fontId="9" fillId="0" borderId="0" xfId="0" applyNumberFormat="1" applyFont="1"/>
    <xf numFmtId="166" fontId="11" fillId="0" borderId="0" xfId="0" applyNumberFormat="1" applyFont="1"/>
    <xf numFmtId="0" fontId="2" fillId="4" borderId="0" xfId="0" applyFont="1" applyFill="1"/>
    <xf numFmtId="165" fontId="11" fillId="0" borderId="0" xfId="0" applyNumberFormat="1" applyFont="1"/>
    <xf numFmtId="0" fontId="11" fillId="0" borderId="0" xfId="0" applyFont="1"/>
    <xf numFmtId="0" fontId="15" fillId="0" borderId="0" xfId="0" applyFont="1"/>
    <xf numFmtId="0" fontId="13" fillId="0" borderId="0" xfId="0" applyFont="1"/>
    <xf numFmtId="0" fontId="16" fillId="0" borderId="0" xfId="0" applyFont="1"/>
    <xf numFmtId="3" fontId="17" fillId="0" borderId="0" xfId="0" applyNumberFormat="1" applyFont="1"/>
    <xf numFmtId="3" fontId="18" fillId="0" borderId="0" xfId="0" applyNumberFormat="1" applyFont="1"/>
    <xf numFmtId="0" fontId="14" fillId="0" borderId="0" xfId="0" applyFont="1"/>
    <xf numFmtId="1" fontId="18" fillId="0" borderId="0" xfId="0" applyNumberFormat="1" applyFont="1"/>
    <xf numFmtId="0" fontId="12" fillId="0" borderId="0" xfId="0" applyFont="1"/>
    <xf numFmtId="172" fontId="19" fillId="0" borderId="0" xfId="0" applyNumberFormat="1" applyFont="1"/>
    <xf numFmtId="0" fontId="16" fillId="7" borderId="0" xfId="0" applyFont="1" applyFill="1" applyAlignment="1">
      <alignment vertical="top" wrapText="1"/>
    </xf>
    <xf numFmtId="0" fontId="19" fillId="8" borderId="0" xfId="0" applyFont="1" applyFill="1"/>
    <xf numFmtId="0" fontId="19" fillId="0" borderId="0" xfId="0" applyFont="1"/>
    <xf numFmtId="172" fontId="14" fillId="0" borderId="0" xfId="0" applyNumberFormat="1" applyFont="1"/>
    <xf numFmtId="0" fontId="20" fillId="0" borderId="0" xfId="0" applyFont="1"/>
    <xf numFmtId="3" fontId="14" fillId="0" borderId="0" xfId="0" applyNumberFormat="1" applyFont="1"/>
    <xf numFmtId="1" fontId="14" fillId="0" borderId="0" xfId="0" applyNumberFormat="1" applyFont="1"/>
    <xf numFmtId="9" fontId="14" fillId="0" borderId="0" xfId="0" applyNumberFormat="1" applyFont="1"/>
    <xf numFmtId="9" fontId="19" fillId="0" borderId="0" xfId="0" applyNumberFormat="1" applyFont="1"/>
    <xf numFmtId="2" fontId="19" fillId="0" borderId="0" xfId="0" applyNumberFormat="1" applyFont="1"/>
    <xf numFmtId="3" fontId="19" fillId="0" borderId="0" xfId="0" applyNumberFormat="1" applyFont="1"/>
    <xf numFmtId="1" fontId="19" fillId="0" borderId="0" xfId="0" applyNumberFormat="1" applyFont="1"/>
    <xf numFmtId="49" fontId="19" fillId="0" borderId="0" xfId="0" applyNumberFormat="1" applyFont="1"/>
    <xf numFmtId="170" fontId="19" fillId="0" borderId="0" xfId="0" applyNumberFormat="1" applyFont="1"/>
    <xf numFmtId="1" fontId="6" fillId="0" borderId="0" xfId="0" applyNumberFormat="1" applyFont="1"/>
    <xf numFmtId="1" fontId="2" fillId="0" borderId="0" xfId="0" applyNumberFormat="1" applyFont="1"/>
    <xf numFmtId="3" fontId="6" fillId="0" borderId="0" xfId="0" applyNumberFormat="1" applyFont="1"/>
    <xf numFmtId="3" fontId="2" fillId="0" borderId="0" xfId="0" applyNumberFormat="1" applyFont="1"/>
    <xf numFmtId="2" fontId="6" fillId="0" borderId="0" xfId="0" applyNumberFormat="1" applyFont="1"/>
    <xf numFmtId="2" fontId="2" fillId="0" borderId="0" xfId="0" applyNumberFormat="1" applyFont="1"/>
    <xf numFmtId="170" fontId="6" fillId="0" borderId="0" xfId="0" applyNumberFormat="1" applyFont="1"/>
    <xf numFmtId="170" fontId="2" fillId="0" borderId="0" xfId="0" applyNumberFormat="1" applyFont="1"/>
    <xf numFmtId="9" fontId="6" fillId="0" borderId="0" xfId="0" applyNumberFormat="1" applyFont="1"/>
    <xf numFmtId="9" fontId="2" fillId="0" borderId="0" xfId="0" applyNumberFormat="1" applyFont="1"/>
    <xf numFmtId="1" fontId="8" fillId="4" borderId="0" xfId="0" applyNumberFormat="1" applyFont="1" applyFill="1"/>
    <xf numFmtId="9" fontId="8" fillId="4" borderId="0" xfId="0" applyNumberFormat="1" applyFont="1" applyFill="1"/>
    <xf numFmtId="2" fontId="8" fillId="4" borderId="0" xfId="0" applyNumberFormat="1" applyFont="1" applyFill="1"/>
    <xf numFmtId="169" fontId="8" fillId="4" borderId="0" xfId="0" applyNumberFormat="1" applyFont="1" applyFill="1"/>
    <xf numFmtId="2" fontId="14" fillId="0" borderId="0" xfId="0" applyNumberFormat="1" applyFont="1"/>
    <xf numFmtId="2" fontId="8" fillId="0" borderId="0" xfId="0" applyNumberFormat="1" applyFont="1"/>
    <xf numFmtId="1" fontId="8" fillId="0" borderId="0" xfId="0" applyNumberFormat="1" applyFont="1"/>
    <xf numFmtId="170" fontId="10" fillId="0" borderId="0" xfId="0" applyNumberFormat="1" applyFont="1"/>
    <xf numFmtId="170" fontId="14" fillId="0" borderId="0" xfId="0" applyNumberFormat="1" applyFont="1"/>
    <xf numFmtId="0" fontId="2" fillId="0" borderId="0" xfId="0" applyFont="1" applyAlignment="1">
      <alignment wrapText="1"/>
    </xf>
    <xf numFmtId="0" fontId="0" fillId="0" borderId="0" xfId="0"/>
  </cellXfs>
  <cellStyles count="1">
    <cellStyle name="Normal" xfId="0" builtinId="0"/>
  </cellStyles>
  <dxfs count="8">
    <dxf>
      <fill>
        <patternFill patternType="solid">
          <fgColor rgb="FFDDE3EE"/>
        </patternFill>
      </fill>
    </dxf>
    <dxf>
      <fill>
        <patternFill patternType="solid">
          <fgColor rgb="FFF1DEBB"/>
        </patternFill>
      </fill>
    </dxf>
    <dxf>
      <fill>
        <patternFill patternType="solid">
          <fgColor rgb="FFF5DCD0"/>
        </patternFill>
      </fill>
    </dxf>
    <dxf>
      <fill>
        <patternFill patternType="solid">
          <fgColor rgb="FFF5DCD0"/>
        </patternFill>
      </fill>
    </dxf>
    <dxf>
      <fill>
        <patternFill patternType="solid">
          <fgColor rgb="FFDDE3EE"/>
        </patternFill>
      </fill>
    </dxf>
    <dxf>
      <fill>
        <patternFill patternType="solid">
          <fgColor rgb="FFF1DEBB"/>
        </patternFill>
      </fill>
    </dxf>
    <dxf>
      <fill>
        <patternFill patternType="solid">
          <fgColor rgb="FFF5DCD0"/>
        </patternFill>
      </fill>
    </dxf>
    <dxf>
      <fill>
        <patternFill patternType="solid">
          <fgColor rgb="FFF5DCD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Sales and total cost (bars) vs cash in the bank (line), Rp million</a:t>
            </a:r>
          </a:p>
        </c:rich>
      </c:tx>
      <c:overlay val="1"/>
    </c:title>
    <c:autoTitleDeleted val="0"/>
    <c:plotArea>
      <c:layout/>
      <c:barChart>
        <c:barDir val="col"/>
        <c:grouping val="clustered"/>
        <c:varyColors val="1"/>
        <c:ser>
          <c:idx val="0"/>
          <c:order val="0"/>
          <c:tx>
            <c:strRef>
              <c:f>Outlook!$A$5</c:f>
              <c:strCache>
                <c:ptCount val="1"/>
                <c:pt idx="0">
                  <c:v>Sales (revenue)</c:v>
                </c:pt>
              </c:strCache>
            </c:strRef>
          </c:tx>
          <c:spPr>
            <a:solidFill>
              <a:srgbClr val="576C94"/>
            </a:solidFill>
            <a:ln>
              <a:prstDash val="solid"/>
            </a:ln>
          </c:spPr>
          <c:invertIfNegative val="1"/>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Outlook!$B$5:$P$5</c:f>
              <c:numCache>
                <c:formatCode>#,##0</c:formatCode>
                <c:ptCount val="15"/>
                <c:pt idx="0">
                  <c:v>17.089742536547231</c:v>
                </c:pt>
                <c:pt idx="1">
                  <c:v>17.189401424358952</c:v>
                </c:pt>
                <c:pt idx="2">
                  <c:v>17.293813</c:v>
                </c:pt>
                <c:pt idx="3">
                  <c:v>18.453030971622052</c:v>
                </c:pt>
                <c:pt idx="4">
                  <c:v>53.719664855508526</c:v>
                </c:pt>
                <c:pt idx="5">
                  <c:v>162.5068875</c:v>
                </c:pt>
                <c:pt idx="6">
                  <c:v>93.83669953773736</c:v>
                </c:pt>
                <c:pt idx="7">
                  <c:v>169.38017954252123</c:v>
                </c:pt>
                <c:pt idx="8">
                  <c:v>69.970272222222221</c:v>
                </c:pt>
                <c:pt idx="9">
                  <c:v>244.31607364923218</c:v>
                </c:pt>
                <c:pt idx="10">
                  <c:v>91.786619865664505</c:v>
                </c:pt>
                <c:pt idx="11">
                  <c:v>221.34040696470586</c:v>
                </c:pt>
                <c:pt idx="12">
                  <c:v>250.22784960327934</c:v>
                </c:pt>
                <c:pt idx="13">
                  <c:v>379.85984334024761</c:v>
                </c:pt>
                <c:pt idx="14">
                  <c:v>284.57598617600001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AC7-7947-B099-A8D4CCB6CF3F}"/>
            </c:ext>
          </c:extLst>
        </c:ser>
        <c:ser>
          <c:idx val="1"/>
          <c:order val="1"/>
          <c:tx>
            <c:strRef>
              <c:f>Outlook!$A$9</c:f>
              <c:strCache>
                <c:ptCount val="1"/>
                <c:pt idx="0">
                  <c:v>Total cost</c:v>
                </c:pt>
              </c:strCache>
            </c:strRef>
          </c:tx>
          <c:spPr>
            <a:solidFill>
              <a:srgbClr val="B8BEC9"/>
            </a:solidFill>
            <a:ln>
              <a:prstDash val="solid"/>
            </a:ln>
          </c:spPr>
          <c:invertIfNegative val="1"/>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Outlook!$B$9:$P$9</c:f>
              <c:numCache>
                <c:formatCode>#,##0</c:formatCode>
                <c:ptCount val="15"/>
                <c:pt idx="0">
                  <c:v>37.606788017089599</c:v>
                </c:pt>
                <c:pt idx="1">
                  <c:v>37.648844067746147</c:v>
                </c:pt>
                <c:pt idx="2">
                  <c:v>37.692905752666675</c:v>
                </c:pt>
                <c:pt idx="3">
                  <c:v>48.426653202115446</c:v>
                </c:pt>
                <c:pt idx="4">
                  <c:v>60.149612545199197</c:v>
                </c:pt>
                <c:pt idx="5">
                  <c:v>110.06681051741668</c:v>
                </c:pt>
                <c:pt idx="6">
                  <c:v>87.197321364781104</c:v>
                </c:pt>
                <c:pt idx="7">
                  <c:v>119.10202865569107</c:v>
                </c:pt>
                <c:pt idx="8">
                  <c:v>86.362294933000001</c:v>
                </c:pt>
                <c:pt idx="9">
                  <c:v>150.01317422449284</c:v>
                </c:pt>
                <c:pt idx="10">
                  <c:v>109.88618242366789</c:v>
                </c:pt>
                <c:pt idx="11">
                  <c:v>158.22804735090196</c:v>
                </c:pt>
                <c:pt idx="12">
                  <c:v>170.85667717323133</c:v>
                </c:pt>
                <c:pt idx="13">
                  <c:v>214.2399773149026</c:v>
                </c:pt>
                <c:pt idx="14">
                  <c:v>193.23616210154665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AC7-7947-B099-A8D4CCB6CF3F}"/>
            </c:ext>
          </c:extLst>
        </c:ser>
        <c:dLbls>
          <c:showLegendKey val="0"/>
          <c:showVal val="0"/>
          <c:showCatName val="0"/>
          <c:showSerName val="0"/>
          <c:showPercent val="0"/>
          <c:showBubbleSize val="0"/>
        </c:dLbls>
        <c:gapWidth val="150"/>
        <c:axId val="10"/>
        <c:axId val="100"/>
      </c:barChart>
      <c:lineChart>
        <c:grouping val="standard"/>
        <c:varyColors val="1"/>
        <c:ser>
          <c:idx val="2"/>
          <c:order val="2"/>
          <c:tx>
            <c:strRef>
              <c:f>Outlook!$A$13</c:f>
              <c:strCache>
                <c:ptCount val="1"/>
                <c:pt idx="0">
                  <c:v>Cash at end of month</c:v>
                </c:pt>
              </c:strCache>
            </c:strRef>
          </c:tx>
          <c:spPr>
            <a:ln w="38100">
              <a:solidFill>
                <a:srgbClr val="475571"/>
              </a:solidFill>
              <a:prstDash val="solid"/>
            </a:ln>
          </c:spPr>
          <c:marker>
            <c:symbol val="none"/>
          </c:marker>
          <c:val>
            <c:numRef>
              <c:f>Outlook!$B$13:$P$13</c:f>
              <c:numCache>
                <c:formatCode>#,##0</c:formatCode>
                <c:ptCount val="15"/>
                <c:pt idx="0">
                  <c:v>174.56840323214038</c:v>
                </c:pt>
                <c:pt idx="1">
                  <c:v>154.10945888319225</c:v>
                </c:pt>
                <c:pt idx="2">
                  <c:v>133.71088818840377</c:v>
                </c:pt>
                <c:pt idx="3">
                  <c:v>103.74306204776849</c:v>
                </c:pt>
                <c:pt idx="4">
                  <c:v>82.489447527497248</c:v>
                </c:pt>
                <c:pt idx="5">
                  <c:v>89.773460623303023</c:v>
                </c:pt>
                <c:pt idx="6">
                  <c:v>88.969487856447969</c:v>
                </c:pt>
                <c:pt idx="7">
                  <c:v>130.67535614330205</c:v>
                </c:pt>
                <c:pt idx="8">
                  <c:v>159.83628389592278</c:v>
                </c:pt>
                <c:pt idx="9">
                  <c:v>167.21091232779716</c:v>
                </c:pt>
                <c:pt idx="10">
                  <c:v>205.09870250087593</c:v>
                </c:pt>
                <c:pt idx="11">
                  <c:v>249.20883105017506</c:v>
                </c:pt>
                <c:pt idx="12">
                  <c:v>273.12444069341598</c:v>
                </c:pt>
                <c:pt idx="13">
                  <c:v>371.59246668744589</c:v>
                </c:pt>
                <c:pt idx="14">
                  <c:v>523.85587147607794</c:v>
                </c:pt>
              </c:numCache>
            </c:numRef>
          </c:val>
          <c:smooth val="0"/>
          <c:extLst>
            <c:ext xmlns:c16="http://schemas.microsoft.com/office/drawing/2014/chart" uri="{C3380CC4-5D6E-409C-BE32-E72D297353CC}">
              <c16:uniqueId val="{00000002-3AC7-7947-B099-A8D4CCB6CF3F}"/>
            </c:ext>
          </c:extLst>
        </c:ser>
        <c:ser>
          <c:idx val="3"/>
          <c:order val="3"/>
          <c:tx>
            <c:strRef>
              <c:f>Outlook!$A$14</c:f>
              <c:strCache>
                <c:ptCount val="1"/>
                <c:pt idx="0">
                  <c:v>Cash floor (1 month of costs)</c:v>
                </c:pt>
              </c:strCache>
            </c:strRef>
          </c:tx>
          <c:spPr>
            <a:ln>
              <a:solidFill>
                <a:srgbClr val="9B3809"/>
              </a:solidFill>
              <a:prstDash val="dash"/>
            </a:ln>
          </c:spPr>
          <c:marker>
            <c:symbol val="none"/>
          </c:marker>
          <c:val>
            <c:numRef>
              <c:f>Outlook!$B$14:$P$14</c:f>
              <c:numCache>
                <c:formatCode>#,##0</c:formatCode>
                <c:ptCount val="15"/>
                <c:pt idx="0">
                  <c:v>37.521339304406865</c:v>
                </c:pt>
                <c:pt idx="1">
                  <c:v>37.562897060624351</c:v>
                </c:pt>
                <c:pt idx="2">
                  <c:v>37.606436687666672</c:v>
                </c:pt>
                <c:pt idx="3">
                  <c:v>48.334388047257335</c:v>
                </c:pt>
                <c:pt idx="4">
                  <c:v>59.881014220921656</c:v>
                </c:pt>
                <c:pt idx="5">
                  <c:v>109.25427607991668</c:v>
                </c:pt>
                <c:pt idx="6">
                  <c:v>86.728137867092414</c:v>
                </c:pt>
                <c:pt idx="7">
                  <c:v>118.25512775797847</c:v>
                </c:pt>
                <c:pt idx="8">
                  <c:v>86.012443571888895</c:v>
                </c:pt>
                <c:pt idx="9">
                  <c:v>148.79159385624669</c:v>
                </c:pt>
                <c:pt idx="10">
                  <c:v>109.42724932433957</c:v>
                </c:pt>
                <c:pt idx="11">
                  <c:v>157.12134531607842</c:v>
                </c:pt>
                <c:pt idx="12">
                  <c:v>169.60553792521495</c:v>
                </c:pt>
                <c:pt idx="13">
                  <c:v>212.34067809820135</c:v>
                </c:pt>
                <c:pt idx="14">
                  <c:v>191.81328217066667</c:v>
                </c:pt>
              </c:numCache>
            </c:numRef>
          </c:val>
          <c:smooth val="0"/>
          <c:extLst>
            <c:ext xmlns:c16="http://schemas.microsoft.com/office/drawing/2014/chart" uri="{C3380CC4-5D6E-409C-BE32-E72D297353CC}">
              <c16:uniqueId val="{00000003-3AC7-7947-B099-A8D4CCB6CF3F}"/>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Rp million</a:t>
                </a:r>
              </a:p>
            </c:rich>
          </c:tx>
          <c:overlay val="1"/>
        </c:title>
        <c:numFmt formatCode="#,##0" sourceLinked="1"/>
        <c:majorTickMark val="none"/>
        <c:minorTickMark val="none"/>
        <c:tickLblPos val="nextTo"/>
        <c:crossAx val="10"/>
        <c:crosses val="autoZero"/>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0</xdr:rowOff>
    </xdr:from>
    <xdr:ext cx="10800000" cy="39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zoomScaleNormal="100" workbookViewId="0"/>
  </sheetViews>
  <sheetFormatPr baseColWidth="10" defaultColWidth="8.6640625" defaultRowHeight="15" x14ac:dyDescent="0.2"/>
  <cols>
    <col min="1" max="1" width="46" customWidth="1"/>
    <col min="2" max="2" width="16" customWidth="1"/>
    <col min="3" max="3" width="8" customWidth="1"/>
    <col min="4" max="4" width="80" customWidth="1"/>
    <col min="5" max="6" width="16" customWidth="1"/>
  </cols>
  <sheetData>
    <row r="1" spans="1:6" ht="17.25" customHeight="1" x14ac:dyDescent="0.2">
      <c r="A1" s="1" t="s">
        <v>0</v>
      </c>
      <c r="B1" s="2"/>
      <c r="C1" s="2"/>
      <c r="D1" s="2"/>
      <c r="E1" s="2"/>
      <c r="F1" s="2"/>
    </row>
    <row r="2" spans="1:6" ht="15" customHeight="1" x14ac:dyDescent="0.2">
      <c r="A2" s="3" t="s">
        <v>1</v>
      </c>
      <c r="B2" s="2"/>
      <c r="C2" s="2"/>
      <c r="D2" s="2"/>
      <c r="E2" s="2"/>
      <c r="F2" s="2"/>
    </row>
    <row r="3" spans="1:6" ht="15" customHeight="1" x14ac:dyDescent="0.2">
      <c r="A3" s="2" t="s">
        <v>2</v>
      </c>
      <c r="B3" s="4" t="str">
        <f>CHOOSE(Inputs!$C$6,"1. Base plan","2. No new B2B deal Jan-Jun 2027","3. BI cuts volume","4. Worst case (2 + 3)")</f>
        <v>1. Base plan</v>
      </c>
      <c r="C3" s="2"/>
      <c r="D3" s="2"/>
      <c r="E3" s="2"/>
      <c r="F3" s="2"/>
    </row>
    <row r="4" spans="1:6" ht="15" customHeight="1" x14ac:dyDescent="0.2">
      <c r="A4" s="2" t="s">
        <v>3</v>
      </c>
      <c r="B4" s="4" t="str">
        <f>CHOOSE(Inputs!$C$85,"1. Current prices","2. New rate card")</f>
        <v>2. New rate card</v>
      </c>
      <c r="C4" s="2"/>
      <c r="D4" s="2"/>
      <c r="E4" s="2"/>
      <c r="F4" s="2"/>
    </row>
    <row r="5" spans="1:6" ht="15" customHeight="1" x14ac:dyDescent="0.2">
      <c r="A5" s="5" t="s">
        <v>4</v>
      </c>
      <c r="B5" s="5" t="s">
        <v>5</v>
      </c>
      <c r="C5" s="5" t="s">
        <v>6</v>
      </c>
      <c r="D5" s="5" t="s">
        <v>7</v>
      </c>
      <c r="E5" s="2"/>
      <c r="F5" s="2"/>
    </row>
    <row r="6" spans="1:6" ht="15" customHeight="1" x14ac:dyDescent="0.2">
      <c r="A6" s="6" t="s">
        <v>8</v>
      </c>
      <c r="B6" s="7"/>
      <c r="C6" s="7"/>
      <c r="D6" s="7"/>
      <c r="E6" s="2"/>
      <c r="F6" s="2"/>
    </row>
    <row r="7" spans="1:6" ht="15" customHeight="1" x14ac:dyDescent="0.2">
      <c r="A7" s="2" t="s">
        <v>9</v>
      </c>
      <c r="B7" s="8">
        <f>PnL!$D$12</f>
        <v>2039.9735142287409</v>
      </c>
      <c r="C7" s="2" t="s">
        <v>10</v>
      </c>
      <c r="D7" s="2" t="s">
        <v>11</v>
      </c>
      <c r="E7" s="2"/>
      <c r="F7" s="2"/>
    </row>
    <row r="8" spans="1:6" ht="15" customHeight="1" x14ac:dyDescent="0.2">
      <c r="A8" s="2" t="s">
        <v>12</v>
      </c>
      <c r="B8" s="8">
        <f>PnL!$D$23</f>
        <v>1377.3341085372447</v>
      </c>
      <c r="C8" s="2" t="s">
        <v>10</v>
      </c>
      <c r="D8" s="2" t="s">
        <v>13</v>
      </c>
      <c r="E8" s="2"/>
      <c r="F8" s="2"/>
    </row>
    <row r="9" spans="1:6" ht="15" customHeight="1" x14ac:dyDescent="0.2">
      <c r="A9" s="2" t="s">
        <v>14</v>
      </c>
      <c r="B9" s="8">
        <f>PnL!$D$31</f>
        <v>834.92566854430675</v>
      </c>
      <c r="C9" s="2" t="s">
        <v>10</v>
      </c>
      <c r="D9" s="2" t="s">
        <v>15</v>
      </c>
      <c r="E9" s="2"/>
      <c r="F9" s="2"/>
    </row>
    <row r="10" spans="1:6" ht="15" customHeight="1" x14ac:dyDescent="0.2">
      <c r="A10" s="2" t="s">
        <v>16</v>
      </c>
      <c r="B10" s="8">
        <f>PnL!$D$28</f>
        <v>270</v>
      </c>
      <c r="C10" s="2" t="s">
        <v>10</v>
      </c>
      <c r="D10" s="2" t="s">
        <v>17</v>
      </c>
      <c r="E10" s="2"/>
      <c r="F10" s="2"/>
    </row>
    <row r="11" spans="1:6" ht="15" customHeight="1" x14ac:dyDescent="0.2">
      <c r="A11" s="2" t="s">
        <v>18</v>
      </c>
      <c r="B11" s="8">
        <f>PnL!$D$35</f>
        <v>532.20857242179409</v>
      </c>
      <c r="C11" s="2" t="s">
        <v>10</v>
      </c>
      <c r="D11" s="2" t="s">
        <v>19</v>
      </c>
      <c r="E11" s="2"/>
      <c r="F11" s="2"/>
    </row>
    <row r="12" spans="1:6" ht="15" customHeight="1" x14ac:dyDescent="0.2">
      <c r="A12" s="2" t="s">
        <v>20</v>
      </c>
      <c r="B12" s="9">
        <f>PnL!$D$36</f>
        <v>0.26088994230055373</v>
      </c>
      <c r="C12" s="2" t="s">
        <v>21</v>
      </c>
      <c r="D12" s="2" t="s">
        <v>22</v>
      </c>
      <c r="E12" s="2"/>
      <c r="F12" s="2"/>
    </row>
    <row r="13" spans="1:6" ht="15" customHeight="1" x14ac:dyDescent="0.2">
      <c r="A13" s="2" t="s">
        <v>23</v>
      </c>
      <c r="B13" s="2" t="str">
        <f>IF(PnL!$D$36&gt;=Inputs!$C$82,"Yes","No")</f>
        <v>Yes</v>
      </c>
      <c r="C13" s="2"/>
      <c r="D13" s="2" t="s">
        <v>24</v>
      </c>
      <c r="E13" s="2"/>
      <c r="F13" s="2"/>
    </row>
    <row r="14" spans="1:6" ht="15" customHeight="1" x14ac:dyDescent="0.2">
      <c r="A14" s="2" t="s">
        <v>25</v>
      </c>
      <c r="B14" s="8">
        <f>IF(Unit_Economics!$G$5&lt;=0,0,(PnL!$D$31/12-(PnL!$D$23-PnL!$D$6-PnL!$D$7+PnL!$D$15+PnL!$D$16)/12)/Unit_Economics!$G$5)</f>
        <v>0.58375141555736076</v>
      </c>
      <c r="C14" s="2" t="s">
        <v>26</v>
      </c>
      <c r="D14" s="2" t="s">
        <v>27</v>
      </c>
      <c r="E14" s="2"/>
      <c r="F14" s="2"/>
    </row>
    <row r="15" spans="1:6" ht="15" customHeight="1" x14ac:dyDescent="0.2">
      <c r="A15" s="6" t="s">
        <v>28</v>
      </c>
      <c r="B15" s="7"/>
      <c r="C15" s="7"/>
      <c r="D15" s="7"/>
      <c r="E15" s="2"/>
      <c r="F15" s="2"/>
    </row>
    <row r="16" spans="1:6" ht="15" customHeight="1" x14ac:dyDescent="0.2">
      <c r="A16" s="2" t="s">
        <v>29</v>
      </c>
      <c r="B16" s="8">
        <f>MIN(CashFlow!$E$21:$S$21)</f>
        <v>82.489447527497248</v>
      </c>
      <c r="C16" s="2" t="s">
        <v>10</v>
      </c>
      <c r="D16" s="2" t="s">
        <v>30</v>
      </c>
      <c r="E16" s="2"/>
      <c r="F16" s="2"/>
    </row>
    <row r="17" spans="1:6" ht="15" customHeight="1" x14ac:dyDescent="0.2">
      <c r="A17" s="2" t="s">
        <v>31</v>
      </c>
      <c r="B17" s="2" t="str">
        <f>INDEX(Volume!$E$4:$S$4,MATCH(MIN(CashFlow!$E$21:$S$21),CashFlow!$E$21:$S$21,0))</f>
        <v>Feb-27</v>
      </c>
      <c r="C17" s="2"/>
      <c r="D17" s="2" t="s">
        <v>32</v>
      </c>
      <c r="E17" s="2"/>
      <c r="F17" s="2"/>
    </row>
    <row r="18" spans="1:6" ht="15" customHeight="1" x14ac:dyDescent="0.2">
      <c r="A18" s="2" t="s">
        <v>33</v>
      </c>
      <c r="B18" s="10">
        <f>COUNTIF(CashFlow!$E$25:$S$25,0)</f>
        <v>1</v>
      </c>
      <c r="C18" s="2" t="s">
        <v>34</v>
      </c>
      <c r="D18" s="2" t="s">
        <v>35</v>
      </c>
      <c r="E18" s="2"/>
      <c r="F18" s="2"/>
    </row>
    <row r="19" spans="1:6" ht="15" customHeight="1" x14ac:dyDescent="0.2">
      <c r="A19" s="2" t="s">
        <v>36</v>
      </c>
      <c r="B19" s="8">
        <f>CashFlow!$D$21</f>
        <v>523.85587147607794</v>
      </c>
      <c r="C19" s="2" t="s">
        <v>10</v>
      </c>
      <c r="D19" s="2"/>
      <c r="E19" s="2"/>
      <c r="F19" s="2"/>
    </row>
    <row r="20" spans="1:6" ht="15" customHeight="1" x14ac:dyDescent="0.2">
      <c r="A20" s="2" t="s">
        <v>37</v>
      </c>
      <c r="B20" s="8">
        <f>CashFlow!$D$26</f>
        <v>219.79999999999973</v>
      </c>
      <c r="C20" s="2" t="s">
        <v>10</v>
      </c>
      <c r="D20" s="2" t="s">
        <v>38</v>
      </c>
      <c r="E20" s="2"/>
      <c r="F20" s="2"/>
    </row>
    <row r="21" spans="1:6" ht="15" customHeight="1" x14ac:dyDescent="0.2">
      <c r="A21" s="2" t="s">
        <v>39</v>
      </c>
      <c r="B21" s="8">
        <f>CashFlow!$G$21/(Capacity_OPEX!$H$32-((PnL!$D$10+PnL!$D$11-PnL!$D$19-PnL!$D$20)/12))</f>
        <v>4.5089577779630545</v>
      </c>
      <c r="C21" s="2" t="s">
        <v>34</v>
      </c>
      <c r="D21" s="2" t="s">
        <v>40</v>
      </c>
      <c r="E21" s="2"/>
      <c r="F21" s="2"/>
    </row>
    <row r="22" spans="1:6" ht="15" customHeight="1" x14ac:dyDescent="0.2">
      <c r="A22" s="6" t="s">
        <v>41</v>
      </c>
      <c r="B22" s="7"/>
      <c r="C22" s="7"/>
      <c r="D22" s="7"/>
      <c r="E22" s="2"/>
      <c r="F22" s="2"/>
    </row>
    <row r="23" spans="1:6" ht="15" customHeight="1" x14ac:dyDescent="0.2">
      <c r="A23" s="2" t="s">
        <v>42</v>
      </c>
      <c r="B23" s="10">
        <f>Capacity_OPEX!$D$8</f>
        <v>8</v>
      </c>
      <c r="C23" s="2" t="s">
        <v>43</v>
      </c>
      <c r="D23" s="2" t="s">
        <v>44</v>
      </c>
      <c r="E23" s="2"/>
      <c r="F23" s="2"/>
    </row>
    <row r="24" spans="1:6" ht="15" customHeight="1" x14ac:dyDescent="0.2">
      <c r="A24" s="2" t="s">
        <v>45</v>
      </c>
      <c r="B24" s="10">
        <f>Capacity_OPEX!$D$9-Inputs!$C$35</f>
        <v>6</v>
      </c>
      <c r="C24" s="2" t="s">
        <v>43</v>
      </c>
      <c r="D24" s="2"/>
      <c r="E24" s="2"/>
      <c r="F24" s="2"/>
    </row>
    <row r="25" spans="1:6" ht="15" customHeight="1" x14ac:dyDescent="0.2">
      <c r="A25" s="2" t="s">
        <v>46</v>
      </c>
      <c r="B25" s="2" t="str">
        <f>IFERROR(INDEX(Volume!$E$4:$S$4,MATCH(1,Capacity_OPEX!$E$15:$S$15,0)),"Not needed")</f>
        <v>Dec-27</v>
      </c>
      <c r="C25" s="2"/>
      <c r="D25" s="2" t="s">
        <v>47</v>
      </c>
      <c r="E25" s="2"/>
      <c r="F25" s="2"/>
    </row>
    <row r="26" spans="1:6" ht="15" customHeight="1" x14ac:dyDescent="0.2">
      <c r="A26" s="6" t="s">
        <v>48</v>
      </c>
      <c r="B26" s="7"/>
      <c r="C26" s="7"/>
      <c r="D26" s="7"/>
      <c r="E26" s="2"/>
      <c r="F26" s="2"/>
    </row>
    <row r="27" spans="1:6" ht="15" customHeight="1" x14ac:dyDescent="0.2">
      <c r="A27" s="2" t="s">
        <v>49</v>
      </c>
      <c r="B27" s="9">
        <f>PnL!$D$41</f>
        <v>0.44697884244087188</v>
      </c>
      <c r="C27" s="2" t="s">
        <v>21</v>
      </c>
      <c r="D27" s="2" t="s">
        <v>50</v>
      </c>
      <c r="E27" s="2"/>
      <c r="F27" s="2"/>
    </row>
    <row r="28" spans="1:6" ht="15" customHeight="1" x14ac:dyDescent="0.2">
      <c r="A28" s="2" t="s">
        <v>51</v>
      </c>
      <c r="B28" s="9">
        <f>IF(PnL!$D$12=0,0,PnL!$D$42/PnL!$D$12)</f>
        <v>0.87942318245159334</v>
      </c>
      <c r="C28" s="2" t="s">
        <v>21</v>
      </c>
      <c r="D28" s="2"/>
      <c r="E28" s="2"/>
      <c r="F28" s="2"/>
    </row>
    <row r="29" spans="1:6" ht="15" customHeight="1" x14ac:dyDescent="0.2">
      <c r="A29" s="2" t="s">
        <v>52</v>
      </c>
      <c r="B29" s="9">
        <f>IF(PnL!$D$12=0,0,SUM(PnL!Q12:S12)/PnL!$D$12)</f>
        <v>0.44837036987969753</v>
      </c>
      <c r="C29" s="2" t="s">
        <v>21</v>
      </c>
      <c r="D29" s="2" t="s">
        <v>53</v>
      </c>
      <c r="E29" s="2"/>
      <c r="F29" s="2"/>
    </row>
    <row r="30" spans="1:6" ht="15" customHeight="1" x14ac:dyDescent="0.2">
      <c r="A30" s="2" t="s">
        <v>54</v>
      </c>
      <c r="B30" s="8">
        <f>Unit_Economics!$B$13</f>
        <v>6</v>
      </c>
      <c r="C30" s="2" t="s">
        <v>10</v>
      </c>
      <c r="D30" s="2" t="s">
        <v>55</v>
      </c>
      <c r="E30" s="2"/>
      <c r="F30" s="2"/>
    </row>
    <row r="31" spans="1:6" ht="15" customHeight="1" x14ac:dyDescent="0.2">
      <c r="A31" s="2" t="s">
        <v>56</v>
      </c>
      <c r="B31" s="8">
        <f>PnL!$D$43</f>
        <v>89.25</v>
      </c>
      <c r="C31" s="2" t="s">
        <v>10</v>
      </c>
      <c r="D31" s="2" t="s">
        <v>57</v>
      </c>
      <c r="E31" s="2"/>
      <c r="F31" s="2"/>
    </row>
    <row r="32" spans="1:6" ht="15" customHeight="1" x14ac:dyDescent="0.2">
      <c r="A32" s="2" t="s">
        <v>58</v>
      </c>
      <c r="B32" s="8">
        <f>PnL!$D$44</f>
        <v>22.798675711437049</v>
      </c>
      <c r="C32" s="2" t="s">
        <v>10</v>
      </c>
      <c r="D32" s="2"/>
      <c r="E32" s="2"/>
      <c r="F32" s="2"/>
    </row>
    <row r="33" spans="1:6" ht="15" customHeight="1" x14ac:dyDescent="0.2">
      <c r="A33" s="2"/>
      <c r="B33" s="2"/>
      <c r="C33" s="2"/>
      <c r="D33" s="2"/>
      <c r="E33" s="2"/>
      <c r="F33" s="2"/>
    </row>
    <row r="34" spans="1:6" ht="15" customHeight="1" x14ac:dyDescent="0.2">
      <c r="A34" s="11" t="s">
        <v>59</v>
      </c>
      <c r="B34" s="2"/>
      <c r="C34" s="2"/>
      <c r="D34" s="2"/>
      <c r="E34" s="2"/>
      <c r="F34" s="2"/>
    </row>
    <row r="35" spans="1:6" ht="15" customHeight="1" x14ac:dyDescent="0.2">
      <c r="A35" s="5" t="s">
        <v>60</v>
      </c>
      <c r="B35" s="5" t="s">
        <v>61</v>
      </c>
      <c r="C35" s="5" t="s">
        <v>62</v>
      </c>
      <c r="D35" s="5" t="s">
        <v>63</v>
      </c>
      <c r="E35" s="5" t="s">
        <v>64</v>
      </c>
      <c r="F35" s="5" t="s">
        <v>65</v>
      </c>
    </row>
    <row r="36" spans="1:6" ht="15" customHeight="1" x14ac:dyDescent="0.2">
      <c r="A36" s="2" t="s">
        <v>9</v>
      </c>
      <c r="B36" s="12">
        <v>1501.5</v>
      </c>
      <c r="C36" s="12">
        <v>1461.5</v>
      </c>
      <c r="D36" s="12">
        <v>2039.97351422874</v>
      </c>
      <c r="E36" s="12">
        <v>1879.47351422874</v>
      </c>
      <c r="F36" s="12">
        <v>1766.426014228741</v>
      </c>
    </row>
    <row r="37" spans="1:6" ht="15" customHeight="1" x14ac:dyDescent="0.2">
      <c r="A37" s="2" t="s">
        <v>18</v>
      </c>
      <c r="B37" s="12">
        <v>378.38349999999599</v>
      </c>
      <c r="C37" s="12">
        <v>402.08349999999598</v>
      </c>
      <c r="D37" s="12">
        <v>532.20857242179295</v>
      </c>
      <c r="E37" s="12">
        <v>426.01107242179302</v>
      </c>
      <c r="F37" s="12">
        <v>373.56576176357498</v>
      </c>
    </row>
    <row r="38" spans="1:6" ht="15" customHeight="1" x14ac:dyDescent="0.2">
      <c r="A38" s="2" t="s">
        <v>20</v>
      </c>
      <c r="B38" s="13">
        <v>0.25200366300366028</v>
      </c>
      <c r="C38" s="13">
        <v>0.2751170030790257</v>
      </c>
      <c r="D38" s="13">
        <v>0.26088994230055329</v>
      </c>
      <c r="E38" s="13">
        <v>0.22666511083909091</v>
      </c>
      <c r="F38" s="13">
        <v>0.21148112559171159</v>
      </c>
    </row>
    <row r="39" spans="1:6" ht="15" customHeight="1" x14ac:dyDescent="0.2">
      <c r="A39" s="2" t="s">
        <v>29</v>
      </c>
      <c r="B39" s="12">
        <v>203.52008333333299</v>
      </c>
      <c r="C39" s="12">
        <v>92.338083333333003</v>
      </c>
      <c r="D39" s="12">
        <v>82.489447527497006</v>
      </c>
      <c r="E39" s="12">
        <v>82.489447527497006</v>
      </c>
      <c r="F39" s="12">
        <v>67.012075356447994</v>
      </c>
    </row>
    <row r="40" spans="1:6" ht="15" customHeight="1" x14ac:dyDescent="0.2">
      <c r="A40" s="2" t="s">
        <v>31</v>
      </c>
      <c r="B40" s="14" t="s">
        <v>66</v>
      </c>
      <c r="C40" s="14" t="s">
        <v>67</v>
      </c>
      <c r="D40" s="14" t="s">
        <v>68</v>
      </c>
      <c r="E40" s="14" t="s">
        <v>68</v>
      </c>
      <c r="F40" s="14" t="s">
        <v>67</v>
      </c>
    </row>
    <row r="41" spans="1:6" ht="15" customHeight="1" x14ac:dyDescent="0.2">
      <c r="A41" s="2" t="s">
        <v>33</v>
      </c>
      <c r="B41" s="15">
        <v>0</v>
      </c>
      <c r="C41" s="15">
        <v>0</v>
      </c>
      <c r="D41" s="15">
        <v>1</v>
      </c>
      <c r="E41" s="15">
        <v>1</v>
      </c>
      <c r="F41" s="15">
        <v>4</v>
      </c>
    </row>
    <row r="42" spans="1:6" ht="15" customHeight="1" x14ac:dyDescent="0.2">
      <c r="A42" s="2" t="s">
        <v>36</v>
      </c>
      <c r="B42" s="12">
        <v>733.46124999999995</v>
      </c>
      <c r="C42" s="12">
        <v>514.73625000000004</v>
      </c>
      <c r="D42" s="12">
        <v>523.85587147607805</v>
      </c>
      <c r="E42" s="12">
        <v>476.24087147607798</v>
      </c>
      <c r="F42" s="12">
        <v>375.29887331786102</v>
      </c>
    </row>
    <row r="43" spans="1:6" ht="15" customHeight="1" x14ac:dyDescent="0.2">
      <c r="A43" s="2"/>
      <c r="B43" s="13"/>
      <c r="C43" s="13"/>
      <c r="D43" s="13"/>
      <c r="E43" s="13"/>
      <c r="F43" s="1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5"/>
  <sheetViews>
    <sheetView workbookViewId="0"/>
  </sheetViews>
  <sheetFormatPr baseColWidth="10" defaultColWidth="8.83203125" defaultRowHeight="15" x14ac:dyDescent="0.2"/>
  <cols>
    <col min="1" max="1" width="30" customWidth="1"/>
    <col min="2" max="16" width="8" customWidth="1"/>
  </cols>
  <sheetData>
    <row r="1" spans="1:16" ht="18" x14ac:dyDescent="0.2">
      <c r="A1" s="41" t="s">
        <v>69</v>
      </c>
    </row>
    <row r="2" spans="1:16" x14ac:dyDescent="0.2">
      <c r="A2" s="42" t="s">
        <v>70</v>
      </c>
    </row>
    <row r="4" spans="1:16" x14ac:dyDescent="0.2">
      <c r="A4" s="43" t="s">
        <v>71</v>
      </c>
      <c r="B4" s="44" t="str">
        <f>Volume!E4</f>
        <v>Oct-26</v>
      </c>
      <c r="C4" s="44" t="str">
        <f>Volume!F4</f>
        <v>Nov-26</v>
      </c>
      <c r="D4" s="44" t="str">
        <f>Volume!G4</f>
        <v>Dec-26</v>
      </c>
      <c r="E4" s="44" t="str">
        <f>Volume!H4</f>
        <v>Jan-27</v>
      </c>
      <c r="F4" s="44" t="str">
        <f>Volume!I4</f>
        <v>Feb-27</v>
      </c>
      <c r="G4" s="44" t="str">
        <f>Volume!J4</f>
        <v>Mar-27</v>
      </c>
      <c r="H4" s="44" t="str">
        <f>Volume!K4</f>
        <v>Apr-27</v>
      </c>
      <c r="I4" s="44" t="str">
        <f>Volume!L4</f>
        <v>May-27</v>
      </c>
      <c r="J4" s="44" t="str">
        <f>Volume!M4</f>
        <v>Jun-27</v>
      </c>
      <c r="K4" s="44" t="str">
        <f>Volume!N4</f>
        <v>Jul-27</v>
      </c>
      <c r="L4" s="44" t="str">
        <f>Volume!O4</f>
        <v>Aug-27</v>
      </c>
      <c r="M4" s="44" t="str">
        <f>Volume!P4</f>
        <v>Sep-27</v>
      </c>
      <c r="N4" s="44" t="str">
        <f>Volume!Q4</f>
        <v>Oct-27</v>
      </c>
      <c r="O4" s="44" t="str">
        <f>Volume!R4</f>
        <v>Nov-27</v>
      </c>
      <c r="P4" s="44" t="str">
        <f>Volume!S4</f>
        <v>Dec-27</v>
      </c>
    </row>
    <row r="5" spans="1:16" x14ac:dyDescent="0.2">
      <c r="A5" s="43" t="s">
        <v>72</v>
      </c>
      <c r="B5" s="45">
        <f>PnL!E12</f>
        <v>17.089742536547231</v>
      </c>
      <c r="C5" s="45">
        <f>PnL!F12</f>
        <v>17.189401424358952</v>
      </c>
      <c r="D5" s="45">
        <f>PnL!G12</f>
        <v>17.293813</v>
      </c>
      <c r="E5" s="45">
        <f>PnL!H12</f>
        <v>18.453030971622052</v>
      </c>
      <c r="F5" s="45">
        <f>PnL!I12</f>
        <v>53.719664855508526</v>
      </c>
      <c r="G5" s="45">
        <f>PnL!J12</f>
        <v>162.5068875</v>
      </c>
      <c r="H5" s="45">
        <f>PnL!K12</f>
        <v>93.83669953773736</v>
      </c>
      <c r="I5" s="45">
        <f>PnL!L12</f>
        <v>169.38017954252123</v>
      </c>
      <c r="J5" s="45">
        <f>PnL!M12</f>
        <v>69.970272222222221</v>
      </c>
      <c r="K5" s="45">
        <f>PnL!N12</f>
        <v>244.31607364923218</v>
      </c>
      <c r="L5" s="45">
        <f>PnL!O12</f>
        <v>91.786619865664505</v>
      </c>
      <c r="M5" s="45">
        <f>PnL!P12</f>
        <v>221.34040696470586</v>
      </c>
      <c r="N5" s="45">
        <f>PnL!Q12</f>
        <v>250.22784960327934</v>
      </c>
      <c r="O5" s="45">
        <f>PnL!R12</f>
        <v>379.85984334024761</v>
      </c>
      <c r="P5" s="45">
        <f>PnL!S12</f>
        <v>284.57598617600001</v>
      </c>
    </row>
    <row r="6" spans="1:16" x14ac:dyDescent="0.2">
      <c r="A6" s="46" t="s">
        <v>73</v>
      </c>
      <c r="B6" s="45">
        <f>PnL!E21</f>
        <v>5.835897014618892</v>
      </c>
      <c r="C6" s="45">
        <f>PnL!F21</f>
        <v>5.8757605697435817</v>
      </c>
      <c r="D6" s="45">
        <f>PnL!G21</f>
        <v>5.9175252</v>
      </c>
      <c r="E6" s="45">
        <f>PnL!H21</f>
        <v>6.3812123886488212</v>
      </c>
      <c r="F6" s="45">
        <f>PnL!I21</f>
        <v>19.48786594220341</v>
      </c>
      <c r="G6" s="45">
        <f>PnL!J21</f>
        <v>49.852755000000002</v>
      </c>
      <c r="H6" s="45">
        <f>PnL!K21</f>
        <v>29.134679815094948</v>
      </c>
      <c r="I6" s="45">
        <f>PnL!L21</f>
        <v>52.6020718170085</v>
      </c>
      <c r="J6" s="45">
        <f>PnL!M21</f>
        <v>24.83810888888889</v>
      </c>
      <c r="K6" s="45">
        <f>PnL!N21</f>
        <v>75.176429459692883</v>
      </c>
      <c r="L6" s="45">
        <f>PnL!O21</f>
        <v>32.564647946265808</v>
      </c>
      <c r="M6" s="45">
        <f>PnL!P21</f>
        <v>71.236162785882357</v>
      </c>
      <c r="N6" s="45">
        <f>PnL!Q21</f>
        <v>81.991139841311735</v>
      </c>
      <c r="O6" s="45">
        <f>PnL!R21</f>
        <v>120.69393733609905</v>
      </c>
      <c r="P6" s="45">
        <f>PnL!S21</f>
        <v>98.680394470399989</v>
      </c>
    </row>
    <row r="7" spans="1:16" x14ac:dyDescent="0.2">
      <c r="A7" s="46" t="s">
        <v>74</v>
      </c>
      <c r="B7" s="45">
        <f>PnL!E31</f>
        <v>31.685442289787972</v>
      </c>
      <c r="C7" s="45">
        <f>PnL!F31</f>
        <v>31.687136490880771</v>
      </c>
      <c r="D7" s="45">
        <f>PnL!G31</f>
        <v>31.688911487666669</v>
      </c>
      <c r="E7" s="45">
        <f>PnL!H31</f>
        <v>41.953175658608515</v>
      </c>
      <c r="F7" s="45">
        <f>PnL!I31</f>
        <v>40.393148278718243</v>
      </c>
      <c r="G7" s="45">
        <f>PnL!J31</f>
        <v>59.40152107991667</v>
      </c>
      <c r="H7" s="45">
        <f>PnL!K31</f>
        <v>57.593458051997473</v>
      </c>
      <c r="I7" s="45">
        <f>PnL!L31</f>
        <v>65.653055940969978</v>
      </c>
      <c r="J7" s="45">
        <f>PnL!M31</f>
        <v>61.174334683000005</v>
      </c>
      <c r="K7" s="45">
        <f>PnL!N31</f>
        <v>73.615164396553809</v>
      </c>
      <c r="L7" s="45">
        <f>PnL!O31</f>
        <v>76.862601378073762</v>
      </c>
      <c r="M7" s="45">
        <f>PnL!P31</f>
        <v>85.885182530196076</v>
      </c>
      <c r="N7" s="45">
        <f>PnL!Q31</f>
        <v>87.614398083903211</v>
      </c>
      <c r="O7" s="45">
        <f>PnL!R31</f>
        <v>91.646740762102311</v>
      </c>
      <c r="P7" s="45">
        <f>PnL!S31</f>
        <v>93.132887700266679</v>
      </c>
    </row>
    <row r="8" spans="1:16" x14ac:dyDescent="0.2">
      <c r="A8" s="46" t="s">
        <v>75</v>
      </c>
      <c r="B8" s="45">
        <f>PnL!E34</f>
        <v>8.5448712682736155E-2</v>
      </c>
      <c r="C8" s="45">
        <f>PnL!F34</f>
        <v>8.5947007121794761E-2</v>
      </c>
      <c r="D8" s="45">
        <f>PnL!G34</f>
        <v>8.6469064999999998E-2</v>
      </c>
      <c r="E8" s="45">
        <f>PnL!H34</f>
        <v>9.2265154858110265E-2</v>
      </c>
      <c r="F8" s="45">
        <f>PnL!I34</f>
        <v>0.26859832427754265</v>
      </c>
      <c r="G8" s="45">
        <f>PnL!J34</f>
        <v>0.8125344375000001</v>
      </c>
      <c r="H8" s="45">
        <f>PnL!K34</f>
        <v>0.46918349768868683</v>
      </c>
      <c r="I8" s="45">
        <f>PnL!L34</f>
        <v>0.84690089771260624</v>
      </c>
      <c r="J8" s="45">
        <f>PnL!M34</f>
        <v>0.34985136111111109</v>
      </c>
      <c r="K8" s="45">
        <f>PnL!N34</f>
        <v>1.221580368246161</v>
      </c>
      <c r="L8" s="45">
        <f>PnL!O34</f>
        <v>0.45893309932832255</v>
      </c>
      <c r="M8" s="45">
        <f>PnL!P34</f>
        <v>1.1067020348235292</v>
      </c>
      <c r="N8" s="45">
        <f>PnL!Q34</f>
        <v>1.2511392480163968</v>
      </c>
      <c r="O8" s="45">
        <f>PnL!R34</f>
        <v>1.8992992167012381</v>
      </c>
      <c r="P8" s="45">
        <f>PnL!S34</f>
        <v>1.4228799308800002</v>
      </c>
    </row>
    <row r="9" spans="1:16" x14ac:dyDescent="0.2">
      <c r="A9" s="43" t="s">
        <v>76</v>
      </c>
      <c r="B9" s="45">
        <f t="shared" ref="B9:P9" si="0">B6+B7+B8</f>
        <v>37.606788017089599</v>
      </c>
      <c r="C9" s="45">
        <f t="shared" si="0"/>
        <v>37.648844067746147</v>
      </c>
      <c r="D9" s="45">
        <f t="shared" si="0"/>
        <v>37.692905752666675</v>
      </c>
      <c r="E9" s="45">
        <f t="shared" si="0"/>
        <v>48.426653202115446</v>
      </c>
      <c r="F9" s="45">
        <f t="shared" si="0"/>
        <v>60.149612545199197</v>
      </c>
      <c r="G9" s="45">
        <f t="shared" si="0"/>
        <v>110.06681051741668</v>
      </c>
      <c r="H9" s="45">
        <f t="shared" si="0"/>
        <v>87.197321364781104</v>
      </c>
      <c r="I9" s="45">
        <f t="shared" si="0"/>
        <v>119.10202865569107</v>
      </c>
      <c r="J9" s="45">
        <f t="shared" si="0"/>
        <v>86.362294933000001</v>
      </c>
      <c r="K9" s="45">
        <f t="shared" si="0"/>
        <v>150.01317422449284</v>
      </c>
      <c r="L9" s="45">
        <f t="shared" si="0"/>
        <v>109.88618242366789</v>
      </c>
      <c r="M9" s="45">
        <f t="shared" si="0"/>
        <v>158.22804735090196</v>
      </c>
      <c r="N9" s="45">
        <f t="shared" si="0"/>
        <v>170.85667717323133</v>
      </c>
      <c r="O9" s="45">
        <f t="shared" si="0"/>
        <v>214.2399773149026</v>
      </c>
      <c r="P9" s="45">
        <f t="shared" si="0"/>
        <v>193.23616210154665</v>
      </c>
    </row>
    <row r="10" spans="1:16" x14ac:dyDescent="0.2">
      <c r="A10" s="46" t="s">
        <v>77</v>
      </c>
      <c r="B10" s="45">
        <f>PnL!E35</f>
        <v>-20.517045480542368</v>
      </c>
      <c r="C10" s="45">
        <f>PnL!F35</f>
        <v>-20.459442643387199</v>
      </c>
      <c r="D10" s="45">
        <f>PnL!G35</f>
        <v>-20.399092752666668</v>
      </c>
      <c r="E10" s="45">
        <f>PnL!H35</f>
        <v>-29.973622230493397</v>
      </c>
      <c r="F10" s="45">
        <f>PnL!I35</f>
        <v>-6.4299476896906729</v>
      </c>
      <c r="G10" s="45">
        <f>PnL!J35</f>
        <v>52.440076982583335</v>
      </c>
      <c r="H10" s="45">
        <f>PnL!K35</f>
        <v>6.6393781729562447</v>
      </c>
      <c r="I10" s="45">
        <f>PnL!L35</f>
        <v>50.278150886830154</v>
      </c>
      <c r="J10" s="45">
        <f>PnL!M35</f>
        <v>-16.392022710777784</v>
      </c>
      <c r="K10" s="45">
        <f>PnL!N35</f>
        <v>94.302899424739323</v>
      </c>
      <c r="L10" s="45">
        <f>PnL!O35</f>
        <v>-18.099562558003388</v>
      </c>
      <c r="M10" s="45">
        <f>PnL!P35</f>
        <v>63.112359613803903</v>
      </c>
      <c r="N10" s="45">
        <f>PnL!Q35</f>
        <v>79.371172430047991</v>
      </c>
      <c r="O10" s="45">
        <f>PnL!R35</f>
        <v>165.619866025345</v>
      </c>
      <c r="P10" s="45">
        <f>PnL!S35</f>
        <v>91.339824074453347</v>
      </c>
    </row>
    <row r="11" spans="1:16" x14ac:dyDescent="0.2">
      <c r="A11" s="46" t="s">
        <v>78</v>
      </c>
      <c r="B11" s="45">
        <f>CashFlow!E11</f>
        <v>2.0897425365472309</v>
      </c>
      <c r="C11" s="45">
        <f>CashFlow!F11</f>
        <v>17.189401424358952</v>
      </c>
      <c r="D11" s="45">
        <f>CashFlow!G11</f>
        <v>17.293813</v>
      </c>
      <c r="E11" s="45">
        <f>CashFlow!H11</f>
        <v>18.453030971622052</v>
      </c>
      <c r="F11" s="45">
        <f>CashFlow!I11</f>
        <v>38.719664855508526</v>
      </c>
      <c r="G11" s="45">
        <f>CashFlow!J11</f>
        <v>116.8068875</v>
      </c>
      <c r="H11" s="45">
        <f>CashFlow!K11</f>
        <v>86.736699537737366</v>
      </c>
      <c r="I11" s="45">
        <f>CashFlow!L11</f>
        <v>160.43017954252124</v>
      </c>
      <c r="J11" s="45">
        <f>CashFlow!M11</f>
        <v>116.02027222222222</v>
      </c>
      <c r="K11" s="45">
        <f>CashFlow!N11</f>
        <v>156.5160736492322</v>
      </c>
      <c r="L11" s="45">
        <f>CashFlow!O11</f>
        <v>148.53661986566451</v>
      </c>
      <c r="M11" s="45">
        <f>CashFlow!P11</f>
        <v>201.69040696470589</v>
      </c>
      <c r="N11" s="45">
        <f>CashFlow!Q11</f>
        <v>194.62784960327937</v>
      </c>
      <c r="O11" s="45">
        <f>CashFlow!R11</f>
        <v>312.05984334024765</v>
      </c>
      <c r="P11" s="45">
        <f>CashFlow!S11</f>
        <v>345.97598617599999</v>
      </c>
    </row>
    <row r="12" spans="1:16" x14ac:dyDescent="0.2">
      <c r="A12" s="46" t="s">
        <v>79</v>
      </c>
      <c r="B12" s="45">
        <f>CashFlow!E17</f>
        <v>37.521339304406865</v>
      </c>
      <c r="C12" s="45">
        <f>CashFlow!F17</f>
        <v>37.648345773307085</v>
      </c>
      <c r="D12" s="45">
        <f>CashFlow!G17</f>
        <v>37.692383694788468</v>
      </c>
      <c r="E12" s="45">
        <f>CashFlow!H17</f>
        <v>48.420857112257337</v>
      </c>
      <c r="F12" s="45">
        <f>CashFlow!I17</f>
        <v>59.973279375779768</v>
      </c>
      <c r="G12" s="45">
        <f>CashFlow!J17</f>
        <v>109.52287440419423</v>
      </c>
      <c r="H12" s="45">
        <f>CashFlow!K17</f>
        <v>87.54067230459242</v>
      </c>
      <c r="I12" s="45">
        <f>CashFlow!L17</f>
        <v>118.72431125566716</v>
      </c>
      <c r="J12" s="45">
        <f>CashFlow!M17</f>
        <v>86.859344469601496</v>
      </c>
      <c r="K12" s="45">
        <f>CashFlow!N17</f>
        <v>149.14144521735781</v>
      </c>
      <c r="L12" s="45">
        <f>CashFlow!O17</f>
        <v>110.64882969258574</v>
      </c>
      <c r="M12" s="45">
        <f>CashFlow!P17</f>
        <v>157.58027841540675</v>
      </c>
      <c r="N12" s="45">
        <f>CashFlow!Q17</f>
        <v>170.71223996003849</v>
      </c>
      <c r="O12" s="45">
        <f>CashFlow!R17</f>
        <v>213.59181734621774</v>
      </c>
      <c r="P12" s="45">
        <f>CashFlow!S17</f>
        <v>193.71258138736792</v>
      </c>
    </row>
    <row r="13" spans="1:16" x14ac:dyDescent="0.2">
      <c r="A13" s="43" t="s">
        <v>80</v>
      </c>
      <c r="B13" s="45">
        <f>CashFlow!E21</f>
        <v>174.56840323214038</v>
      </c>
      <c r="C13" s="45">
        <f>CashFlow!F21</f>
        <v>154.10945888319225</v>
      </c>
      <c r="D13" s="45">
        <f>CashFlow!G21</f>
        <v>133.71088818840377</v>
      </c>
      <c r="E13" s="45">
        <f>CashFlow!H21</f>
        <v>103.74306204776849</v>
      </c>
      <c r="F13" s="45">
        <f>CashFlow!I21</f>
        <v>82.489447527497248</v>
      </c>
      <c r="G13" s="45">
        <f>CashFlow!J21</f>
        <v>89.773460623303023</v>
      </c>
      <c r="H13" s="45">
        <f>CashFlow!K21</f>
        <v>88.969487856447969</v>
      </c>
      <c r="I13" s="45">
        <f>CashFlow!L21</f>
        <v>130.67535614330205</v>
      </c>
      <c r="J13" s="45">
        <f>CashFlow!M21</f>
        <v>159.83628389592278</v>
      </c>
      <c r="K13" s="45">
        <f>CashFlow!N21</f>
        <v>167.21091232779716</v>
      </c>
      <c r="L13" s="45">
        <f>CashFlow!O21</f>
        <v>205.09870250087593</v>
      </c>
      <c r="M13" s="45">
        <f>CashFlow!P21</f>
        <v>249.20883105017506</v>
      </c>
      <c r="N13" s="45">
        <f>CashFlow!Q21</f>
        <v>273.12444069341598</v>
      </c>
      <c r="O13" s="45">
        <f>CashFlow!R21</f>
        <v>371.59246668744589</v>
      </c>
      <c r="P13" s="45">
        <f>CashFlow!S21</f>
        <v>523.85587147607794</v>
      </c>
    </row>
    <row r="14" spans="1:16" x14ac:dyDescent="0.2">
      <c r="A14" s="46" t="s">
        <v>81</v>
      </c>
      <c r="B14" s="45">
        <f>CashFlow!E24</f>
        <v>37.521339304406865</v>
      </c>
      <c r="C14" s="45">
        <f>CashFlow!F24</f>
        <v>37.562897060624351</v>
      </c>
      <c r="D14" s="45">
        <f>CashFlow!G24</f>
        <v>37.606436687666672</v>
      </c>
      <c r="E14" s="45">
        <f>CashFlow!H24</f>
        <v>48.334388047257335</v>
      </c>
      <c r="F14" s="45">
        <f>CashFlow!I24</f>
        <v>59.881014220921656</v>
      </c>
      <c r="G14" s="45">
        <f>CashFlow!J24</f>
        <v>109.25427607991668</v>
      </c>
      <c r="H14" s="45">
        <f>CashFlow!K24</f>
        <v>86.728137867092414</v>
      </c>
      <c r="I14" s="45">
        <f>CashFlow!L24</f>
        <v>118.25512775797847</v>
      </c>
      <c r="J14" s="45">
        <f>CashFlow!M24</f>
        <v>86.012443571888895</v>
      </c>
      <c r="K14" s="45">
        <f>CashFlow!N24</f>
        <v>148.79159385624669</v>
      </c>
      <c r="L14" s="45">
        <f>CashFlow!O24</f>
        <v>109.42724932433957</v>
      </c>
      <c r="M14" s="45">
        <f>CashFlow!P24</f>
        <v>157.12134531607842</v>
      </c>
      <c r="N14" s="45">
        <f>CashFlow!Q24</f>
        <v>169.60553792521495</v>
      </c>
      <c r="O14" s="45">
        <f>CashFlow!R24</f>
        <v>212.34067809820135</v>
      </c>
      <c r="P14" s="45">
        <f>CashFlow!S24</f>
        <v>191.81328217066667</v>
      </c>
    </row>
    <row r="15" spans="1:16" x14ac:dyDescent="0.2">
      <c r="A15" s="46" t="s">
        <v>82</v>
      </c>
      <c r="B15" s="47">
        <f>CashFlow!E25</f>
        <v>1</v>
      </c>
      <c r="C15" s="47">
        <f>CashFlow!F25</f>
        <v>1</v>
      </c>
      <c r="D15" s="47">
        <f>CashFlow!G25</f>
        <v>1</v>
      </c>
      <c r="E15" s="47">
        <f>CashFlow!H25</f>
        <v>1</v>
      </c>
      <c r="F15" s="47">
        <f>CashFlow!I25</f>
        <v>1</v>
      </c>
      <c r="G15" s="47">
        <f>CashFlow!J25</f>
        <v>0</v>
      </c>
      <c r="H15" s="47">
        <f>CashFlow!K25</f>
        <v>1</v>
      </c>
      <c r="I15" s="47">
        <f>CashFlow!L25</f>
        <v>1</v>
      </c>
      <c r="J15" s="47">
        <f>CashFlow!M25</f>
        <v>1</v>
      </c>
      <c r="K15" s="47">
        <f>CashFlow!N25</f>
        <v>1</v>
      </c>
      <c r="L15" s="47">
        <f>CashFlow!O25</f>
        <v>1</v>
      </c>
      <c r="M15" s="47">
        <f>CashFlow!P25</f>
        <v>1</v>
      </c>
      <c r="N15" s="47">
        <f>CashFlow!Q25</f>
        <v>1</v>
      </c>
      <c r="O15" s="47">
        <f>CashFlow!R25</f>
        <v>1</v>
      </c>
      <c r="P15" s="47">
        <f>CashFlow!S25</f>
        <v>1</v>
      </c>
    </row>
  </sheetData>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workbookViewId="0">
      <pane ySplit="4" topLeftCell="A5" activePane="bottomLeft" state="frozen"/>
      <selection pane="bottomLeft"/>
    </sheetView>
  </sheetViews>
  <sheetFormatPr baseColWidth="10" defaultColWidth="8.83203125" defaultRowHeight="15" x14ac:dyDescent="0.2"/>
  <cols>
    <col min="1" max="1" width="52" customWidth="1"/>
    <col min="2" max="2" width="24" customWidth="1"/>
    <col min="3" max="3" width="10" customWidth="1"/>
    <col min="4" max="4" width="12" customWidth="1"/>
    <col min="5" max="5" width="14" customWidth="1"/>
    <col min="6" max="9" width="12" customWidth="1"/>
    <col min="10" max="10" width="18" customWidth="1"/>
    <col min="11" max="11" width="12" customWidth="1"/>
  </cols>
  <sheetData>
    <row r="1" spans="1:11" ht="17" x14ac:dyDescent="0.2">
      <c r="A1" s="48" t="s">
        <v>83</v>
      </c>
    </row>
    <row r="2" spans="1:11" x14ac:dyDescent="0.2">
      <c r="A2" s="42" t="s">
        <v>84</v>
      </c>
    </row>
    <row r="4" spans="1:11" x14ac:dyDescent="0.2">
      <c r="A4" s="43" t="s">
        <v>85</v>
      </c>
      <c r="C4" s="49">
        <v>46300</v>
      </c>
    </row>
    <row r="6" spans="1:11" x14ac:dyDescent="0.2">
      <c r="A6" s="43" t="s">
        <v>86</v>
      </c>
    </row>
    <row r="7" spans="1:11" ht="42" customHeight="1" x14ac:dyDescent="0.2">
      <c r="A7" s="50" t="s">
        <v>87</v>
      </c>
      <c r="B7" s="50" t="s">
        <v>88</v>
      </c>
      <c r="C7" s="50" t="s">
        <v>89</v>
      </c>
      <c r="D7" s="50" t="s">
        <v>90</v>
      </c>
    </row>
    <row r="8" spans="1:11" x14ac:dyDescent="0.2">
      <c r="A8" s="46" t="s">
        <v>91</v>
      </c>
      <c r="B8" s="51">
        <v>14</v>
      </c>
      <c r="C8" s="51">
        <v>45</v>
      </c>
      <c r="D8" s="51">
        <v>30</v>
      </c>
    </row>
    <row r="9" spans="1:11" x14ac:dyDescent="0.2">
      <c r="A9" s="46" t="s">
        <v>92</v>
      </c>
      <c r="B9" s="51">
        <v>42</v>
      </c>
      <c r="C9" s="51">
        <v>75</v>
      </c>
      <c r="D9" s="51">
        <v>30</v>
      </c>
    </row>
    <row r="10" spans="1:11" x14ac:dyDescent="0.2">
      <c r="A10" s="46" t="s">
        <v>93</v>
      </c>
      <c r="B10" s="51">
        <v>42</v>
      </c>
      <c r="C10" s="51">
        <v>75</v>
      </c>
      <c r="D10" s="51">
        <v>30</v>
      </c>
    </row>
    <row r="11" spans="1:11" x14ac:dyDescent="0.2">
      <c r="A11" s="46" t="s">
        <v>94</v>
      </c>
      <c r="B11" s="51">
        <v>0</v>
      </c>
      <c r="C11" s="51">
        <v>30</v>
      </c>
      <c r="D11" s="51">
        <v>30</v>
      </c>
    </row>
    <row r="13" spans="1:11" x14ac:dyDescent="0.2">
      <c r="A13" s="43" t="s">
        <v>95</v>
      </c>
    </row>
    <row r="14" spans="1:11" ht="42" customHeight="1" x14ac:dyDescent="0.2">
      <c r="A14" s="50" t="s">
        <v>96</v>
      </c>
      <c r="B14" s="50" t="s">
        <v>87</v>
      </c>
      <c r="C14" s="50" t="s">
        <v>97</v>
      </c>
      <c r="D14" s="50" t="s">
        <v>98</v>
      </c>
      <c r="E14" s="50" t="s">
        <v>99</v>
      </c>
      <c r="F14" s="50" t="s">
        <v>100</v>
      </c>
      <c r="G14" s="50" t="s">
        <v>101</v>
      </c>
      <c r="H14" s="50" t="s">
        <v>102</v>
      </c>
      <c r="I14" s="50" t="s">
        <v>103</v>
      </c>
      <c r="J14" s="50" t="s">
        <v>104</v>
      </c>
      <c r="K14" s="50" t="s">
        <v>105</v>
      </c>
    </row>
    <row r="15" spans="1:11" x14ac:dyDescent="0.2">
      <c r="A15" s="46" t="s">
        <v>106</v>
      </c>
      <c r="B15" s="52" t="s">
        <v>92</v>
      </c>
      <c r="C15" s="52">
        <v>0</v>
      </c>
      <c r="D15" s="49">
        <v>46447</v>
      </c>
      <c r="E15" s="49">
        <v>46387</v>
      </c>
      <c r="F15" s="53">
        <f t="shared" ref="F15:F24" si="0">D15-VLOOKUP(B15,$A$8:$D$11,2,0)</f>
        <v>46405</v>
      </c>
      <c r="G15" s="53">
        <f t="shared" ref="G15:G24" si="1">F15-VLOOKUP(B15,$A$8:$D$11,3,0)</f>
        <v>46330</v>
      </c>
      <c r="H15" s="53">
        <f t="shared" ref="H15:H24" si="2">G15-C15*VLOOKUP(B15,$A$8:$D$11,4,0)</f>
        <v>46330</v>
      </c>
      <c r="I15" s="53">
        <f t="shared" ref="I15:I24" si="3">IF(E15="",H15,MIN(H15,E15-VLOOKUP(B15,$A$8:$D$11,3,0)))</f>
        <v>46312</v>
      </c>
      <c r="J15" s="52" t="s">
        <v>107</v>
      </c>
      <c r="K15" s="46" t="str">
        <f t="shared" ref="K15:K24" si="4">IF(G15&lt;$C$4,"Late",IF(I15&lt;$C$4,"At risk",IF(I15-$C$4&lt;=31,"Start now","On track")))</f>
        <v>Start now</v>
      </c>
    </row>
    <row r="16" spans="1:11" x14ac:dyDescent="0.2">
      <c r="A16" s="46" t="s">
        <v>108</v>
      </c>
      <c r="B16" s="52" t="s">
        <v>92</v>
      </c>
      <c r="C16" s="52">
        <v>0</v>
      </c>
      <c r="D16" s="49">
        <v>46569</v>
      </c>
      <c r="E16" s="49">
        <v>46387</v>
      </c>
      <c r="F16" s="53">
        <f t="shared" si="0"/>
        <v>46527</v>
      </c>
      <c r="G16" s="53">
        <f t="shared" si="1"/>
        <v>46452</v>
      </c>
      <c r="H16" s="53">
        <f t="shared" si="2"/>
        <v>46452</v>
      </c>
      <c r="I16" s="53">
        <f t="shared" si="3"/>
        <v>46312</v>
      </c>
      <c r="J16" s="52" t="s">
        <v>107</v>
      </c>
      <c r="K16" s="46" t="str">
        <f t="shared" si="4"/>
        <v>Start now</v>
      </c>
    </row>
    <row r="17" spans="1:11" x14ac:dyDescent="0.2">
      <c r="A17" s="46" t="s">
        <v>109</v>
      </c>
      <c r="B17" s="52" t="s">
        <v>92</v>
      </c>
      <c r="C17" s="52">
        <v>0</v>
      </c>
      <c r="D17" s="49">
        <v>46661</v>
      </c>
      <c r="E17" s="49">
        <v>46387</v>
      </c>
      <c r="F17" s="53">
        <f t="shared" si="0"/>
        <v>46619</v>
      </c>
      <c r="G17" s="53">
        <f t="shared" si="1"/>
        <v>46544</v>
      </c>
      <c r="H17" s="53">
        <f t="shared" si="2"/>
        <v>46544</v>
      </c>
      <c r="I17" s="53">
        <f t="shared" si="3"/>
        <v>46312</v>
      </c>
      <c r="J17" s="52" t="s">
        <v>107</v>
      </c>
      <c r="K17" s="46" t="str">
        <f t="shared" si="4"/>
        <v>Start now</v>
      </c>
    </row>
    <row r="18" spans="1:11" x14ac:dyDescent="0.2">
      <c r="A18" s="46" t="s">
        <v>110</v>
      </c>
      <c r="B18" s="52" t="s">
        <v>91</v>
      </c>
      <c r="C18" s="52">
        <v>0</v>
      </c>
      <c r="D18" s="49">
        <v>46419</v>
      </c>
      <c r="E18" s="49"/>
      <c r="F18" s="53">
        <f t="shared" si="0"/>
        <v>46405</v>
      </c>
      <c r="G18" s="53">
        <f t="shared" si="1"/>
        <v>46360</v>
      </c>
      <c r="H18" s="53">
        <f t="shared" si="2"/>
        <v>46360</v>
      </c>
      <c r="I18" s="53">
        <f t="shared" si="3"/>
        <v>46360</v>
      </c>
      <c r="J18" s="52" t="s">
        <v>111</v>
      </c>
      <c r="K18" s="46" t="str">
        <f t="shared" si="4"/>
        <v>On track</v>
      </c>
    </row>
    <row r="19" spans="1:11" x14ac:dyDescent="0.2">
      <c r="A19" s="46" t="s">
        <v>112</v>
      </c>
      <c r="B19" s="52" t="s">
        <v>93</v>
      </c>
      <c r="C19" s="52">
        <v>1</v>
      </c>
      <c r="D19" s="49">
        <v>46419</v>
      </c>
      <c r="E19" s="49">
        <v>46387</v>
      </c>
      <c r="F19" s="53">
        <f t="shared" si="0"/>
        <v>46377</v>
      </c>
      <c r="G19" s="53">
        <f t="shared" si="1"/>
        <v>46302</v>
      </c>
      <c r="H19" s="53">
        <f t="shared" si="2"/>
        <v>46272</v>
      </c>
      <c r="I19" s="53">
        <f t="shared" si="3"/>
        <v>46272</v>
      </c>
      <c r="J19" s="52" t="s">
        <v>111</v>
      </c>
      <c r="K19" s="46" t="str">
        <f t="shared" si="4"/>
        <v>At risk</v>
      </c>
    </row>
    <row r="20" spans="1:11" x14ac:dyDescent="0.2">
      <c r="A20" s="46" t="s">
        <v>113</v>
      </c>
      <c r="B20" s="52" t="s">
        <v>93</v>
      </c>
      <c r="C20" s="52">
        <v>1</v>
      </c>
      <c r="D20" s="49">
        <v>46569</v>
      </c>
      <c r="E20" s="49">
        <v>46387</v>
      </c>
      <c r="F20" s="53">
        <f t="shared" si="0"/>
        <v>46527</v>
      </c>
      <c r="G20" s="53">
        <f t="shared" si="1"/>
        <v>46452</v>
      </c>
      <c r="H20" s="53">
        <f t="shared" si="2"/>
        <v>46422</v>
      </c>
      <c r="I20" s="53">
        <f t="shared" si="3"/>
        <v>46312</v>
      </c>
      <c r="J20" s="52" t="s">
        <v>107</v>
      </c>
      <c r="K20" s="46" t="str">
        <f t="shared" si="4"/>
        <v>Start now</v>
      </c>
    </row>
    <row r="21" spans="1:11" x14ac:dyDescent="0.2">
      <c r="A21" s="46" t="s">
        <v>114</v>
      </c>
      <c r="B21" s="52" t="s">
        <v>93</v>
      </c>
      <c r="C21" s="52">
        <v>1</v>
      </c>
      <c r="D21" s="49">
        <v>46661</v>
      </c>
      <c r="E21" s="49">
        <v>46387</v>
      </c>
      <c r="F21" s="53">
        <f t="shared" si="0"/>
        <v>46619</v>
      </c>
      <c r="G21" s="53">
        <f t="shared" si="1"/>
        <v>46544</v>
      </c>
      <c r="H21" s="53">
        <f t="shared" si="2"/>
        <v>46514</v>
      </c>
      <c r="I21" s="53">
        <f t="shared" si="3"/>
        <v>46312</v>
      </c>
      <c r="J21" s="52" t="s">
        <v>115</v>
      </c>
      <c r="K21" s="46" t="str">
        <f t="shared" si="4"/>
        <v>Start now</v>
      </c>
    </row>
    <row r="22" spans="1:11" x14ac:dyDescent="0.2">
      <c r="A22" s="46" t="s">
        <v>116</v>
      </c>
      <c r="B22" s="52" t="s">
        <v>94</v>
      </c>
      <c r="C22" s="52">
        <v>1</v>
      </c>
      <c r="D22" s="49">
        <v>46661</v>
      </c>
      <c r="E22" s="49"/>
      <c r="F22" s="53">
        <f t="shared" si="0"/>
        <v>46661</v>
      </c>
      <c r="G22" s="53">
        <f t="shared" si="1"/>
        <v>46631</v>
      </c>
      <c r="H22" s="53">
        <f t="shared" si="2"/>
        <v>46601</v>
      </c>
      <c r="I22" s="53">
        <f t="shared" si="3"/>
        <v>46601</v>
      </c>
      <c r="J22" s="52" t="s">
        <v>117</v>
      </c>
      <c r="K22" s="46" t="str">
        <f t="shared" si="4"/>
        <v>On track</v>
      </c>
    </row>
    <row r="23" spans="1:11" x14ac:dyDescent="0.2">
      <c r="A23" s="46" t="s">
        <v>118</v>
      </c>
      <c r="B23" s="52" t="s">
        <v>92</v>
      </c>
      <c r="C23" s="52">
        <v>1</v>
      </c>
      <c r="D23" s="49">
        <v>46813</v>
      </c>
      <c r="E23" s="49">
        <v>46660</v>
      </c>
      <c r="F23" s="53">
        <f t="shared" si="0"/>
        <v>46771</v>
      </c>
      <c r="G23" s="53">
        <f t="shared" si="1"/>
        <v>46696</v>
      </c>
      <c r="H23" s="53">
        <f t="shared" si="2"/>
        <v>46666</v>
      </c>
      <c r="I23" s="53">
        <f t="shared" si="3"/>
        <v>46585</v>
      </c>
      <c r="J23" s="52" t="s">
        <v>115</v>
      </c>
      <c r="K23" s="46" t="str">
        <f t="shared" si="4"/>
        <v>On track</v>
      </c>
    </row>
    <row r="24" spans="1:11" x14ac:dyDescent="0.2">
      <c r="A24" s="46" t="s">
        <v>119</v>
      </c>
      <c r="B24" s="52" t="s">
        <v>92</v>
      </c>
      <c r="C24" s="52">
        <v>0</v>
      </c>
      <c r="D24" s="49">
        <v>46813</v>
      </c>
      <c r="E24" s="49">
        <v>46752</v>
      </c>
      <c r="F24" s="53">
        <f t="shared" si="0"/>
        <v>46771</v>
      </c>
      <c r="G24" s="53">
        <f t="shared" si="1"/>
        <v>46696</v>
      </c>
      <c r="H24" s="53">
        <f t="shared" si="2"/>
        <v>46696</v>
      </c>
      <c r="I24" s="53">
        <f t="shared" si="3"/>
        <v>46677</v>
      </c>
      <c r="J24" s="52" t="s">
        <v>107</v>
      </c>
      <c r="K24" s="46" t="str">
        <f t="shared" si="4"/>
        <v>On track</v>
      </c>
    </row>
    <row r="25" spans="1:11" x14ac:dyDescent="0.2">
      <c r="A25" s="54" t="s">
        <v>120</v>
      </c>
    </row>
    <row r="27" spans="1:11" x14ac:dyDescent="0.2">
      <c r="A27" s="43" t="s">
        <v>121</v>
      </c>
    </row>
    <row r="28" spans="1:11" ht="28" x14ac:dyDescent="0.2">
      <c r="A28" s="50" t="s">
        <v>122</v>
      </c>
      <c r="B28" s="50" t="s">
        <v>123</v>
      </c>
      <c r="C28" s="50"/>
      <c r="D28" s="50" t="s">
        <v>124</v>
      </c>
      <c r="E28" s="50" t="s">
        <v>125</v>
      </c>
      <c r="F28" s="50"/>
      <c r="G28" s="50"/>
      <c r="H28" s="50"/>
      <c r="I28" s="50" t="s">
        <v>103</v>
      </c>
      <c r="J28" s="50" t="s">
        <v>104</v>
      </c>
      <c r="K28" s="50" t="s">
        <v>105</v>
      </c>
    </row>
    <row r="29" spans="1:11" x14ac:dyDescent="0.2">
      <c r="A29" s="46" t="s">
        <v>126</v>
      </c>
      <c r="B29" s="46" t="s">
        <v>127</v>
      </c>
      <c r="D29" s="49">
        <v>46447</v>
      </c>
      <c r="E29" s="52">
        <v>3</v>
      </c>
      <c r="I29" s="53">
        <f t="shared" ref="I29:I36" si="5">EDATE(D29,-E29)</f>
        <v>46357</v>
      </c>
      <c r="J29" s="52" t="s">
        <v>111</v>
      </c>
      <c r="K29" s="46" t="str">
        <f t="shared" ref="K29:K36" si="6">IF(I29&lt;$C$4,"Late",IF(I29-$C$4&lt;=31,"Start now","On track"))</f>
        <v>On track</v>
      </c>
    </row>
    <row r="30" spans="1:11" x14ac:dyDescent="0.2">
      <c r="A30" s="46" t="s">
        <v>128</v>
      </c>
      <c r="B30" s="46" t="s">
        <v>129</v>
      </c>
      <c r="D30" s="49">
        <v>46419</v>
      </c>
      <c r="E30" s="52">
        <v>1</v>
      </c>
      <c r="I30" s="53">
        <f t="shared" si="5"/>
        <v>46388</v>
      </c>
      <c r="J30" s="52" t="s">
        <v>111</v>
      </c>
      <c r="K30" s="46" t="str">
        <f t="shared" si="6"/>
        <v>On track</v>
      </c>
    </row>
    <row r="31" spans="1:11" x14ac:dyDescent="0.2">
      <c r="A31" s="46" t="s">
        <v>130</v>
      </c>
      <c r="B31" s="46" t="s">
        <v>131</v>
      </c>
      <c r="D31" s="49">
        <v>46388</v>
      </c>
      <c r="E31" s="52">
        <v>2</v>
      </c>
      <c r="I31" s="53">
        <f t="shared" si="5"/>
        <v>46327</v>
      </c>
      <c r="J31" s="52" t="s">
        <v>111</v>
      </c>
      <c r="K31" s="46" t="str">
        <f t="shared" si="6"/>
        <v>Start now</v>
      </c>
    </row>
    <row r="32" spans="1:11" x14ac:dyDescent="0.2">
      <c r="A32" s="46" t="s">
        <v>132</v>
      </c>
      <c r="B32" s="46" t="s">
        <v>133</v>
      </c>
      <c r="D32" s="49">
        <v>46569</v>
      </c>
      <c r="E32" s="52">
        <v>2</v>
      </c>
      <c r="I32" s="53">
        <f t="shared" si="5"/>
        <v>46508</v>
      </c>
      <c r="J32" s="52" t="s">
        <v>107</v>
      </c>
      <c r="K32" s="46" t="str">
        <f t="shared" si="6"/>
        <v>On track</v>
      </c>
    </row>
    <row r="33" spans="1:11" x14ac:dyDescent="0.2">
      <c r="A33" s="46" t="s">
        <v>134</v>
      </c>
      <c r="B33" s="46" t="s">
        <v>135</v>
      </c>
      <c r="D33" s="49">
        <v>46569</v>
      </c>
      <c r="E33" s="52">
        <v>6</v>
      </c>
      <c r="I33" s="53">
        <f t="shared" si="5"/>
        <v>46388</v>
      </c>
      <c r="J33" s="52" t="s">
        <v>136</v>
      </c>
      <c r="K33" s="46" t="str">
        <f t="shared" si="6"/>
        <v>On track</v>
      </c>
    </row>
    <row r="34" spans="1:11" x14ac:dyDescent="0.2">
      <c r="A34" s="46" t="s">
        <v>137</v>
      </c>
      <c r="B34" s="46" t="s">
        <v>138</v>
      </c>
      <c r="D34" s="49">
        <v>46661</v>
      </c>
      <c r="E34" s="52">
        <v>3</v>
      </c>
      <c r="I34" s="53">
        <f t="shared" si="5"/>
        <v>46569</v>
      </c>
      <c r="J34" s="52" t="s">
        <v>111</v>
      </c>
      <c r="K34" s="46" t="str">
        <f t="shared" si="6"/>
        <v>On track</v>
      </c>
    </row>
    <row r="35" spans="1:11" x14ac:dyDescent="0.2">
      <c r="A35" s="46" t="s">
        <v>139</v>
      </c>
      <c r="B35" s="46" t="s">
        <v>140</v>
      </c>
      <c r="D35" s="49">
        <v>46661</v>
      </c>
      <c r="E35" s="52">
        <v>3</v>
      </c>
      <c r="I35" s="53">
        <f t="shared" si="5"/>
        <v>46569</v>
      </c>
      <c r="J35" s="52" t="s">
        <v>107</v>
      </c>
      <c r="K35" s="46" t="str">
        <f t="shared" si="6"/>
        <v>On track</v>
      </c>
    </row>
    <row r="36" spans="1:11" x14ac:dyDescent="0.2">
      <c r="A36" s="46" t="s">
        <v>141</v>
      </c>
      <c r="B36" s="46" t="s">
        <v>142</v>
      </c>
      <c r="D36" s="49">
        <v>46631</v>
      </c>
      <c r="E36" s="52">
        <v>1</v>
      </c>
      <c r="I36" s="53">
        <f t="shared" si="5"/>
        <v>46600</v>
      </c>
      <c r="J36" s="52" t="s">
        <v>111</v>
      </c>
      <c r="K36" s="46" t="str">
        <f t="shared" si="6"/>
        <v>On track</v>
      </c>
    </row>
    <row r="38" spans="1:11" x14ac:dyDescent="0.2">
      <c r="A38" s="43" t="s">
        <v>143</v>
      </c>
    </row>
    <row r="39" spans="1:11" x14ac:dyDescent="0.2">
      <c r="A39" s="46" t="s">
        <v>144</v>
      </c>
      <c r="D39" s="55">
        <f>MIN(Outlook!B13:P13)</f>
        <v>82.489447527497248</v>
      </c>
    </row>
    <row r="40" spans="1:11" x14ac:dyDescent="0.2">
      <c r="A40" s="46" t="s">
        <v>145</v>
      </c>
      <c r="D40" s="46" t="str">
        <f>INDEX(Outlook!B4:P4,MATCH(MIN(Outlook!B13:P13),Outlook!B13:P13,0))</f>
        <v>Feb-27</v>
      </c>
    </row>
    <row r="41" spans="1:11" x14ac:dyDescent="0.2">
      <c r="A41" s="46" t="s">
        <v>146</v>
      </c>
      <c r="D41" s="56">
        <f>COUNTIF(Outlook!B15:P15,0)</f>
        <v>1</v>
      </c>
    </row>
    <row r="42" spans="1:11" x14ac:dyDescent="0.2">
      <c r="A42" s="46" t="s">
        <v>147</v>
      </c>
      <c r="D42" s="57">
        <f>Inputs!$C$117</f>
        <v>0</v>
      </c>
    </row>
    <row r="43" spans="1:11" x14ac:dyDescent="0.2">
      <c r="A43" s="54" t="s">
        <v>148</v>
      </c>
    </row>
    <row r="45" spans="1:11" x14ac:dyDescent="0.2">
      <c r="A45" s="43" t="s">
        <v>149</v>
      </c>
    </row>
    <row r="46" spans="1:11" ht="28" x14ac:dyDescent="0.2">
      <c r="A46" s="50" t="s">
        <v>150</v>
      </c>
      <c r="B46" s="50" t="s">
        <v>87</v>
      </c>
      <c r="C46" s="50" t="s">
        <v>151</v>
      </c>
      <c r="D46" s="50" t="s">
        <v>152</v>
      </c>
      <c r="E46" s="50" t="s">
        <v>153</v>
      </c>
      <c r="F46" s="50" t="s">
        <v>154</v>
      </c>
      <c r="G46" s="50" t="s">
        <v>78</v>
      </c>
      <c r="H46" s="50" t="s">
        <v>155</v>
      </c>
      <c r="I46" s="50" t="s">
        <v>156</v>
      </c>
      <c r="J46" s="50" t="s">
        <v>157</v>
      </c>
      <c r="K46" s="50" t="s">
        <v>158</v>
      </c>
    </row>
    <row r="47" spans="1:11" x14ac:dyDescent="0.2">
      <c r="C47" s="49"/>
      <c r="D47" s="49"/>
      <c r="E47" s="49"/>
      <c r="F47" s="49"/>
      <c r="G47" s="49"/>
      <c r="H47" s="46" t="str">
        <f t="shared" ref="H47:H54" si="7">IF(OR(C47="",E47=""),"",E47-C47)</f>
        <v/>
      </c>
      <c r="I47" s="46" t="str">
        <f t="shared" ref="I47:I54" si="8">IF(OR(F47="",G47=""),"",G47-F47)</f>
        <v/>
      </c>
    </row>
    <row r="48" spans="1:11" x14ac:dyDescent="0.2">
      <c r="C48" s="49"/>
      <c r="D48" s="49"/>
      <c r="E48" s="49"/>
      <c r="F48" s="49"/>
      <c r="G48" s="49"/>
      <c r="H48" s="46" t="str">
        <f t="shared" si="7"/>
        <v/>
      </c>
      <c r="I48" s="46" t="str">
        <f t="shared" si="8"/>
        <v/>
      </c>
    </row>
    <row r="49" spans="3:9" x14ac:dyDescent="0.2">
      <c r="C49" s="49"/>
      <c r="D49" s="49"/>
      <c r="E49" s="49"/>
      <c r="F49" s="49"/>
      <c r="G49" s="49"/>
      <c r="H49" s="46" t="str">
        <f t="shared" si="7"/>
        <v/>
      </c>
      <c r="I49" s="46" t="str">
        <f t="shared" si="8"/>
        <v/>
      </c>
    </row>
    <row r="50" spans="3:9" x14ac:dyDescent="0.2">
      <c r="C50" s="49"/>
      <c r="D50" s="49"/>
      <c r="E50" s="49"/>
      <c r="F50" s="49"/>
      <c r="G50" s="49"/>
      <c r="H50" s="46" t="str">
        <f t="shared" si="7"/>
        <v/>
      </c>
      <c r="I50" s="46" t="str">
        <f t="shared" si="8"/>
        <v/>
      </c>
    </row>
    <row r="51" spans="3:9" x14ac:dyDescent="0.2">
      <c r="C51" s="49"/>
      <c r="D51" s="49"/>
      <c r="E51" s="49"/>
      <c r="F51" s="49"/>
      <c r="G51" s="49"/>
      <c r="H51" s="46" t="str">
        <f t="shared" si="7"/>
        <v/>
      </c>
      <c r="I51" s="46" t="str">
        <f t="shared" si="8"/>
        <v/>
      </c>
    </row>
    <row r="52" spans="3:9" x14ac:dyDescent="0.2">
      <c r="C52" s="49"/>
      <c r="D52" s="49"/>
      <c r="E52" s="49"/>
      <c r="F52" s="49"/>
      <c r="G52" s="49"/>
      <c r="H52" s="46" t="str">
        <f t="shared" si="7"/>
        <v/>
      </c>
      <c r="I52" s="46" t="str">
        <f t="shared" si="8"/>
        <v/>
      </c>
    </row>
    <row r="53" spans="3:9" x14ac:dyDescent="0.2">
      <c r="C53" s="49"/>
      <c r="D53" s="49"/>
      <c r="E53" s="49"/>
      <c r="F53" s="49"/>
      <c r="G53" s="49"/>
      <c r="H53" s="46" t="str">
        <f t="shared" si="7"/>
        <v/>
      </c>
      <c r="I53" s="46" t="str">
        <f t="shared" si="8"/>
        <v/>
      </c>
    </row>
    <row r="54" spans="3:9" x14ac:dyDescent="0.2">
      <c r="C54" s="49"/>
      <c r="D54" s="49"/>
      <c r="E54" s="49"/>
      <c r="F54" s="49"/>
      <c r="G54" s="49"/>
      <c r="H54" s="46" t="str">
        <f t="shared" si="7"/>
        <v/>
      </c>
      <c r="I54" s="46" t="str">
        <f t="shared" si="8"/>
        <v/>
      </c>
    </row>
  </sheetData>
  <conditionalFormatting sqref="K15:K24">
    <cfRule type="expression" dxfId="7" priority="1">
      <formula>K15="Late"</formula>
    </cfRule>
    <cfRule type="expression" dxfId="6" priority="2">
      <formula>K15="At risk"</formula>
    </cfRule>
    <cfRule type="expression" dxfId="5" priority="3">
      <formula>K15="Start now"</formula>
    </cfRule>
    <cfRule type="expression" dxfId="4" priority="4">
      <formula>K15="On track"</formula>
    </cfRule>
  </conditionalFormatting>
  <conditionalFormatting sqref="K29:K36">
    <cfRule type="expression" dxfId="3" priority="5">
      <formula>K29="Late"</formula>
    </cfRule>
    <cfRule type="expression" dxfId="2" priority="6">
      <formula>K29="At risk"</formula>
    </cfRule>
    <cfRule type="expression" dxfId="1" priority="7">
      <formula>K29="Start now"</formula>
    </cfRule>
    <cfRule type="expression" dxfId="0" priority="8">
      <formula>K29="On track"</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workbookViewId="0">
      <pane xSplit="4" ySplit="18" topLeftCell="E19" activePane="bottomRight" state="frozen"/>
      <selection pane="topRight"/>
      <selection pane="bottomLeft"/>
      <selection pane="bottomRight"/>
    </sheetView>
  </sheetViews>
  <sheetFormatPr baseColWidth="10" defaultColWidth="8.83203125" defaultRowHeight="15" x14ac:dyDescent="0.2"/>
  <cols>
    <col min="1" max="1" width="62" customWidth="1"/>
    <col min="2" max="19" width="9" customWidth="1"/>
  </cols>
  <sheetData>
    <row r="1" spans="1:7" ht="17" x14ac:dyDescent="0.2">
      <c r="A1" s="48" t="s">
        <v>159</v>
      </c>
    </row>
    <row r="2" spans="1:7" x14ac:dyDescent="0.2">
      <c r="A2" s="42" t="s">
        <v>160</v>
      </c>
    </row>
    <row r="4" spans="1:7" x14ac:dyDescent="0.2">
      <c r="A4" s="6" t="s">
        <v>161</v>
      </c>
    </row>
    <row r="5" spans="1:7" x14ac:dyDescent="0.2">
      <c r="C5" s="43" t="s">
        <v>162</v>
      </c>
      <c r="D5" s="43" t="s">
        <v>163</v>
      </c>
      <c r="E5" s="43" t="s">
        <v>164</v>
      </c>
      <c r="F5" s="43" t="s">
        <v>165</v>
      </c>
      <c r="G5" s="43" t="s">
        <v>166</v>
      </c>
    </row>
    <row r="6" spans="1:7" x14ac:dyDescent="0.2">
      <c r="A6" s="46" t="s">
        <v>167</v>
      </c>
      <c r="C6" s="58">
        <v>0.15</v>
      </c>
      <c r="D6" s="58">
        <v>0.25</v>
      </c>
      <c r="E6" s="58">
        <v>0.28000000000000003</v>
      </c>
      <c r="F6" s="58">
        <v>0.28000000000000003</v>
      </c>
      <c r="G6" s="58">
        <v>0.24</v>
      </c>
    </row>
    <row r="7" spans="1:7" x14ac:dyDescent="0.2">
      <c r="A7" s="46" t="s">
        <v>168</v>
      </c>
      <c r="C7" s="59">
        <v>0.57999999999999996</v>
      </c>
      <c r="D7" s="59">
        <v>0.7</v>
      </c>
      <c r="E7" s="59">
        <v>0.85</v>
      </c>
      <c r="F7" s="59">
        <v>1</v>
      </c>
      <c r="G7" s="59">
        <v>1</v>
      </c>
    </row>
    <row r="8" spans="1:7" x14ac:dyDescent="0.2">
      <c r="A8" s="46" t="s">
        <v>169</v>
      </c>
      <c r="C8" s="59">
        <v>1</v>
      </c>
      <c r="D8" s="59">
        <v>1.1000000000000001</v>
      </c>
      <c r="E8" s="59">
        <v>1.25</v>
      </c>
      <c r="F8" s="59">
        <v>1.4</v>
      </c>
      <c r="G8" s="59">
        <v>1.4</v>
      </c>
    </row>
    <row r="9" spans="1:7" x14ac:dyDescent="0.2">
      <c r="A9" s="46" t="s">
        <v>170</v>
      </c>
      <c r="C9" s="58">
        <v>0</v>
      </c>
      <c r="D9" s="58">
        <v>0.05</v>
      </c>
      <c r="E9" s="58">
        <v>0.1</v>
      </c>
      <c r="F9" s="58">
        <v>0.15</v>
      </c>
      <c r="G9" s="58">
        <v>0.2</v>
      </c>
    </row>
    <row r="10" spans="1:7" x14ac:dyDescent="0.2">
      <c r="A10" s="46" t="s">
        <v>171</v>
      </c>
      <c r="C10" s="60">
        <v>3439</v>
      </c>
    </row>
    <row r="11" spans="1:7" x14ac:dyDescent="0.2">
      <c r="A11" s="46" t="s">
        <v>172</v>
      </c>
      <c r="C11" s="61">
        <v>2</v>
      </c>
    </row>
    <row r="12" spans="1:7" x14ac:dyDescent="0.2">
      <c r="A12" s="46" t="s">
        <v>173</v>
      </c>
      <c r="C12" s="62" t="s">
        <v>67</v>
      </c>
    </row>
    <row r="13" spans="1:7" x14ac:dyDescent="0.2">
      <c r="A13" s="46" t="s">
        <v>174</v>
      </c>
      <c r="C13" s="61">
        <v>36</v>
      </c>
    </row>
    <row r="14" spans="1:7" x14ac:dyDescent="0.2">
      <c r="A14" s="46" t="s">
        <v>175</v>
      </c>
      <c r="C14" s="61">
        <v>2</v>
      </c>
    </row>
    <row r="15" spans="1:7" x14ac:dyDescent="0.2">
      <c r="A15" s="46" t="s">
        <v>176</v>
      </c>
      <c r="C15" s="61">
        <v>160</v>
      </c>
    </row>
    <row r="16" spans="1:7" x14ac:dyDescent="0.2">
      <c r="A16" s="46" t="s">
        <v>177</v>
      </c>
      <c r="C16" s="63">
        <v>9</v>
      </c>
    </row>
    <row r="17" spans="1:19" x14ac:dyDescent="0.2">
      <c r="A17" s="46" t="s">
        <v>178</v>
      </c>
      <c r="C17" s="59">
        <v>0.2</v>
      </c>
      <c r="E17" s="46" t="s">
        <v>179</v>
      </c>
      <c r="K17" s="52">
        <v>1</v>
      </c>
    </row>
    <row r="18" spans="1:19" x14ac:dyDescent="0.2">
      <c r="A18" s="27" t="s">
        <v>180</v>
      </c>
      <c r="B18" s="27" t="s">
        <v>6</v>
      </c>
      <c r="C18" s="27" t="s">
        <v>162</v>
      </c>
      <c r="D18" s="27" t="s">
        <v>181</v>
      </c>
      <c r="E18" s="27" t="str">
        <f>Volume!E4</f>
        <v>Oct-26</v>
      </c>
      <c r="F18" s="27" t="str">
        <f>Volume!F4</f>
        <v>Nov-26</v>
      </c>
      <c r="G18" s="27" t="str">
        <f>Volume!G4</f>
        <v>Dec-26</v>
      </c>
      <c r="H18" s="27" t="str">
        <f>Volume!H4</f>
        <v>Jan-27</v>
      </c>
      <c r="I18" s="27" t="str">
        <f>Volume!I4</f>
        <v>Feb-27</v>
      </c>
      <c r="J18" s="27" t="str">
        <f>Volume!J4</f>
        <v>Mar-27</v>
      </c>
      <c r="K18" s="27" t="str">
        <f>Volume!K4</f>
        <v>Apr-27</v>
      </c>
      <c r="L18" s="27" t="str">
        <f>Volume!L4</f>
        <v>May-27</v>
      </c>
      <c r="M18" s="27" t="str">
        <f>Volume!M4</f>
        <v>Jun-27</v>
      </c>
      <c r="N18" s="27" t="str">
        <f>Volume!N4</f>
        <v>Jul-27</v>
      </c>
      <c r="O18" s="27" t="str">
        <f>Volume!O4</f>
        <v>Aug-27</v>
      </c>
      <c r="P18" s="27" t="str">
        <f>Volume!P4</f>
        <v>Sep-27</v>
      </c>
      <c r="Q18" s="27" t="str">
        <f>Volume!Q4</f>
        <v>Oct-27</v>
      </c>
      <c r="R18" s="27" t="str">
        <f>Volume!R4</f>
        <v>Nov-27</v>
      </c>
      <c r="S18" s="27" t="str">
        <f>Volume!S4</f>
        <v>Dec-27</v>
      </c>
    </row>
    <row r="19" spans="1:19" x14ac:dyDescent="0.2">
      <c r="A19" s="28" t="s">
        <v>182</v>
      </c>
      <c r="B19" s="3" t="s">
        <v>183</v>
      </c>
      <c r="C19" s="64"/>
      <c r="D19" s="64"/>
      <c r="E19" s="65">
        <f>INT((Volume!E6-1)/3)+1</f>
        <v>1</v>
      </c>
      <c r="F19" s="65">
        <f>INT((Volume!F6-1)/3)+1</f>
        <v>1</v>
      </c>
      <c r="G19" s="65">
        <f>INT((Volume!G6-1)/3)+1</f>
        <v>1</v>
      </c>
      <c r="H19" s="65">
        <f>INT((Volume!H6-1)/3)+1</f>
        <v>2</v>
      </c>
      <c r="I19" s="65">
        <f>INT((Volume!I6-1)/3)+1</f>
        <v>2</v>
      </c>
      <c r="J19" s="65">
        <f>INT((Volume!J6-1)/3)+1</f>
        <v>2</v>
      </c>
      <c r="K19" s="65">
        <f>INT((Volume!K6-1)/3)+1</f>
        <v>3</v>
      </c>
      <c r="L19" s="65">
        <f>INT((Volume!L6-1)/3)+1</f>
        <v>3</v>
      </c>
      <c r="M19" s="65">
        <f>INT((Volume!M6-1)/3)+1</f>
        <v>3</v>
      </c>
      <c r="N19" s="65">
        <f>INT((Volume!N6-1)/3)+1</f>
        <v>4</v>
      </c>
      <c r="O19" s="65">
        <f>INT((Volume!O6-1)/3)+1</f>
        <v>4</v>
      </c>
      <c r="P19" s="65">
        <f>INT((Volume!P6-1)/3)+1</f>
        <v>4</v>
      </c>
      <c r="Q19" s="65">
        <f>INT((Volume!Q6-1)/3)+1</f>
        <v>5</v>
      </c>
      <c r="R19" s="65">
        <f>INT((Volume!R6-1)/3)+1</f>
        <v>5</v>
      </c>
      <c r="S19" s="65">
        <f>INT((Volume!S6-1)/3)+1</f>
        <v>5</v>
      </c>
    </row>
    <row r="20" spans="1:19" x14ac:dyDescent="0.2">
      <c r="A20" s="28" t="s">
        <v>184</v>
      </c>
      <c r="B20" s="3" t="s">
        <v>43</v>
      </c>
      <c r="C20" s="66">
        <f>MAX(E20:G20)</f>
        <v>3954.8499999999995</v>
      </c>
      <c r="D20" s="66">
        <f>MAX(H20:S20)</f>
        <v>10043.420671999993</v>
      </c>
      <c r="E20" s="67">
        <f>$C$10*(1+INDEX($C$6:$G$6,E19))^(1/3)</f>
        <v>3603.0043733572948</v>
      </c>
      <c r="F20" s="67">
        <f t="shared" ref="F20:S20" si="0">E20*(1+INDEX($C$6:$G$6,F19))^(1/3)</f>
        <v>3774.8300419981952</v>
      </c>
      <c r="G20" s="67">
        <f t="shared" si="0"/>
        <v>3954.8499999999995</v>
      </c>
      <c r="H20" s="67">
        <f t="shared" si="0"/>
        <v>4260.2330169362976</v>
      </c>
      <c r="I20" s="67">
        <f t="shared" si="0"/>
        <v>4589.1968996533751</v>
      </c>
      <c r="J20" s="67">
        <f t="shared" si="0"/>
        <v>4943.5625000000009</v>
      </c>
      <c r="K20" s="67">
        <f t="shared" si="0"/>
        <v>5367.5572554951832</v>
      </c>
      <c r="L20" s="67">
        <f t="shared" si="0"/>
        <v>5827.9167889591727</v>
      </c>
      <c r="M20" s="67">
        <f t="shared" si="0"/>
        <v>6327.7599999999993</v>
      </c>
      <c r="N20" s="67">
        <f t="shared" si="0"/>
        <v>6870.473287033833</v>
      </c>
      <c r="O20" s="67">
        <f t="shared" si="0"/>
        <v>7459.7334898677391</v>
      </c>
      <c r="P20" s="67">
        <f t="shared" si="0"/>
        <v>8099.5327999999963</v>
      </c>
      <c r="Q20" s="67">
        <f t="shared" si="0"/>
        <v>8701.628344731058</v>
      </c>
      <c r="R20" s="67">
        <f t="shared" si="0"/>
        <v>9348.4819087129326</v>
      </c>
      <c r="S20" s="67">
        <f t="shared" si="0"/>
        <v>10043.420671999993</v>
      </c>
    </row>
    <row r="21" spans="1:19" x14ac:dyDescent="0.2">
      <c r="A21" s="28" t="s">
        <v>185</v>
      </c>
      <c r="B21" s="3" t="s">
        <v>186</v>
      </c>
      <c r="C21" s="68">
        <f>MAX(E21:G21)</f>
        <v>0.57999999999999996</v>
      </c>
      <c r="D21" s="68">
        <f>MAX(H21:S21)</f>
        <v>1</v>
      </c>
      <c r="E21" s="69">
        <f t="shared" ref="E21:S21" si="1">INDEX($C$7:$G$7,E19)</f>
        <v>0.57999999999999996</v>
      </c>
      <c r="F21" s="69">
        <f t="shared" si="1"/>
        <v>0.57999999999999996</v>
      </c>
      <c r="G21" s="69">
        <f t="shared" si="1"/>
        <v>0.57999999999999996</v>
      </c>
      <c r="H21" s="69">
        <f t="shared" si="1"/>
        <v>0.7</v>
      </c>
      <c r="I21" s="69">
        <f t="shared" si="1"/>
        <v>0.7</v>
      </c>
      <c r="J21" s="69">
        <f t="shared" si="1"/>
        <v>0.7</v>
      </c>
      <c r="K21" s="69">
        <f t="shared" si="1"/>
        <v>0.85</v>
      </c>
      <c r="L21" s="69">
        <f t="shared" si="1"/>
        <v>0.85</v>
      </c>
      <c r="M21" s="69">
        <f t="shared" si="1"/>
        <v>0.85</v>
      </c>
      <c r="N21" s="69">
        <f t="shared" si="1"/>
        <v>1</v>
      </c>
      <c r="O21" s="69">
        <f t="shared" si="1"/>
        <v>1</v>
      </c>
      <c r="P21" s="69">
        <f t="shared" si="1"/>
        <v>1</v>
      </c>
      <c r="Q21" s="69">
        <f t="shared" si="1"/>
        <v>1</v>
      </c>
      <c r="R21" s="69">
        <f t="shared" si="1"/>
        <v>1</v>
      </c>
      <c r="S21" s="69">
        <f t="shared" si="1"/>
        <v>1</v>
      </c>
    </row>
    <row r="22" spans="1:19" x14ac:dyDescent="0.2">
      <c r="A22" s="28" t="s">
        <v>169</v>
      </c>
      <c r="B22" s="3" t="s">
        <v>187</v>
      </c>
      <c r="C22" s="68">
        <f>MAX(E22:G22)</f>
        <v>1</v>
      </c>
      <c r="D22" s="68">
        <f>MAX(H22:S22)</f>
        <v>1.4</v>
      </c>
      <c r="E22" s="69">
        <f t="shared" ref="E22:S22" si="2">INDEX($C$8:$G$8,E19)</f>
        <v>1</v>
      </c>
      <c r="F22" s="69">
        <f t="shared" si="2"/>
        <v>1</v>
      </c>
      <c r="G22" s="69">
        <f t="shared" si="2"/>
        <v>1</v>
      </c>
      <c r="H22" s="69">
        <f t="shared" si="2"/>
        <v>1.1000000000000001</v>
      </c>
      <c r="I22" s="69">
        <f t="shared" si="2"/>
        <v>1.1000000000000001</v>
      </c>
      <c r="J22" s="69">
        <f t="shared" si="2"/>
        <v>1.1000000000000001</v>
      </c>
      <c r="K22" s="69">
        <f t="shared" si="2"/>
        <v>1.25</v>
      </c>
      <c r="L22" s="69">
        <f t="shared" si="2"/>
        <v>1.25</v>
      </c>
      <c r="M22" s="69">
        <f t="shared" si="2"/>
        <v>1.25</v>
      </c>
      <c r="N22" s="69">
        <f t="shared" si="2"/>
        <v>1.4</v>
      </c>
      <c r="O22" s="69">
        <f t="shared" si="2"/>
        <v>1.4</v>
      </c>
      <c r="P22" s="69">
        <f t="shared" si="2"/>
        <v>1.4</v>
      </c>
      <c r="Q22" s="69">
        <f t="shared" si="2"/>
        <v>1.4</v>
      </c>
      <c r="R22" s="69">
        <f t="shared" si="2"/>
        <v>1.4</v>
      </c>
      <c r="S22" s="69">
        <f t="shared" si="2"/>
        <v>1.4</v>
      </c>
    </row>
    <row r="23" spans="1:19" x14ac:dyDescent="0.2">
      <c r="A23" s="28" t="s">
        <v>188</v>
      </c>
      <c r="B23" s="3" t="s">
        <v>189</v>
      </c>
      <c r="C23" s="70">
        <f>SUM(E23:G23)</f>
        <v>6.5729569609061844</v>
      </c>
      <c r="D23" s="70">
        <f>SUM(H23:S23)</f>
        <v>75.073114131744518</v>
      </c>
      <c r="E23" s="71">
        <f t="shared" ref="E23:S23" si="3">E20/1000*E21</f>
        <v>2.0897425365472309</v>
      </c>
      <c r="F23" s="71">
        <f t="shared" si="3"/>
        <v>2.189401424358953</v>
      </c>
      <c r="G23" s="71">
        <f t="shared" si="3"/>
        <v>2.2938129999999997</v>
      </c>
      <c r="H23" s="71">
        <f t="shared" si="3"/>
        <v>2.9821631118554084</v>
      </c>
      <c r="I23" s="71">
        <f t="shared" si="3"/>
        <v>3.2124378297573624</v>
      </c>
      <c r="J23" s="71">
        <f t="shared" si="3"/>
        <v>3.4604937500000004</v>
      </c>
      <c r="K23" s="71">
        <f t="shared" si="3"/>
        <v>4.5624236671709051</v>
      </c>
      <c r="L23" s="71">
        <f t="shared" si="3"/>
        <v>4.9537292706152964</v>
      </c>
      <c r="M23" s="71">
        <f t="shared" si="3"/>
        <v>5.3785959999999999</v>
      </c>
      <c r="N23" s="71">
        <f t="shared" si="3"/>
        <v>6.8704732870338328</v>
      </c>
      <c r="O23" s="71">
        <f t="shared" si="3"/>
        <v>7.4597334898677392</v>
      </c>
      <c r="P23" s="71">
        <f t="shared" si="3"/>
        <v>8.0995327999999969</v>
      </c>
      <c r="Q23" s="71">
        <f t="shared" si="3"/>
        <v>8.7016283447310574</v>
      </c>
      <c r="R23" s="71">
        <f t="shared" si="3"/>
        <v>9.3484819087129321</v>
      </c>
      <c r="S23" s="71">
        <f t="shared" si="3"/>
        <v>10.043420671999993</v>
      </c>
    </row>
    <row r="24" spans="1:19" x14ac:dyDescent="0.2">
      <c r="A24" s="28" t="s">
        <v>190</v>
      </c>
      <c r="B24" s="3" t="s">
        <v>191</v>
      </c>
      <c r="C24" s="70">
        <f>SUM(E24:G24)</f>
        <v>6.5729569609061844</v>
      </c>
      <c r="D24" s="70">
        <f>SUM(H24:S24)</f>
        <v>99.971619036290576</v>
      </c>
      <c r="E24" s="71">
        <f t="shared" ref="E24:S24" si="4">E23*E22</f>
        <v>2.0897425365472309</v>
      </c>
      <c r="F24" s="71">
        <f t="shared" si="4"/>
        <v>2.189401424358953</v>
      </c>
      <c r="G24" s="71">
        <f t="shared" si="4"/>
        <v>2.2938129999999997</v>
      </c>
      <c r="H24" s="71">
        <f t="shared" si="4"/>
        <v>3.2803794230409493</v>
      </c>
      <c r="I24" s="71">
        <f t="shared" si="4"/>
        <v>3.533681612733099</v>
      </c>
      <c r="J24" s="71">
        <f t="shared" si="4"/>
        <v>3.8065431250000006</v>
      </c>
      <c r="K24" s="71">
        <f t="shared" si="4"/>
        <v>5.7030295839636311</v>
      </c>
      <c r="L24" s="71">
        <f t="shared" si="4"/>
        <v>6.192161588269121</v>
      </c>
      <c r="M24" s="71">
        <f t="shared" si="4"/>
        <v>6.7232450000000004</v>
      </c>
      <c r="N24" s="71">
        <f t="shared" si="4"/>
        <v>9.6186626018473653</v>
      </c>
      <c r="O24" s="71">
        <f t="shared" si="4"/>
        <v>10.443626885814835</v>
      </c>
      <c r="P24" s="71">
        <f t="shared" si="4"/>
        <v>11.339345919999994</v>
      </c>
      <c r="Q24" s="71">
        <f t="shared" si="4"/>
        <v>12.182279682623479</v>
      </c>
      <c r="R24" s="71">
        <f t="shared" si="4"/>
        <v>13.087874672198105</v>
      </c>
      <c r="S24" s="71">
        <f t="shared" si="4"/>
        <v>14.06078894079999</v>
      </c>
    </row>
    <row r="25" spans="1:19" x14ac:dyDescent="0.2">
      <c r="A25" s="28" t="s">
        <v>192</v>
      </c>
      <c r="B25" s="3" t="s">
        <v>191</v>
      </c>
      <c r="C25" s="70">
        <f>SUM(E25:G25)</f>
        <v>0</v>
      </c>
      <c r="D25" s="70">
        <f>SUM(H25:S25)</f>
        <v>48</v>
      </c>
      <c r="E25" s="71">
        <f>IF(Volume!E6&gt;=IFERROR(MATCH($C$12,Volume!$E$4:$S$4,0),99),$C$11*Volume!E26,0)</f>
        <v>0</v>
      </c>
      <c r="F25" s="71">
        <f>IF(Volume!F6&gt;=IFERROR(MATCH($C$12,Volume!$E$4:$S$4,0),99),$C$11*Volume!F26,0)</f>
        <v>0</v>
      </c>
      <c r="G25" s="71">
        <f>IF(Volume!G6&gt;=IFERROR(MATCH($C$12,Volume!$E$4:$S$4,0),99),$C$11*Volume!G26,0)</f>
        <v>0</v>
      </c>
      <c r="H25" s="71">
        <f>IF(Volume!H6&gt;=IFERROR(MATCH($C$12,Volume!$E$4:$S$4,0),99),$C$11*Volume!H26,0)</f>
        <v>0</v>
      </c>
      <c r="I25" s="71">
        <f>IF(Volume!I6&gt;=IFERROR(MATCH($C$12,Volume!$E$4:$S$4,0),99),$C$11*Volume!I26,0)</f>
        <v>0</v>
      </c>
      <c r="J25" s="71">
        <f>IF(Volume!J6&gt;=IFERROR(MATCH($C$12,Volume!$E$4:$S$4,0),99),$C$11*Volume!J26,0)</f>
        <v>0</v>
      </c>
      <c r="K25" s="71">
        <f>IF(Volume!K6&gt;=IFERROR(MATCH($C$12,Volume!$E$4:$S$4,0),99),$C$11*Volume!K26,0)</f>
        <v>4</v>
      </c>
      <c r="L25" s="71">
        <f>IF(Volume!L6&gt;=IFERROR(MATCH($C$12,Volume!$E$4:$S$4,0),99),$C$11*Volume!L26,0)</f>
        <v>4</v>
      </c>
      <c r="M25" s="71">
        <f>IF(Volume!M6&gt;=IFERROR(MATCH($C$12,Volume!$E$4:$S$4,0),99),$C$11*Volume!M26,0)</f>
        <v>4</v>
      </c>
      <c r="N25" s="71">
        <f>IF(Volume!N6&gt;=IFERROR(MATCH($C$12,Volume!$E$4:$S$4,0),99),$C$11*Volume!N26,0)</f>
        <v>6</v>
      </c>
      <c r="O25" s="71">
        <f>IF(Volume!O6&gt;=IFERROR(MATCH($C$12,Volume!$E$4:$S$4,0),99),$C$11*Volume!O26,0)</f>
        <v>6</v>
      </c>
      <c r="P25" s="71">
        <f>IF(Volume!P6&gt;=IFERROR(MATCH($C$12,Volume!$E$4:$S$4,0),99),$C$11*Volume!P26,0)</f>
        <v>6</v>
      </c>
      <c r="Q25" s="71">
        <f>IF(Volume!Q6&gt;=IFERROR(MATCH($C$12,Volume!$E$4:$S$4,0),99),$C$11*Volume!Q26,0)</f>
        <v>6</v>
      </c>
      <c r="R25" s="71">
        <f>IF(Volume!R6&gt;=IFERROR(MATCH($C$12,Volume!$E$4:$S$4,0),99),$C$11*Volume!R26,0)</f>
        <v>6</v>
      </c>
      <c r="S25" s="71">
        <f>IF(Volume!S6&gt;=IFERROR(MATCH($C$12,Volume!$E$4:$S$4,0),99),$C$11*Volume!S26,0)</f>
        <v>6</v>
      </c>
    </row>
    <row r="26" spans="1:19" x14ac:dyDescent="0.2">
      <c r="A26" s="28" t="s">
        <v>193</v>
      </c>
      <c r="B26" s="3" t="s">
        <v>191</v>
      </c>
      <c r="C26" s="70">
        <f>SUM(E26:G26)</f>
        <v>6.5729569609061844</v>
      </c>
      <c r="D26" s="70">
        <f>SUM(H26:S26)</f>
        <v>165.97351422874098</v>
      </c>
      <c r="E26" s="71">
        <f t="shared" ref="E26:S26" si="5">E24+E25+E52</f>
        <v>2.0897425365472309</v>
      </c>
      <c r="F26" s="71">
        <f t="shared" si="5"/>
        <v>2.189401424358953</v>
      </c>
      <c r="G26" s="71">
        <f t="shared" si="5"/>
        <v>2.2938129999999997</v>
      </c>
      <c r="H26" s="71">
        <f t="shared" si="5"/>
        <v>3.4530309716220522</v>
      </c>
      <c r="I26" s="71">
        <f t="shared" si="5"/>
        <v>3.7196648555085252</v>
      </c>
      <c r="J26" s="71">
        <f t="shared" si="5"/>
        <v>4.0068875000000004</v>
      </c>
      <c r="K26" s="71">
        <f t="shared" si="5"/>
        <v>10.336699537737367</v>
      </c>
      <c r="L26" s="71">
        <f t="shared" si="5"/>
        <v>10.880179542521246</v>
      </c>
      <c r="M26" s="71">
        <f t="shared" si="5"/>
        <v>11.470272222222222</v>
      </c>
      <c r="N26" s="71">
        <f t="shared" si="5"/>
        <v>17.316073649232194</v>
      </c>
      <c r="O26" s="71">
        <f t="shared" si="5"/>
        <v>18.286619865664512</v>
      </c>
      <c r="P26" s="71">
        <f t="shared" si="5"/>
        <v>19.340406964705874</v>
      </c>
      <c r="Q26" s="71">
        <f t="shared" si="5"/>
        <v>21.227849603279349</v>
      </c>
      <c r="R26" s="71">
        <f t="shared" si="5"/>
        <v>22.359843340247629</v>
      </c>
      <c r="S26" s="71">
        <f t="shared" si="5"/>
        <v>23.575986175999986</v>
      </c>
    </row>
    <row r="27" spans="1:19" x14ac:dyDescent="0.2">
      <c r="A27" s="6" t="s">
        <v>194</v>
      </c>
    </row>
    <row r="28" spans="1:19" x14ac:dyDescent="0.2">
      <c r="A28" s="28" t="s">
        <v>195</v>
      </c>
      <c r="B28" s="3" t="s">
        <v>10</v>
      </c>
      <c r="C28" s="70">
        <f>SUM(E28:G28)</f>
        <v>6.5729569609061844</v>
      </c>
      <c r="D28" s="70">
        <f>SUM(H28:S28)</f>
        <v>165.97351422874098</v>
      </c>
      <c r="E28" s="71">
        <f>PnL!E11</f>
        <v>2.0897425365472309</v>
      </c>
      <c r="F28" s="71">
        <f>PnL!F11</f>
        <v>2.189401424358953</v>
      </c>
      <c r="G28" s="71">
        <f>PnL!G11</f>
        <v>2.2938129999999997</v>
      </c>
      <c r="H28" s="71">
        <f>PnL!H11</f>
        <v>3.4530309716220522</v>
      </c>
      <c r="I28" s="71">
        <f>PnL!I11</f>
        <v>3.7196648555085252</v>
      </c>
      <c r="J28" s="71">
        <f>PnL!J11</f>
        <v>4.0068875000000004</v>
      </c>
      <c r="K28" s="71">
        <f>PnL!K11</f>
        <v>10.336699537737367</v>
      </c>
      <c r="L28" s="71">
        <f>PnL!L11</f>
        <v>10.880179542521246</v>
      </c>
      <c r="M28" s="71">
        <f>PnL!M11</f>
        <v>11.470272222222222</v>
      </c>
      <c r="N28" s="71">
        <f>PnL!N11</f>
        <v>17.316073649232194</v>
      </c>
      <c r="O28" s="71">
        <f>PnL!O11</f>
        <v>18.286619865664512</v>
      </c>
      <c r="P28" s="71">
        <f>PnL!P11</f>
        <v>19.340406964705874</v>
      </c>
      <c r="Q28" s="71">
        <f>PnL!Q11</f>
        <v>21.227849603279349</v>
      </c>
      <c r="R28" s="71">
        <f>PnL!R11</f>
        <v>22.359843340247629</v>
      </c>
      <c r="S28" s="71">
        <f>PnL!S11</f>
        <v>23.575986175999986</v>
      </c>
    </row>
    <row r="29" spans="1:19" x14ac:dyDescent="0.2">
      <c r="A29" s="28" t="s">
        <v>196</v>
      </c>
      <c r="B29" s="3" t="s">
        <v>26</v>
      </c>
      <c r="C29" s="64">
        <f>SUM(E29:G29)</f>
        <v>0</v>
      </c>
      <c r="D29" s="64">
        <f>SUM(H29:S29)</f>
        <v>4</v>
      </c>
      <c r="E29" s="65">
        <f>Volume!E27</f>
        <v>0</v>
      </c>
      <c r="F29" s="65">
        <f>Volume!F27</f>
        <v>0</v>
      </c>
      <c r="G29" s="65">
        <f>Volume!G27</f>
        <v>0</v>
      </c>
      <c r="H29" s="65">
        <f>Volume!H27</f>
        <v>0</v>
      </c>
      <c r="I29" s="65">
        <f>Volume!I27</f>
        <v>1</v>
      </c>
      <c r="J29" s="65">
        <f>Volume!J27</f>
        <v>0</v>
      </c>
      <c r="K29" s="65">
        <f>Volume!K27</f>
        <v>0</v>
      </c>
      <c r="L29" s="65">
        <f>Volume!L27</f>
        <v>0</v>
      </c>
      <c r="M29" s="65">
        <f>Volume!M27</f>
        <v>0</v>
      </c>
      <c r="N29" s="65">
        <f>Volume!N27</f>
        <v>0</v>
      </c>
      <c r="O29" s="65">
        <f>Volume!O27</f>
        <v>0</v>
      </c>
      <c r="P29" s="65">
        <f>Volume!P27</f>
        <v>0</v>
      </c>
      <c r="Q29" s="65">
        <f>Volume!Q27</f>
        <v>1</v>
      </c>
      <c r="R29" s="65">
        <f>Volume!R27</f>
        <v>1</v>
      </c>
      <c r="S29" s="65">
        <f>Volume!S27</f>
        <v>1</v>
      </c>
    </row>
    <row r="30" spans="1:19" x14ac:dyDescent="0.2">
      <c r="A30" s="28" t="s">
        <v>197</v>
      </c>
      <c r="B30" s="3" t="s">
        <v>10</v>
      </c>
      <c r="C30" s="70">
        <f>SUM(E30:G30)</f>
        <v>0</v>
      </c>
      <c r="D30" s="70">
        <f>SUM(H30:S30)</f>
        <v>80</v>
      </c>
      <c r="E30" s="71">
        <f>PnL!E10</f>
        <v>0</v>
      </c>
      <c r="F30" s="71">
        <f>PnL!F10</f>
        <v>0</v>
      </c>
      <c r="G30" s="71">
        <f>PnL!G10</f>
        <v>0</v>
      </c>
      <c r="H30" s="71">
        <f>PnL!H10</f>
        <v>0</v>
      </c>
      <c r="I30" s="71">
        <f>PnL!I10</f>
        <v>20</v>
      </c>
      <c r="J30" s="71">
        <f>PnL!J10</f>
        <v>0</v>
      </c>
      <c r="K30" s="71">
        <f>PnL!K10</f>
        <v>0</v>
      </c>
      <c r="L30" s="71">
        <f>PnL!L10</f>
        <v>0</v>
      </c>
      <c r="M30" s="71">
        <f>PnL!M10</f>
        <v>0</v>
      </c>
      <c r="N30" s="71">
        <f>PnL!N10</f>
        <v>0</v>
      </c>
      <c r="O30" s="71">
        <f>PnL!O10</f>
        <v>0</v>
      </c>
      <c r="P30" s="71">
        <f>PnL!P10</f>
        <v>0</v>
      </c>
      <c r="Q30" s="71">
        <f>PnL!Q10</f>
        <v>20</v>
      </c>
      <c r="R30" s="71">
        <f>PnL!R10</f>
        <v>20</v>
      </c>
      <c r="S30" s="71">
        <f>PnL!S10</f>
        <v>20</v>
      </c>
    </row>
    <row r="31" spans="1:19" x14ac:dyDescent="0.2">
      <c r="A31" s="28" t="s">
        <v>198</v>
      </c>
      <c r="B31" s="3" t="s">
        <v>10</v>
      </c>
      <c r="C31" s="70">
        <f>SUM(E31:G31)</f>
        <v>6.5729569609061844</v>
      </c>
      <c r="D31" s="70">
        <f>SUM(H31:S31)</f>
        <v>245.97351422874098</v>
      </c>
      <c r="E31" s="71">
        <f t="shared" ref="E31:S31" si="6">E28+E30</f>
        <v>2.0897425365472309</v>
      </c>
      <c r="F31" s="71">
        <f t="shared" si="6"/>
        <v>2.189401424358953</v>
      </c>
      <c r="G31" s="71">
        <f t="shared" si="6"/>
        <v>2.2938129999999997</v>
      </c>
      <c r="H31" s="71">
        <f t="shared" si="6"/>
        <v>3.4530309716220522</v>
      </c>
      <c r="I31" s="71">
        <f t="shared" si="6"/>
        <v>23.719664855508526</v>
      </c>
      <c r="J31" s="71">
        <f t="shared" si="6"/>
        <v>4.0068875000000004</v>
      </c>
      <c r="K31" s="71">
        <f t="shared" si="6"/>
        <v>10.336699537737367</v>
      </c>
      <c r="L31" s="71">
        <f t="shared" si="6"/>
        <v>10.880179542521246</v>
      </c>
      <c r="M31" s="71">
        <f t="shared" si="6"/>
        <v>11.470272222222222</v>
      </c>
      <c r="N31" s="71">
        <f t="shared" si="6"/>
        <v>17.316073649232194</v>
      </c>
      <c r="O31" s="71">
        <f t="shared" si="6"/>
        <v>18.286619865664512</v>
      </c>
      <c r="P31" s="71">
        <f t="shared" si="6"/>
        <v>19.340406964705874</v>
      </c>
      <c r="Q31" s="71">
        <f t="shared" si="6"/>
        <v>41.227849603279353</v>
      </c>
      <c r="R31" s="71">
        <f t="shared" si="6"/>
        <v>42.359843340247629</v>
      </c>
      <c r="S31" s="71">
        <f t="shared" si="6"/>
        <v>43.575986175999986</v>
      </c>
    </row>
    <row r="32" spans="1:19" x14ac:dyDescent="0.2">
      <c r="A32" s="28" t="s">
        <v>199</v>
      </c>
      <c r="B32" s="3" t="s">
        <v>10</v>
      </c>
      <c r="C32" s="70">
        <f>SUM(E32:G32)</f>
        <v>45</v>
      </c>
      <c r="D32" s="70">
        <f>SUM(H32:S32)</f>
        <v>1794</v>
      </c>
      <c r="E32" s="71">
        <f>PnL!E12-E31</f>
        <v>15</v>
      </c>
      <c r="F32" s="71">
        <f>PnL!F12-F31</f>
        <v>14.999999999999998</v>
      </c>
      <c r="G32" s="71">
        <f>PnL!G12-G31</f>
        <v>15</v>
      </c>
      <c r="H32" s="71">
        <f>PnL!H12-H31</f>
        <v>15</v>
      </c>
      <c r="I32" s="71">
        <f>PnL!I12-I31</f>
        <v>30</v>
      </c>
      <c r="J32" s="71">
        <f>PnL!J12-J31</f>
        <v>158.5</v>
      </c>
      <c r="K32" s="71">
        <f>PnL!K12-K31</f>
        <v>83.5</v>
      </c>
      <c r="L32" s="71">
        <f>PnL!L12-L31</f>
        <v>158.5</v>
      </c>
      <c r="M32" s="71">
        <f>PnL!M12-M31</f>
        <v>58.5</v>
      </c>
      <c r="N32" s="71">
        <f>PnL!N12-N31</f>
        <v>227</v>
      </c>
      <c r="O32" s="71">
        <f>PnL!O12-O31</f>
        <v>73.5</v>
      </c>
      <c r="P32" s="71">
        <f>PnL!P12-P31</f>
        <v>202</v>
      </c>
      <c r="Q32" s="71">
        <f>PnL!Q12-Q31</f>
        <v>209</v>
      </c>
      <c r="R32" s="71">
        <f>PnL!R12-R31</f>
        <v>337.5</v>
      </c>
      <c r="S32" s="71">
        <f>PnL!S12-S31</f>
        <v>241.00000000000003</v>
      </c>
    </row>
    <row r="33" spans="1:19" x14ac:dyDescent="0.2">
      <c r="A33" s="28" t="s">
        <v>200</v>
      </c>
      <c r="B33" s="3" t="s">
        <v>21</v>
      </c>
      <c r="C33" s="72">
        <f>IF(SUM(PnL!E12:G12)=0,0,C31/SUM(PnL!E12:G12))</f>
        <v>0.12744968193095227</v>
      </c>
      <c r="D33" s="72">
        <f>IF(SUM(PnL!H12:S12)=0,0,D31/SUM(PnL!H12:S12))</f>
        <v>0.12057681754840673</v>
      </c>
      <c r="E33" s="73">
        <f>IF(PnL!E12=0,0,E31/PnL!E12)</f>
        <v>0.12228051605097132</v>
      </c>
      <c r="F33" s="73">
        <f>IF(PnL!F12=0,0,F31/PnL!F12)</f>
        <v>0.12736926495045786</v>
      </c>
      <c r="G33" s="73">
        <f>IF(PnL!G12=0,0,G31/PnL!G12)</f>
        <v>0.13263778207848087</v>
      </c>
      <c r="H33" s="73">
        <f>IF(PnL!H12=0,0,H31/PnL!H12)</f>
        <v>0.18712540920417287</v>
      </c>
      <c r="I33" s="73">
        <f>IF(PnL!I12=0,0,I31/PnL!I12)</f>
        <v>0.44154528736000226</v>
      </c>
      <c r="J33" s="73">
        <f>IF(PnL!J12=0,0,J31/PnL!J12)</f>
        <v>2.4656724164998853E-2</v>
      </c>
      <c r="K33" s="73">
        <f>IF(PnL!K12=0,0,K31/PnL!K12)</f>
        <v>0.11015625643973508</v>
      </c>
      <c r="L33" s="73">
        <f>IF(PnL!L12=0,0,L31/PnL!L12)</f>
        <v>6.4235258056211261E-2</v>
      </c>
      <c r="M33" s="73">
        <f>IF(PnL!M12=0,0,M31/PnL!M12)</f>
        <v>0.16393065023090361</v>
      </c>
      <c r="N33" s="73">
        <f>IF(PnL!N12=0,0,N31/PnL!N12)</f>
        <v>7.0875703716870922E-2</v>
      </c>
      <c r="O33" s="73">
        <f>IF(PnL!O12=0,0,O31/PnL!O12)</f>
        <v>0.19922969047588995</v>
      </c>
      <c r="P33" s="73">
        <f>IF(PnL!P12=0,0,P31/PnL!P12)</f>
        <v>8.7378564221171892E-2</v>
      </c>
      <c r="Q33" s="73">
        <f>IF(PnL!Q12=0,0,Q31/PnL!Q12)</f>
        <v>0.16476123528473566</v>
      </c>
      <c r="R33" s="73">
        <f>IF(PnL!R12=0,0,R31/PnL!R12)</f>
        <v>0.11151440217465977</v>
      </c>
      <c r="S33" s="73">
        <f>IF(PnL!S12=0,0,S31/PnL!S12)</f>
        <v>0.15312601306088353</v>
      </c>
    </row>
    <row r="34" spans="1:19" x14ac:dyDescent="0.2">
      <c r="A34" s="6" t="s">
        <v>201</v>
      </c>
    </row>
    <row r="35" spans="1:19" x14ac:dyDescent="0.2">
      <c r="A35" s="28" t="s">
        <v>202</v>
      </c>
      <c r="B35" s="3" t="s">
        <v>10</v>
      </c>
      <c r="C35" s="70">
        <f>SUM(E35:G35)</f>
        <v>3.9437741765437098</v>
      </c>
      <c r="D35" s="70">
        <f>SUM(H35:S35)</f>
        <v>147.58410853724459</v>
      </c>
      <c r="E35" s="71">
        <f>PnL!E10+PnL!E11-PnL!E19-PnL!E20</f>
        <v>1.2538455219283384</v>
      </c>
      <c r="F35" s="71">
        <f>PnL!F10+PnL!F11-PnL!F19-PnL!F20</f>
        <v>1.3136408546153717</v>
      </c>
      <c r="G35" s="71">
        <f>PnL!G10+PnL!G11-PnL!G19-PnL!G20</f>
        <v>1.3762877999999996</v>
      </c>
      <c r="H35" s="71">
        <f>PnL!H10+PnL!H11-PnL!H19-PnL!H20</f>
        <v>2.071818582973231</v>
      </c>
      <c r="I35" s="71">
        <f>PnL!I10+PnL!I11-PnL!I19-PnL!I20</f>
        <v>14.231798913305116</v>
      </c>
      <c r="J35" s="71">
        <f>PnL!J10+PnL!J11-PnL!J19-PnL!J20</f>
        <v>2.4041325000000002</v>
      </c>
      <c r="K35" s="71">
        <f>PnL!K10+PnL!K11-PnL!K19-PnL!K20</f>
        <v>6.2020197226424196</v>
      </c>
      <c r="L35" s="71">
        <f>PnL!L10+PnL!L11-PnL!L19-PnL!L20</f>
        <v>6.5281077255127471</v>
      </c>
      <c r="M35" s="71">
        <f>PnL!M10+PnL!M11-PnL!M19-PnL!M20</f>
        <v>6.8821633333333336</v>
      </c>
      <c r="N35" s="71">
        <f>PnL!N10+PnL!N11-PnL!N19-PnL!N20</f>
        <v>10.389644189539316</v>
      </c>
      <c r="O35" s="71">
        <f>PnL!O10+PnL!O11-PnL!O19-PnL!O20</f>
        <v>10.971971919398708</v>
      </c>
      <c r="P35" s="71">
        <f>PnL!P10+PnL!P11-PnL!P19-PnL!P20</f>
        <v>11.604244178823524</v>
      </c>
      <c r="Q35" s="71">
        <f>PnL!Q10+PnL!Q11-PnL!Q19-PnL!Q20</f>
        <v>24.73670976196761</v>
      </c>
      <c r="R35" s="71">
        <f>PnL!R10+PnL!R11-PnL!R19-PnL!R20</f>
        <v>25.415906004148574</v>
      </c>
      <c r="S35" s="71">
        <f>PnL!S10+PnL!S11-PnL!S19-PnL!S20</f>
        <v>26.14559170559999</v>
      </c>
    </row>
    <row r="36" spans="1:19" x14ac:dyDescent="0.2">
      <c r="A36" s="28" t="s">
        <v>203</v>
      </c>
      <c r="B36" s="3" t="s">
        <v>10</v>
      </c>
      <c r="C36" s="70">
        <f>SUM(E36:G36)</f>
        <v>6.8999999999999995</v>
      </c>
      <c r="D36" s="70">
        <f>SUM(H36:S36)</f>
        <v>65.135999999999981</v>
      </c>
      <c r="E36" s="71">
        <f>Pay_Plan!E9*(1+Inputs!$C$106*Pay_Plan!E14)</f>
        <v>2.2999999999999998</v>
      </c>
      <c r="F36" s="71">
        <f>Pay_Plan!F9*(1+Inputs!$C$106*Pay_Plan!F14)</f>
        <v>2.2999999999999998</v>
      </c>
      <c r="G36" s="71">
        <f>Pay_Plan!G9*(1+Inputs!$C$106*Pay_Plan!G14)</f>
        <v>2.2999999999999998</v>
      </c>
      <c r="H36" s="71">
        <f>Pay_Plan!H9*(1+Inputs!$C$106*Pay_Plan!H14)</f>
        <v>5.427999999999999</v>
      </c>
      <c r="I36" s="71">
        <f>Pay_Plan!I9*(1+Inputs!$C$106*Pay_Plan!I14)</f>
        <v>5.427999999999999</v>
      </c>
      <c r="J36" s="71">
        <f>Pay_Plan!J9*(1+Inputs!$C$106*Pay_Plan!J14)</f>
        <v>5.427999999999999</v>
      </c>
      <c r="K36" s="71">
        <f>Pay_Plan!K9*(1+Inputs!$C$106*Pay_Plan!K14)</f>
        <v>5.427999999999999</v>
      </c>
      <c r="L36" s="71">
        <f>Pay_Plan!L9*(1+Inputs!$C$106*Pay_Plan!L14)</f>
        <v>5.427999999999999</v>
      </c>
      <c r="M36" s="71">
        <f>Pay_Plan!M9*(1+Inputs!$C$106*Pay_Plan!M14)</f>
        <v>5.427999999999999</v>
      </c>
      <c r="N36" s="71">
        <f>Pay_Plan!N9*(1+Inputs!$C$106*Pay_Plan!N14)</f>
        <v>5.427999999999999</v>
      </c>
      <c r="O36" s="71">
        <f>Pay_Plan!O9*(1+Inputs!$C$106*Pay_Plan!O14)</f>
        <v>5.427999999999999</v>
      </c>
      <c r="P36" s="71">
        <f>Pay_Plan!P9*(1+Inputs!$C$106*Pay_Plan!P14)</f>
        <v>5.427999999999999</v>
      </c>
      <c r="Q36" s="71">
        <f>Pay_Plan!Q9*(1+Inputs!$C$106*Pay_Plan!Q14)</f>
        <v>5.427999999999999</v>
      </c>
      <c r="R36" s="71">
        <f>Pay_Plan!R9*(1+Inputs!$C$106*Pay_Plan!R14)</f>
        <v>5.427999999999999</v>
      </c>
      <c r="S36" s="71">
        <f>Pay_Plan!S9*(1+Inputs!$C$106*Pay_Plan!S14)</f>
        <v>5.427999999999999</v>
      </c>
    </row>
    <row r="37" spans="1:19" x14ac:dyDescent="0.2">
      <c r="A37" s="28" t="s">
        <v>204</v>
      </c>
      <c r="B37" s="3" t="s">
        <v>10</v>
      </c>
      <c r="C37" s="70">
        <f>SUM(E37:G37)</f>
        <v>0</v>
      </c>
      <c r="D37" s="70">
        <f>SUM(H37:S37)</f>
        <v>42</v>
      </c>
      <c r="E37" s="71">
        <f>Pay_Plan!E12</f>
        <v>0</v>
      </c>
      <c r="F37" s="71">
        <f>Pay_Plan!F12</f>
        <v>0</v>
      </c>
      <c r="G37" s="71">
        <f>Pay_Plan!G12</f>
        <v>0</v>
      </c>
      <c r="H37" s="71">
        <f>Pay_Plan!H12</f>
        <v>3.5</v>
      </c>
      <c r="I37" s="71">
        <f>Pay_Plan!I12</f>
        <v>3.5</v>
      </c>
      <c r="J37" s="71">
        <f>Pay_Plan!J12</f>
        <v>3.5</v>
      </c>
      <c r="K37" s="71">
        <f>Pay_Plan!K12</f>
        <v>3.5</v>
      </c>
      <c r="L37" s="71">
        <f>Pay_Plan!L12</f>
        <v>3.5</v>
      </c>
      <c r="M37" s="71">
        <f>Pay_Plan!M12</f>
        <v>3.5</v>
      </c>
      <c r="N37" s="71">
        <f>Pay_Plan!N12</f>
        <v>3.5</v>
      </c>
      <c r="O37" s="71">
        <f>Pay_Plan!O12</f>
        <v>3.5</v>
      </c>
      <c r="P37" s="71">
        <f>Pay_Plan!P12</f>
        <v>3.5</v>
      </c>
      <c r="Q37" s="71">
        <f>Pay_Plan!Q12</f>
        <v>3.5</v>
      </c>
      <c r="R37" s="71">
        <f>Pay_Plan!R12</f>
        <v>3.5</v>
      </c>
      <c r="S37" s="71">
        <f>Pay_Plan!S12</f>
        <v>3.5</v>
      </c>
    </row>
    <row r="38" spans="1:19" x14ac:dyDescent="0.2">
      <c r="A38" s="28" t="s">
        <v>205</v>
      </c>
      <c r="B38" s="3" t="s">
        <v>187</v>
      </c>
      <c r="C38" s="70">
        <f t="shared" ref="C38:S38" si="7">IF(C36=0,0,C35/C36)</f>
        <v>0.57156147486140729</v>
      </c>
      <c r="D38" s="70">
        <f t="shared" si="7"/>
        <v>2.2657840293730751</v>
      </c>
      <c r="E38" s="71">
        <f t="shared" si="7"/>
        <v>0.54515022692536452</v>
      </c>
      <c r="F38" s="71">
        <f t="shared" si="7"/>
        <v>0.57114819765885727</v>
      </c>
      <c r="G38" s="71">
        <f t="shared" si="7"/>
        <v>0.59838599999999986</v>
      </c>
      <c r="H38" s="71">
        <f t="shared" si="7"/>
        <v>0.38169096959713178</v>
      </c>
      <c r="I38" s="71">
        <f t="shared" si="7"/>
        <v>2.6219231601520114</v>
      </c>
      <c r="J38" s="71">
        <f t="shared" si="7"/>
        <v>0.44291313559322049</v>
      </c>
      <c r="K38" s="71">
        <f t="shared" si="7"/>
        <v>1.1425975907594732</v>
      </c>
      <c r="L38" s="71">
        <f t="shared" si="7"/>
        <v>1.2026727570952005</v>
      </c>
      <c r="M38" s="71">
        <f t="shared" si="7"/>
        <v>1.2679003930238273</v>
      </c>
      <c r="N38" s="71">
        <f t="shared" si="7"/>
        <v>1.9140833068421736</v>
      </c>
      <c r="O38" s="71">
        <f t="shared" si="7"/>
        <v>2.0213654973100055</v>
      </c>
      <c r="P38" s="71">
        <f t="shared" si="7"/>
        <v>2.137848964411114</v>
      </c>
      <c r="Q38" s="71">
        <f t="shared" si="7"/>
        <v>4.5572420342607982</v>
      </c>
      <c r="R38" s="71">
        <f t="shared" si="7"/>
        <v>4.6823703029013597</v>
      </c>
      <c r="S38" s="71">
        <f t="shared" si="7"/>
        <v>4.816800240530581</v>
      </c>
    </row>
    <row r="39" spans="1:19" x14ac:dyDescent="0.2">
      <c r="A39" s="28" t="s">
        <v>206</v>
      </c>
      <c r="B39" s="3" t="s">
        <v>10</v>
      </c>
      <c r="C39" s="70">
        <f>SUM(E39:G39)</f>
        <v>-2.9562258234562897</v>
      </c>
      <c r="D39" s="70">
        <f>SUM(H39:S39)</f>
        <v>37.819167127011454</v>
      </c>
      <c r="E39" s="71">
        <f t="shared" ref="E39:S39" si="8">E35-E36-E37-E53</f>
        <v>-1.0461544780716614</v>
      </c>
      <c r="F39" s="71">
        <f t="shared" si="8"/>
        <v>-0.9863591453846281</v>
      </c>
      <c r="G39" s="71">
        <f t="shared" si="8"/>
        <v>-0.92371220000000021</v>
      </c>
      <c r="H39" s="71">
        <f t="shared" si="8"/>
        <v>-6.8875726076778774</v>
      </c>
      <c r="I39" s="71">
        <f t="shared" si="8"/>
        <v>5.2699837782550398</v>
      </c>
      <c r="J39" s="71">
        <f t="shared" si="8"/>
        <v>-6.5602937499999987</v>
      </c>
      <c r="K39" s="71">
        <f t="shared" si="8"/>
        <v>-2.8273674699613771</v>
      </c>
      <c r="L39" s="71">
        <f t="shared" si="8"/>
        <v>-2.5099751471675917</v>
      </c>
      <c r="M39" s="71">
        <f t="shared" si="8"/>
        <v>-2.1653610222222208</v>
      </c>
      <c r="N39" s="71">
        <f t="shared" si="8"/>
        <v>1.2191568970557702</v>
      </c>
      <c r="O39" s="71">
        <f t="shared" si="8"/>
        <v>1.7806872079916125</v>
      </c>
      <c r="P39" s="71">
        <f t="shared" si="8"/>
        <v>2.3903783152941136</v>
      </c>
      <c r="Q39" s="71">
        <f t="shared" si="8"/>
        <v>15.37362834473106</v>
      </c>
      <c r="R39" s="71">
        <f t="shared" si="8"/>
        <v>16.020481908712931</v>
      </c>
      <c r="S39" s="71">
        <f t="shared" si="8"/>
        <v>16.715420671999993</v>
      </c>
    </row>
    <row r="40" spans="1:19" x14ac:dyDescent="0.2">
      <c r="A40" s="6" t="s">
        <v>207</v>
      </c>
    </row>
    <row r="41" spans="1:19" x14ac:dyDescent="0.2">
      <c r="A41" s="28" t="s">
        <v>208</v>
      </c>
      <c r="B41" s="3" t="s">
        <v>191</v>
      </c>
      <c r="C41" s="64">
        <f>SUM(E41:G41)</f>
        <v>36.572956960906183</v>
      </c>
      <c r="D41" s="64">
        <f>SUM(H41:S41)</f>
        <v>455.9735142287409</v>
      </c>
      <c r="E41" s="65">
        <f>E26+Volume!E26*Inputs!$C$68</f>
        <v>12.089742536547231</v>
      </c>
      <c r="F41" s="65">
        <f>F26+Volume!F26*Inputs!$C$68</f>
        <v>12.189401424358953</v>
      </c>
      <c r="G41" s="65">
        <f>G26+Volume!G26*Inputs!$C$68</f>
        <v>12.293813</v>
      </c>
      <c r="H41" s="65">
        <f>H26+Volume!H26*Inputs!$C$68</f>
        <v>13.453030971622052</v>
      </c>
      <c r="I41" s="65">
        <f>I26+Volume!I26*Inputs!$C$68</f>
        <v>23.719664855508526</v>
      </c>
      <c r="J41" s="65">
        <f>J26+Volume!J26*Inputs!$C$68</f>
        <v>24.006887500000001</v>
      </c>
      <c r="K41" s="65">
        <f>K26+Volume!K26*Inputs!$C$68</f>
        <v>30.336699537737367</v>
      </c>
      <c r="L41" s="65">
        <f>L26+Volume!L26*Inputs!$C$68</f>
        <v>30.880179542521248</v>
      </c>
      <c r="M41" s="65">
        <f>M26+Volume!M26*Inputs!$C$68</f>
        <v>31.470272222222221</v>
      </c>
      <c r="N41" s="65">
        <f>N26+Volume!N26*Inputs!$C$68</f>
        <v>47.316073649232194</v>
      </c>
      <c r="O41" s="65">
        <f>O26+Volume!O26*Inputs!$C$68</f>
        <v>48.286619865664512</v>
      </c>
      <c r="P41" s="65">
        <f>P26+Volume!P26*Inputs!$C$68</f>
        <v>49.340406964705878</v>
      </c>
      <c r="Q41" s="65">
        <f>Q26+Volume!Q26*Inputs!$C$68</f>
        <v>51.227849603279353</v>
      </c>
      <c r="R41" s="65">
        <f>R26+Volume!R26*Inputs!$C$68</f>
        <v>52.359843340247629</v>
      </c>
      <c r="S41" s="65">
        <f>S26+Volume!S26*Inputs!$C$68</f>
        <v>53.575986175999986</v>
      </c>
    </row>
    <row r="42" spans="1:19" x14ac:dyDescent="0.2">
      <c r="A42" s="28" t="s">
        <v>209</v>
      </c>
      <c r="B42" s="3" t="s">
        <v>191</v>
      </c>
      <c r="C42" s="64">
        <f>SUM(E42:G42)</f>
        <v>108</v>
      </c>
      <c r="D42" s="64">
        <f>SUM(H42:S42)</f>
        <v>864</v>
      </c>
      <c r="E42" s="65">
        <f>IF(Volume!E6&gt;=4,$C$14,1)*$C$13</f>
        <v>36</v>
      </c>
      <c r="F42" s="65">
        <f>IF(Volume!F6&gt;=4,$C$14,1)*$C$13</f>
        <v>36</v>
      </c>
      <c r="G42" s="65">
        <f>IF(Volume!G6&gt;=4,$C$14,1)*$C$13</f>
        <v>36</v>
      </c>
      <c r="H42" s="65">
        <f>IF(Volume!H6&gt;=4,$C$14,1)*$C$13</f>
        <v>72</v>
      </c>
      <c r="I42" s="65">
        <f>IF(Volume!I6&gt;=4,$C$14,1)*$C$13</f>
        <v>72</v>
      </c>
      <c r="J42" s="65">
        <f>IF(Volume!J6&gt;=4,$C$14,1)*$C$13</f>
        <v>72</v>
      </c>
      <c r="K42" s="65">
        <f>IF(Volume!K6&gt;=4,$C$14,1)*$C$13</f>
        <v>72</v>
      </c>
      <c r="L42" s="65">
        <f>IF(Volume!L6&gt;=4,$C$14,1)*$C$13</f>
        <v>72</v>
      </c>
      <c r="M42" s="65">
        <f>IF(Volume!M6&gt;=4,$C$14,1)*$C$13</f>
        <v>72</v>
      </c>
      <c r="N42" s="65">
        <f>IF(Volume!N6&gt;=4,$C$14,1)*$C$13</f>
        <v>72</v>
      </c>
      <c r="O42" s="65">
        <f>IF(Volume!O6&gt;=4,$C$14,1)*$C$13</f>
        <v>72</v>
      </c>
      <c r="P42" s="65">
        <f>IF(Volume!P6&gt;=4,$C$14,1)*$C$13</f>
        <v>72</v>
      </c>
      <c r="Q42" s="65">
        <f>IF(Volume!Q6&gt;=4,$C$14,1)*$C$13</f>
        <v>72</v>
      </c>
      <c r="R42" s="65">
        <f>IF(Volume!R6&gt;=4,$C$14,1)*$C$13</f>
        <v>72</v>
      </c>
      <c r="S42" s="65">
        <f>IF(Volume!S6&gt;=4,$C$14,1)*$C$13</f>
        <v>72</v>
      </c>
    </row>
    <row r="43" spans="1:19" x14ac:dyDescent="0.2">
      <c r="A43" s="28" t="s">
        <v>210</v>
      </c>
      <c r="B43" s="3" t="s">
        <v>21</v>
      </c>
      <c r="C43" s="72"/>
      <c r="D43" s="72"/>
      <c r="E43" s="73">
        <f t="shared" ref="E43:S43" si="9">E41/E42</f>
        <v>0.33582618157075639</v>
      </c>
      <c r="F43" s="73">
        <f t="shared" si="9"/>
        <v>0.33859448400997094</v>
      </c>
      <c r="G43" s="73">
        <f t="shared" si="9"/>
        <v>0.34149480555555556</v>
      </c>
      <c r="H43" s="73">
        <f t="shared" si="9"/>
        <v>0.18684765238363962</v>
      </c>
      <c r="I43" s="73">
        <f t="shared" si="9"/>
        <v>0.32943978965984066</v>
      </c>
      <c r="J43" s="73">
        <f t="shared" si="9"/>
        <v>0.33342899305555557</v>
      </c>
      <c r="K43" s="73">
        <f t="shared" si="9"/>
        <v>0.42134304913524123</v>
      </c>
      <c r="L43" s="73">
        <f t="shared" si="9"/>
        <v>0.42889138253501735</v>
      </c>
      <c r="M43" s="73">
        <f t="shared" si="9"/>
        <v>0.43708711419753082</v>
      </c>
      <c r="N43" s="73">
        <f t="shared" si="9"/>
        <v>0.65716768957266936</v>
      </c>
      <c r="O43" s="73">
        <f t="shared" si="9"/>
        <v>0.6706474981342293</v>
      </c>
      <c r="P43" s="73">
        <f t="shared" si="9"/>
        <v>0.68528343006535941</v>
      </c>
      <c r="Q43" s="73">
        <f t="shared" si="9"/>
        <v>0.71149791115665773</v>
      </c>
      <c r="R43" s="73">
        <f t="shared" si="9"/>
        <v>0.72722004639232818</v>
      </c>
      <c r="S43" s="73">
        <f t="shared" si="9"/>
        <v>0.74411091911111094</v>
      </c>
    </row>
    <row r="44" spans="1:19" x14ac:dyDescent="0.2">
      <c r="A44" s="28" t="s">
        <v>211</v>
      </c>
      <c r="B44" s="3" t="s">
        <v>191</v>
      </c>
      <c r="C44" s="64">
        <f>SUM(E44:G44)</f>
        <v>0</v>
      </c>
      <c r="D44" s="64">
        <f>SUM(H44:S44)</f>
        <v>0</v>
      </c>
      <c r="E44" s="65">
        <f t="shared" ref="E44:S44" si="10">MAX(0,E41-E42)</f>
        <v>0</v>
      </c>
      <c r="F44" s="65">
        <f t="shared" si="10"/>
        <v>0</v>
      </c>
      <c r="G44" s="65">
        <f t="shared" si="10"/>
        <v>0</v>
      </c>
      <c r="H44" s="65">
        <f t="shared" si="10"/>
        <v>0</v>
      </c>
      <c r="I44" s="65">
        <f t="shared" si="10"/>
        <v>0</v>
      </c>
      <c r="J44" s="65">
        <f t="shared" si="10"/>
        <v>0</v>
      </c>
      <c r="K44" s="65">
        <f t="shared" si="10"/>
        <v>0</v>
      </c>
      <c r="L44" s="65">
        <f t="shared" si="10"/>
        <v>0</v>
      </c>
      <c r="M44" s="65">
        <f t="shared" si="10"/>
        <v>0</v>
      </c>
      <c r="N44" s="65">
        <f t="shared" si="10"/>
        <v>0</v>
      </c>
      <c r="O44" s="65">
        <f t="shared" si="10"/>
        <v>0</v>
      </c>
      <c r="P44" s="65">
        <f t="shared" si="10"/>
        <v>0</v>
      </c>
      <c r="Q44" s="65">
        <f t="shared" si="10"/>
        <v>0</v>
      </c>
      <c r="R44" s="65">
        <f t="shared" si="10"/>
        <v>0</v>
      </c>
      <c r="S44" s="65">
        <f t="shared" si="10"/>
        <v>0</v>
      </c>
    </row>
    <row r="45" spans="1:19" x14ac:dyDescent="0.2">
      <c r="A45" s="6" t="s">
        <v>212</v>
      </c>
    </row>
    <row r="46" spans="1:19" x14ac:dyDescent="0.2">
      <c r="A46" s="28" t="s">
        <v>213</v>
      </c>
      <c r="B46" s="3" t="s">
        <v>10</v>
      </c>
      <c r="C46" s="70"/>
      <c r="D46" s="70"/>
      <c r="E46" s="71">
        <f>AVERAGE(E26)*Inputs!$C$14*(1-Inputs!$C$21)</f>
        <v>1.2538455219283384</v>
      </c>
      <c r="F46" s="71">
        <f>AVERAGE(F26,E26)*Inputs!$C$14*(1-Inputs!$C$21)</f>
        <v>1.2837431882718553</v>
      </c>
      <c r="G46" s="71">
        <f>AVERAGE(G26,F26,E26)*Inputs!$C$14*(1-Inputs!$C$21)</f>
        <v>1.3145913921812367</v>
      </c>
      <c r="H46" s="71">
        <f>AVERAGE(H26,G26,F26)*Inputs!$C$14*(1-Inputs!$C$21)</f>
        <v>1.5872490791962013</v>
      </c>
      <c r="I46" s="71">
        <f>AVERAGE(I26,H26,G26)*Inputs!$C$14*(1-Inputs!$C$21)</f>
        <v>1.8933017654261153</v>
      </c>
      <c r="J46" s="71">
        <f>AVERAGE(J26,I26,H26)*Inputs!$C$14*(1-Inputs!$C$21)</f>
        <v>2.2359166654261156</v>
      </c>
      <c r="K46" s="71">
        <f>AVERAGE(K26,J26,I26)*Inputs!$C$14*(1-Inputs!$C$21)</f>
        <v>3.6126503786491786</v>
      </c>
      <c r="L46" s="71">
        <f>AVERAGE(L26,K26,J26)*Inputs!$C$14*(1-Inputs!$C$21)</f>
        <v>5.0447533160517235</v>
      </c>
      <c r="M46" s="71">
        <f>AVERAGE(M26,L26,K26)*Inputs!$C$14*(1-Inputs!$C$21)</f>
        <v>6.5374302604961665</v>
      </c>
      <c r="N46" s="71">
        <f>AVERAGE(N26,M26,L26)*Inputs!$C$14*(1-Inputs!$C$21)</f>
        <v>7.9333050827951324</v>
      </c>
      <c r="O46" s="71">
        <f>AVERAGE(O26,N26,M26)*Inputs!$C$14*(1-Inputs!$C$21)</f>
        <v>9.4145931474237852</v>
      </c>
      <c r="P46" s="71">
        <f>AVERAGE(P26,O26,N26)*Inputs!$C$14*(1-Inputs!$C$21)</f>
        <v>10.988620095920515</v>
      </c>
      <c r="Q46" s="71">
        <f>AVERAGE(Q26,P26,O26)*Inputs!$C$14*(1-Inputs!$C$21)</f>
        <v>11.770975286729946</v>
      </c>
      <c r="R46" s="71">
        <f>AVERAGE(R26,Q26,P26)*Inputs!$C$14*(1-Inputs!$C$21)</f>
        <v>12.58561998164657</v>
      </c>
      <c r="S46" s="71">
        <f>AVERAGE(S26,R26,Q26)*Inputs!$C$14*(1-Inputs!$C$21)</f>
        <v>13.432735823905393</v>
      </c>
    </row>
    <row r="47" spans="1:19" x14ac:dyDescent="0.2">
      <c r="A47" s="28" t="s">
        <v>214</v>
      </c>
      <c r="B47" s="3" t="s">
        <v>10</v>
      </c>
      <c r="C47" s="70"/>
      <c r="D47" s="70"/>
      <c r="E47" s="71">
        <f>(2.3+$C$16)*(1+Inputs!$C$106)</f>
        <v>13.334</v>
      </c>
      <c r="F47" s="71">
        <f>(2.3+$C$16)*(1+Inputs!$C$106)</f>
        <v>13.334</v>
      </c>
      <c r="G47" s="71">
        <f>(2.3+$C$16)*(1+Inputs!$C$106)</f>
        <v>13.334</v>
      </c>
      <c r="H47" s="71">
        <f>(2.3+$C$16)*(1+Inputs!$C$106)</f>
        <v>13.334</v>
      </c>
      <c r="I47" s="71">
        <f>(2.3+$C$16)*(1+Inputs!$C$106)</f>
        <v>13.334</v>
      </c>
      <c r="J47" s="71">
        <f>(2.3+$C$16)*(1+Inputs!$C$106)</f>
        <v>13.334</v>
      </c>
      <c r="K47" s="71">
        <f>(2.3+$C$16)*(1+Inputs!$C$106)</f>
        <v>13.334</v>
      </c>
      <c r="L47" s="71">
        <f>(2.3+$C$16)*(1+Inputs!$C$106)</f>
        <v>13.334</v>
      </c>
      <c r="M47" s="71">
        <f>(2.3+$C$16)*(1+Inputs!$C$106)</f>
        <v>13.334</v>
      </c>
      <c r="N47" s="71">
        <f>(2.3+$C$16)*(1+Inputs!$C$106)</f>
        <v>13.334</v>
      </c>
      <c r="O47" s="71">
        <f>(2.3+$C$16)*(1+Inputs!$C$106)</f>
        <v>13.334</v>
      </c>
      <c r="P47" s="71">
        <f>(2.3+$C$16)*(1+Inputs!$C$106)</f>
        <v>13.334</v>
      </c>
      <c r="Q47" s="71">
        <f>(2.3+$C$16)*(1+Inputs!$C$106)</f>
        <v>13.334</v>
      </c>
      <c r="R47" s="71">
        <f>(2.3+$C$16)*(1+Inputs!$C$106)</f>
        <v>13.334</v>
      </c>
      <c r="S47" s="71">
        <f>(2.3+$C$16)*(1+Inputs!$C$106)</f>
        <v>13.334</v>
      </c>
    </row>
    <row r="48" spans="1:19" x14ac:dyDescent="0.2">
      <c r="A48" s="28" t="s">
        <v>215</v>
      </c>
      <c r="B48" s="3" t="s">
        <v>216</v>
      </c>
      <c r="C48" s="64">
        <f>MAX(E48:G48)</f>
        <v>0</v>
      </c>
      <c r="D48" s="64">
        <f>MAX(H48:S48)</f>
        <v>1</v>
      </c>
      <c r="E48" s="65">
        <f t="shared" ref="E48:S48" si="11">IF(E46&gt;=E47,1,0)</f>
        <v>0</v>
      </c>
      <c r="F48" s="65">
        <f t="shared" si="11"/>
        <v>0</v>
      </c>
      <c r="G48" s="65">
        <f t="shared" si="11"/>
        <v>0</v>
      </c>
      <c r="H48" s="65">
        <f t="shared" si="11"/>
        <v>0</v>
      </c>
      <c r="I48" s="65">
        <f t="shared" si="11"/>
        <v>0</v>
      </c>
      <c r="J48" s="65">
        <f t="shared" si="11"/>
        <v>0</v>
      </c>
      <c r="K48" s="65">
        <f t="shared" si="11"/>
        <v>0</v>
      </c>
      <c r="L48" s="65">
        <f t="shared" si="11"/>
        <v>0</v>
      </c>
      <c r="M48" s="65">
        <f t="shared" si="11"/>
        <v>0</v>
      </c>
      <c r="N48" s="65">
        <f t="shared" si="11"/>
        <v>0</v>
      </c>
      <c r="O48" s="65">
        <f t="shared" si="11"/>
        <v>0</v>
      </c>
      <c r="P48" s="65">
        <f t="shared" si="11"/>
        <v>0</v>
      </c>
      <c r="Q48" s="65">
        <f t="shared" si="11"/>
        <v>0</v>
      </c>
      <c r="R48" s="65">
        <f t="shared" si="11"/>
        <v>0</v>
      </c>
      <c r="S48" s="65">
        <f t="shared" si="11"/>
        <v>1</v>
      </c>
    </row>
    <row r="50" spans="1:19" x14ac:dyDescent="0.2">
      <c r="A50" s="6" t="s">
        <v>217</v>
      </c>
    </row>
    <row r="51" spans="1:19" x14ac:dyDescent="0.2">
      <c r="A51" s="28" t="s">
        <v>218</v>
      </c>
      <c r="B51" s="3" t="s">
        <v>189</v>
      </c>
      <c r="C51" s="70">
        <f>SUM(E51:G51)</f>
        <v>0</v>
      </c>
      <c r="D51" s="70">
        <f>SUM(H51:S51)</f>
        <v>13.144707051165675</v>
      </c>
      <c r="E51" s="71">
        <f t="shared" ref="E51:S51" si="12">E23*INDEX($C$9:$G$9,E19)/(1-INDEX($C$9:$G$9,E19))</f>
        <v>0</v>
      </c>
      <c r="F51" s="71">
        <f t="shared" si="12"/>
        <v>0</v>
      </c>
      <c r="G51" s="71">
        <f t="shared" si="12"/>
        <v>0</v>
      </c>
      <c r="H51" s="71">
        <f t="shared" si="12"/>
        <v>0.15695595325554784</v>
      </c>
      <c r="I51" s="71">
        <f t="shared" si="12"/>
        <v>0.1690756752503875</v>
      </c>
      <c r="J51" s="71">
        <f t="shared" si="12"/>
        <v>0.18213125000000002</v>
      </c>
      <c r="K51" s="71">
        <f t="shared" si="12"/>
        <v>0.50693596301898947</v>
      </c>
      <c r="L51" s="71">
        <f t="shared" si="12"/>
        <v>0.55041436340169969</v>
      </c>
      <c r="M51" s="71">
        <f t="shared" si="12"/>
        <v>0.59762177777777781</v>
      </c>
      <c r="N51" s="71">
        <f t="shared" si="12"/>
        <v>1.2124364624177351</v>
      </c>
      <c r="O51" s="71">
        <f t="shared" si="12"/>
        <v>1.3164235570354834</v>
      </c>
      <c r="P51" s="71">
        <f t="shared" si="12"/>
        <v>1.4293293176470583</v>
      </c>
      <c r="Q51" s="71">
        <f t="shared" si="12"/>
        <v>2.1754070861827643</v>
      </c>
      <c r="R51" s="71">
        <f t="shared" si="12"/>
        <v>2.337120477178233</v>
      </c>
      <c r="S51" s="71">
        <f t="shared" si="12"/>
        <v>2.5108551679999982</v>
      </c>
    </row>
    <row r="52" spans="1:19" x14ac:dyDescent="0.2">
      <c r="A52" s="28" t="s">
        <v>219</v>
      </c>
      <c r="B52" s="3" t="s">
        <v>191</v>
      </c>
      <c r="C52" s="70">
        <f>SUM(E52:G52)</f>
        <v>0</v>
      </c>
      <c r="D52" s="70">
        <f>SUM(H52:S52)</f>
        <v>18.001895192450394</v>
      </c>
      <c r="E52" s="71">
        <f t="shared" ref="E52:S52" si="13">E51*E22</f>
        <v>0</v>
      </c>
      <c r="F52" s="71">
        <f t="shared" si="13"/>
        <v>0</v>
      </c>
      <c r="G52" s="71">
        <f t="shared" si="13"/>
        <v>0</v>
      </c>
      <c r="H52" s="71">
        <f t="shared" si="13"/>
        <v>0.17265154858110265</v>
      </c>
      <c r="I52" s="71">
        <f t="shared" si="13"/>
        <v>0.18598324277542627</v>
      </c>
      <c r="J52" s="71">
        <f t="shared" si="13"/>
        <v>0.20034437500000005</v>
      </c>
      <c r="K52" s="71">
        <f t="shared" si="13"/>
        <v>0.6336699537737368</v>
      </c>
      <c r="L52" s="71">
        <f t="shared" si="13"/>
        <v>0.68801795425212464</v>
      </c>
      <c r="M52" s="71">
        <f t="shared" si="13"/>
        <v>0.74702722222222229</v>
      </c>
      <c r="N52" s="71">
        <f t="shared" si="13"/>
        <v>1.697411047384829</v>
      </c>
      <c r="O52" s="71">
        <f t="shared" si="13"/>
        <v>1.8429929798496767</v>
      </c>
      <c r="P52" s="71">
        <f t="shared" si="13"/>
        <v>2.0010610447058816</v>
      </c>
      <c r="Q52" s="71">
        <f t="shared" si="13"/>
        <v>3.0455699206558697</v>
      </c>
      <c r="R52" s="71">
        <f t="shared" si="13"/>
        <v>3.2719686680495261</v>
      </c>
      <c r="S52" s="71">
        <f t="shared" si="13"/>
        <v>3.5151972351999974</v>
      </c>
    </row>
    <row r="53" spans="1:19" x14ac:dyDescent="0.2">
      <c r="A53" s="28" t="s">
        <v>220</v>
      </c>
      <c r="B53" s="3" t="s">
        <v>10</v>
      </c>
      <c r="C53" s="68">
        <f>SUM(E53:G53)</f>
        <v>0</v>
      </c>
      <c r="D53" s="68">
        <f>SUM(H53:S53)</f>
        <v>2.6289414102331352</v>
      </c>
      <c r="E53" s="69">
        <f t="shared" ref="E53:S53" si="14">E51*$C$17</f>
        <v>0</v>
      </c>
      <c r="F53" s="69">
        <f t="shared" si="14"/>
        <v>0</v>
      </c>
      <c r="G53" s="69">
        <f t="shared" si="14"/>
        <v>0</v>
      </c>
      <c r="H53" s="69">
        <f t="shared" si="14"/>
        <v>3.1391190651109568E-2</v>
      </c>
      <c r="I53" s="69">
        <f t="shared" si="14"/>
        <v>3.3815135050077501E-2</v>
      </c>
      <c r="J53" s="69">
        <f t="shared" si="14"/>
        <v>3.6426250000000007E-2</v>
      </c>
      <c r="K53" s="69">
        <f t="shared" si="14"/>
        <v>0.1013871926037979</v>
      </c>
      <c r="L53" s="69">
        <f t="shared" si="14"/>
        <v>0.11008287268033995</v>
      </c>
      <c r="M53" s="69">
        <f t="shared" si="14"/>
        <v>0.11952435555555557</v>
      </c>
      <c r="N53" s="69">
        <f t="shared" si="14"/>
        <v>0.24248729248354703</v>
      </c>
      <c r="O53" s="69">
        <f t="shared" si="14"/>
        <v>0.26328471140709669</v>
      </c>
      <c r="P53" s="69">
        <f t="shared" si="14"/>
        <v>0.28586586352941168</v>
      </c>
      <c r="Q53" s="69">
        <f t="shared" si="14"/>
        <v>0.43508141723655291</v>
      </c>
      <c r="R53" s="69">
        <f t="shared" si="14"/>
        <v>0.46742409543564661</v>
      </c>
      <c r="S53" s="69">
        <f t="shared" si="14"/>
        <v>0.50217103359999971</v>
      </c>
    </row>
    <row r="54" spans="1:19" x14ac:dyDescent="0.2">
      <c r="A54" s="28" t="s">
        <v>221</v>
      </c>
      <c r="B54" s="3" t="s">
        <v>21</v>
      </c>
      <c r="C54" s="72"/>
      <c r="D54" s="72"/>
      <c r="E54" s="73">
        <f t="shared" ref="E54:S54" si="15">IF(E23+E51=0,0,E51/(E23+E51))</f>
        <v>0</v>
      </c>
      <c r="F54" s="73">
        <f t="shared" si="15"/>
        <v>0</v>
      </c>
      <c r="G54" s="73">
        <f t="shared" si="15"/>
        <v>0</v>
      </c>
      <c r="H54" s="73">
        <f t="shared" si="15"/>
        <v>5.000000000000001E-2</v>
      </c>
      <c r="I54" s="73">
        <f t="shared" si="15"/>
        <v>0.05</v>
      </c>
      <c r="J54" s="73">
        <f t="shared" si="15"/>
        <v>0.05</v>
      </c>
      <c r="K54" s="73">
        <f t="shared" si="15"/>
        <v>0.1</v>
      </c>
      <c r="L54" s="73">
        <f t="shared" si="15"/>
        <v>0.1</v>
      </c>
      <c r="M54" s="73">
        <f t="shared" si="15"/>
        <v>0.1</v>
      </c>
      <c r="N54" s="73">
        <f t="shared" si="15"/>
        <v>0.14999999999999997</v>
      </c>
      <c r="O54" s="73">
        <f t="shared" si="15"/>
        <v>0.15000000000000002</v>
      </c>
      <c r="P54" s="73">
        <f t="shared" si="15"/>
        <v>0.15</v>
      </c>
      <c r="Q54" s="73">
        <f t="shared" si="15"/>
        <v>0.2</v>
      </c>
      <c r="R54" s="73">
        <f t="shared" si="15"/>
        <v>0.19999999999999998</v>
      </c>
      <c r="S54" s="73">
        <f t="shared" si="15"/>
        <v>0.19999999999999998</v>
      </c>
    </row>
    <row r="55" spans="1:19" x14ac:dyDescent="0.2">
      <c r="A55" s="6" t="s">
        <v>222</v>
      </c>
    </row>
    <row r="56" spans="1:19" x14ac:dyDescent="0.2">
      <c r="A56" s="28" t="s">
        <v>223</v>
      </c>
      <c r="B56" s="3" t="s">
        <v>10</v>
      </c>
      <c r="C56" s="68"/>
      <c r="D56" s="68"/>
      <c r="E56" s="69">
        <f>Inputs!$C$14*(1-Inputs!$C$21)*E22</f>
        <v>0.6</v>
      </c>
      <c r="F56" s="69">
        <f>Inputs!$C$14*(1-Inputs!$C$21)*F22</f>
        <v>0.6</v>
      </c>
      <c r="G56" s="69">
        <f>Inputs!$C$14*(1-Inputs!$C$21)*G22</f>
        <v>0.6</v>
      </c>
      <c r="H56" s="69">
        <f>Inputs!$C$14*(1-Inputs!$C$21)*H22</f>
        <v>0.66</v>
      </c>
      <c r="I56" s="69">
        <f>Inputs!$C$14*(1-Inputs!$C$21)*I22</f>
        <v>0.66</v>
      </c>
      <c r="J56" s="69">
        <f>Inputs!$C$14*(1-Inputs!$C$21)*J22</f>
        <v>0.66</v>
      </c>
      <c r="K56" s="69">
        <f>Inputs!$C$14*(1-Inputs!$C$21)*K22</f>
        <v>0.75</v>
      </c>
      <c r="L56" s="69">
        <f>Inputs!$C$14*(1-Inputs!$C$21)*L22</f>
        <v>0.75</v>
      </c>
      <c r="M56" s="69">
        <f>Inputs!$C$14*(1-Inputs!$C$21)*M22</f>
        <v>0.75</v>
      </c>
      <c r="N56" s="69">
        <f>Inputs!$C$14*(1-Inputs!$C$21)*N22</f>
        <v>0.84</v>
      </c>
      <c r="O56" s="69">
        <f>Inputs!$C$14*(1-Inputs!$C$21)*O22</f>
        <v>0.84</v>
      </c>
      <c r="P56" s="69">
        <f>Inputs!$C$14*(1-Inputs!$C$21)*P22</f>
        <v>0.84</v>
      </c>
      <c r="Q56" s="69">
        <f>Inputs!$C$14*(1-Inputs!$C$21)*Q22</f>
        <v>0.84</v>
      </c>
      <c r="R56" s="69">
        <f>Inputs!$C$14*(1-Inputs!$C$21)*R22</f>
        <v>0.84</v>
      </c>
      <c r="S56" s="69">
        <f>Inputs!$C$14*(1-Inputs!$C$21)*S22</f>
        <v>0.84</v>
      </c>
    </row>
    <row r="57" spans="1:19" x14ac:dyDescent="0.2">
      <c r="A57" s="28" t="s">
        <v>224</v>
      </c>
      <c r="B57" s="3" t="s">
        <v>10</v>
      </c>
      <c r="C57" s="68"/>
      <c r="D57" s="68"/>
      <c r="E57" s="69">
        <f>IF(E23=0,0,($K$17+Pay_Plan!E12)/E23)</f>
        <v>0.47852784853211927</v>
      </c>
      <c r="F57" s="69">
        <f>IF(F23=0,0,($K$17+Pay_Plan!F12)/F23)</f>
        <v>0.45674584334976193</v>
      </c>
      <c r="G57" s="69">
        <f>IF(G23=0,0,($K$17+Pay_Plan!G12)/G23)</f>
        <v>0.43595532852939634</v>
      </c>
      <c r="H57" s="69">
        <f>IF(H23=0,0,($K$17+Pay_Plan!H12)/H23)</f>
        <v>1.508971786992644</v>
      </c>
      <c r="I57" s="69">
        <f>IF(I23=0,0,($K$17+Pay_Plan!I12)/I23)</f>
        <v>1.4008053193483554</v>
      </c>
      <c r="J57" s="69">
        <f>IF(J23=0,0,($K$17+Pay_Plan!J12)/J23)</f>
        <v>1.3003924656705419</v>
      </c>
      <c r="K57" s="69">
        <f>IF(K23=0,0,($K$17+Pay_Plan!K12)/K23)</f>
        <v>0.98631787143748251</v>
      </c>
      <c r="L57" s="69">
        <f>IF(L23=0,0,($K$17+Pay_Plan!L12)/L23)</f>
        <v>0.90840652651190623</v>
      </c>
      <c r="M57" s="69">
        <f>IF(M23=0,0,($K$17+Pay_Plan!M12)/M23)</f>
        <v>0.8366495643100913</v>
      </c>
      <c r="N57" s="69">
        <f>IF(N23=0,0,($K$17+Pay_Plan!N12)/N23)</f>
        <v>0.65497671150145331</v>
      </c>
      <c r="O57" s="69">
        <f>IF(O23=0,0,($K$17+Pay_Plan!O12)/O23)</f>
        <v>0.60323870901181276</v>
      </c>
      <c r="P57" s="69">
        <f>IF(P23=0,0,($K$17+Pay_Plan!P12)/P23)</f>
        <v>0.55558760129967022</v>
      </c>
      <c r="Q57" s="69">
        <f>IF(Q23=0,0,($K$17+Pay_Plan!Q12)/Q23)</f>
        <v>0.51714458739493341</v>
      </c>
      <c r="R57" s="69">
        <f>IF(R23=0,0,($K$17+Pay_Plan!R12)/R23)</f>
        <v>0.48136157762747867</v>
      </c>
      <c r="S57" s="69">
        <f>IF(S23=0,0,($K$17+Pay_Plan!S12)/S23)</f>
        <v>0.44805451717715356</v>
      </c>
    </row>
    <row r="58" spans="1:19" x14ac:dyDescent="0.2">
      <c r="A58" s="28" t="s">
        <v>225</v>
      </c>
      <c r="B58" s="3" t="s">
        <v>187</v>
      </c>
      <c r="C58" s="70"/>
      <c r="D58" s="70"/>
      <c r="E58" s="71">
        <f t="shared" ref="E58:S58" si="16">IF(E57=0,0,E56/E57)</f>
        <v>1.2538455219283384</v>
      </c>
      <c r="F58" s="71">
        <f t="shared" si="16"/>
        <v>1.3136408546153717</v>
      </c>
      <c r="G58" s="71">
        <f t="shared" si="16"/>
        <v>1.3762877999999996</v>
      </c>
      <c r="H58" s="71">
        <f t="shared" si="16"/>
        <v>0.43738392307212659</v>
      </c>
      <c r="I58" s="71">
        <f t="shared" si="16"/>
        <v>0.4711575483644132</v>
      </c>
      <c r="J58" s="71">
        <f t="shared" si="16"/>
        <v>0.50753908333333342</v>
      </c>
      <c r="K58" s="71">
        <f t="shared" si="16"/>
        <v>0.76040394452848414</v>
      </c>
      <c r="L58" s="71">
        <f t="shared" si="16"/>
        <v>0.82562154510254937</v>
      </c>
      <c r="M58" s="71">
        <f t="shared" si="16"/>
        <v>0.89643266666666666</v>
      </c>
      <c r="N58" s="71">
        <f t="shared" si="16"/>
        <v>1.282488346912982</v>
      </c>
      <c r="O58" s="71">
        <f t="shared" si="16"/>
        <v>1.3924835847753114</v>
      </c>
      <c r="P58" s="71">
        <f t="shared" si="16"/>
        <v>1.5119127893333328</v>
      </c>
      <c r="Q58" s="71">
        <f t="shared" si="16"/>
        <v>1.6243039576831306</v>
      </c>
      <c r="R58" s="71">
        <f t="shared" si="16"/>
        <v>1.7450499562930806</v>
      </c>
      <c r="S58" s="71">
        <f t="shared" si="16"/>
        <v>1.874771858773332</v>
      </c>
    </row>
    <row r="59" spans="1:19" x14ac:dyDescent="0.2">
      <c r="A59" s="28" t="s">
        <v>226</v>
      </c>
      <c r="B59" s="3" t="s">
        <v>187</v>
      </c>
      <c r="C59" s="70"/>
      <c r="D59" s="70"/>
      <c r="E59" s="71">
        <f t="shared" ref="E59:S59" si="17">E56/$C$17</f>
        <v>2.9999999999999996</v>
      </c>
      <c r="F59" s="71">
        <f t="shared" si="17"/>
        <v>2.9999999999999996</v>
      </c>
      <c r="G59" s="71">
        <f t="shared" si="17"/>
        <v>2.9999999999999996</v>
      </c>
      <c r="H59" s="71">
        <f t="shared" si="17"/>
        <v>3.3</v>
      </c>
      <c r="I59" s="71">
        <f t="shared" si="17"/>
        <v>3.3</v>
      </c>
      <c r="J59" s="71">
        <f t="shared" si="17"/>
        <v>3.3</v>
      </c>
      <c r="K59" s="71">
        <f t="shared" si="17"/>
        <v>3.75</v>
      </c>
      <c r="L59" s="71">
        <f t="shared" si="17"/>
        <v>3.75</v>
      </c>
      <c r="M59" s="71">
        <f t="shared" si="17"/>
        <v>3.75</v>
      </c>
      <c r="N59" s="71">
        <f t="shared" si="17"/>
        <v>4.1999999999999993</v>
      </c>
      <c r="O59" s="71">
        <f t="shared" si="17"/>
        <v>4.1999999999999993</v>
      </c>
      <c r="P59" s="71">
        <f t="shared" si="17"/>
        <v>4.1999999999999993</v>
      </c>
      <c r="Q59" s="71">
        <f t="shared" si="17"/>
        <v>4.1999999999999993</v>
      </c>
      <c r="R59" s="71">
        <f t="shared" si="17"/>
        <v>4.1999999999999993</v>
      </c>
      <c r="S59" s="71">
        <f t="shared" si="17"/>
        <v>4.1999999999999993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8"/>
  <sheetViews>
    <sheetView zoomScaleNormal="100" workbookViewId="0">
      <pane ySplit="4" topLeftCell="A5" activePane="bottomLeft" state="frozen"/>
      <selection pane="bottomLeft"/>
    </sheetView>
  </sheetViews>
  <sheetFormatPr baseColWidth="10" defaultColWidth="8.6640625" defaultRowHeight="15" x14ac:dyDescent="0.2"/>
  <cols>
    <col min="1" max="1" width="16" customWidth="1"/>
    <col min="2" max="2" width="58" customWidth="1"/>
    <col min="3" max="3" width="12" customWidth="1"/>
    <col min="4" max="4" width="18" customWidth="1"/>
    <col min="5" max="5" width="20" customWidth="1"/>
    <col min="6" max="6" width="80" customWidth="1"/>
  </cols>
  <sheetData>
    <row r="1" spans="1:6" ht="17.25" customHeight="1" x14ac:dyDescent="0.2">
      <c r="A1" s="1" t="s">
        <v>227</v>
      </c>
      <c r="B1" s="2"/>
      <c r="C1" s="2"/>
      <c r="D1" s="2"/>
      <c r="E1" s="2"/>
      <c r="F1" s="2"/>
    </row>
    <row r="2" spans="1:6" ht="45" customHeight="1" x14ac:dyDescent="0.2">
      <c r="A2" s="83" t="s">
        <v>228</v>
      </c>
      <c r="B2" s="84"/>
      <c r="C2" s="84"/>
      <c r="D2" s="84"/>
      <c r="E2" s="84"/>
      <c r="F2" s="84"/>
    </row>
    <row r="3" spans="1:6" ht="15" customHeight="1" x14ac:dyDescent="0.2">
      <c r="A3" s="2"/>
      <c r="B3" s="2"/>
      <c r="C3" s="2"/>
      <c r="D3" s="2"/>
      <c r="E3" s="2"/>
      <c r="F3" s="2"/>
    </row>
    <row r="4" spans="1:6" ht="15" customHeight="1" x14ac:dyDescent="0.2">
      <c r="A4" s="5" t="s">
        <v>229</v>
      </c>
      <c r="B4" s="5" t="s">
        <v>122</v>
      </c>
      <c r="C4" s="5" t="s">
        <v>230</v>
      </c>
      <c r="D4" s="5" t="s">
        <v>6</v>
      </c>
      <c r="E4" s="5" t="s">
        <v>231</v>
      </c>
      <c r="F4" s="5" t="s">
        <v>232</v>
      </c>
    </row>
    <row r="5" spans="1:6" ht="15" customHeight="1" x14ac:dyDescent="0.2">
      <c r="A5" s="6" t="s">
        <v>233</v>
      </c>
      <c r="B5" s="7"/>
      <c r="C5" s="7"/>
      <c r="D5" s="7"/>
      <c r="E5" s="7"/>
      <c r="F5" s="7"/>
    </row>
    <row r="6" spans="1:6" ht="26.25" customHeight="1" x14ac:dyDescent="0.2">
      <c r="A6" s="3" t="s">
        <v>234</v>
      </c>
      <c r="B6" s="2" t="s">
        <v>235</v>
      </c>
      <c r="C6" s="16">
        <v>1</v>
      </c>
      <c r="D6" s="2" t="s">
        <v>236</v>
      </c>
      <c r="E6" s="2" t="s">
        <v>237</v>
      </c>
      <c r="F6" s="17" t="s">
        <v>238</v>
      </c>
    </row>
    <row r="7" spans="1:6" ht="15" customHeight="1" x14ac:dyDescent="0.2">
      <c r="A7" s="3" t="s">
        <v>239</v>
      </c>
      <c r="B7" s="2" t="s">
        <v>240</v>
      </c>
      <c r="C7" s="18">
        <v>0.3</v>
      </c>
      <c r="D7" s="2" t="s">
        <v>21</v>
      </c>
      <c r="E7" s="2" t="s">
        <v>237</v>
      </c>
      <c r="F7" s="17" t="s">
        <v>241</v>
      </c>
    </row>
    <row r="8" spans="1:6" ht="15" customHeight="1" x14ac:dyDescent="0.2">
      <c r="A8" s="6" t="s">
        <v>242</v>
      </c>
      <c r="B8" s="7"/>
      <c r="C8" s="7"/>
      <c r="D8" s="7"/>
      <c r="E8" s="7"/>
      <c r="F8" s="7"/>
    </row>
    <row r="9" spans="1:6" ht="15" customHeight="1" x14ac:dyDescent="0.2">
      <c r="A9" s="3" t="s">
        <v>243</v>
      </c>
      <c r="B9" s="2" t="s">
        <v>244</v>
      </c>
      <c r="C9" s="19">
        <v>85</v>
      </c>
      <c r="D9" s="2" t="s">
        <v>245</v>
      </c>
      <c r="E9" s="2" t="s">
        <v>237</v>
      </c>
      <c r="F9" s="17" t="s">
        <v>246</v>
      </c>
    </row>
    <row r="10" spans="1:6" ht="15" customHeight="1" x14ac:dyDescent="0.2">
      <c r="A10" s="3" t="s">
        <v>247</v>
      </c>
      <c r="B10" s="2" t="s">
        <v>248</v>
      </c>
      <c r="C10" s="19">
        <v>20</v>
      </c>
      <c r="D10" s="2" t="s">
        <v>245</v>
      </c>
      <c r="E10" s="2" t="s">
        <v>237</v>
      </c>
      <c r="F10" s="17" t="s">
        <v>246</v>
      </c>
    </row>
    <row r="11" spans="1:6" ht="15" customHeight="1" x14ac:dyDescent="0.2">
      <c r="A11" s="3" t="s">
        <v>249</v>
      </c>
      <c r="B11" s="2" t="s">
        <v>250</v>
      </c>
      <c r="C11" s="19">
        <v>35</v>
      </c>
      <c r="D11" s="2" t="s">
        <v>245</v>
      </c>
      <c r="E11" s="2" t="s">
        <v>237</v>
      </c>
      <c r="F11" s="17" t="s">
        <v>246</v>
      </c>
    </row>
    <row r="12" spans="1:6" ht="15" customHeight="1" x14ac:dyDescent="0.2">
      <c r="A12" s="3" t="s">
        <v>251</v>
      </c>
      <c r="B12" s="2" t="s">
        <v>252</v>
      </c>
      <c r="C12" s="19">
        <v>15</v>
      </c>
      <c r="D12" s="2" t="s">
        <v>253</v>
      </c>
      <c r="E12" s="2" t="s">
        <v>237</v>
      </c>
      <c r="F12" s="17" t="s">
        <v>246</v>
      </c>
    </row>
    <row r="13" spans="1:6" ht="15" customHeight="1" x14ac:dyDescent="0.2">
      <c r="A13" s="3" t="s">
        <v>254</v>
      </c>
      <c r="B13" s="2" t="s">
        <v>255</v>
      </c>
      <c r="C13" s="19">
        <v>20</v>
      </c>
      <c r="D13" s="2" t="s">
        <v>245</v>
      </c>
      <c r="E13" s="2" t="s">
        <v>237</v>
      </c>
      <c r="F13" s="17" t="s">
        <v>246</v>
      </c>
    </row>
    <row r="14" spans="1:6" ht="15" customHeight="1" x14ac:dyDescent="0.2">
      <c r="A14" s="3" t="s">
        <v>256</v>
      </c>
      <c r="B14" s="2" t="s">
        <v>257</v>
      </c>
      <c r="C14" s="19">
        <v>1</v>
      </c>
      <c r="D14" s="2" t="s">
        <v>258</v>
      </c>
      <c r="E14" s="2" t="s">
        <v>237</v>
      </c>
      <c r="F14" s="17" t="s">
        <v>259</v>
      </c>
    </row>
    <row r="15" spans="1:6" ht="15" customHeight="1" x14ac:dyDescent="0.2">
      <c r="A15" s="6" t="s">
        <v>260</v>
      </c>
      <c r="B15" s="7"/>
      <c r="C15" s="7"/>
      <c r="D15" s="7"/>
      <c r="E15" s="7"/>
      <c r="F15" s="7"/>
    </row>
    <row r="16" spans="1:6" ht="15" customHeight="1" x14ac:dyDescent="0.2">
      <c r="A16" s="3" t="s">
        <v>261</v>
      </c>
      <c r="B16" s="2" t="s">
        <v>262</v>
      </c>
      <c r="C16" s="19">
        <v>25</v>
      </c>
      <c r="D16" s="2" t="s">
        <v>245</v>
      </c>
      <c r="E16" s="2" t="s">
        <v>237</v>
      </c>
      <c r="F16" s="17" t="s">
        <v>263</v>
      </c>
    </row>
    <row r="17" spans="1:6" ht="26.25" customHeight="1" x14ac:dyDescent="0.2">
      <c r="A17" s="3" t="s">
        <v>264</v>
      </c>
      <c r="B17" s="2" t="s">
        <v>265</v>
      </c>
      <c r="C17" s="19">
        <v>8</v>
      </c>
      <c r="D17" s="2" t="s">
        <v>245</v>
      </c>
      <c r="E17" s="2" t="s">
        <v>237</v>
      </c>
      <c r="F17" s="17" t="s">
        <v>266</v>
      </c>
    </row>
    <row r="18" spans="1:6" ht="15" customHeight="1" x14ac:dyDescent="0.2">
      <c r="A18" s="3" t="s">
        <v>267</v>
      </c>
      <c r="B18" s="2" t="s">
        <v>268</v>
      </c>
      <c r="C18" s="19">
        <v>12</v>
      </c>
      <c r="D18" s="2" t="s">
        <v>245</v>
      </c>
      <c r="E18" s="2" t="s">
        <v>237</v>
      </c>
      <c r="F18" s="17" t="s">
        <v>246</v>
      </c>
    </row>
    <row r="19" spans="1:6" ht="15" customHeight="1" x14ac:dyDescent="0.2">
      <c r="A19" s="3" t="s">
        <v>269</v>
      </c>
      <c r="B19" s="2" t="s">
        <v>270</v>
      </c>
      <c r="C19" s="19">
        <v>5</v>
      </c>
      <c r="D19" s="2" t="s">
        <v>253</v>
      </c>
      <c r="E19" s="2" t="s">
        <v>237</v>
      </c>
      <c r="F19" s="17" t="s">
        <v>271</v>
      </c>
    </row>
    <row r="20" spans="1:6" ht="15" customHeight="1" x14ac:dyDescent="0.2">
      <c r="A20" s="3" t="s">
        <v>272</v>
      </c>
      <c r="B20" s="2" t="s">
        <v>273</v>
      </c>
      <c r="C20" s="19">
        <v>8</v>
      </c>
      <c r="D20" s="2" t="s">
        <v>245</v>
      </c>
      <c r="E20" s="2" t="s">
        <v>237</v>
      </c>
      <c r="F20" s="17" t="s">
        <v>274</v>
      </c>
    </row>
    <row r="21" spans="1:6" ht="15" customHeight="1" x14ac:dyDescent="0.2">
      <c r="A21" s="3" t="s">
        <v>275</v>
      </c>
      <c r="B21" s="2" t="s">
        <v>276</v>
      </c>
      <c r="C21" s="18">
        <v>0.4</v>
      </c>
      <c r="D21" s="2" t="s">
        <v>277</v>
      </c>
      <c r="E21" s="2" t="s">
        <v>237</v>
      </c>
      <c r="F21" s="17" t="s">
        <v>278</v>
      </c>
    </row>
    <row r="22" spans="1:6" ht="15" customHeight="1" x14ac:dyDescent="0.2">
      <c r="A22" s="3" t="s">
        <v>279</v>
      </c>
      <c r="B22" s="2" t="s">
        <v>280</v>
      </c>
      <c r="C22" s="20">
        <v>1</v>
      </c>
      <c r="D22" s="2" t="s">
        <v>281</v>
      </c>
      <c r="E22" s="21" t="s">
        <v>282</v>
      </c>
      <c r="F22" s="17" t="s">
        <v>283</v>
      </c>
    </row>
    <row r="23" spans="1:6" ht="15" customHeight="1" x14ac:dyDescent="0.2">
      <c r="A23" s="3" t="s">
        <v>284</v>
      </c>
      <c r="B23" s="2" t="s">
        <v>285</v>
      </c>
      <c r="C23" s="22">
        <v>3.5</v>
      </c>
      <c r="D23" s="2" t="s">
        <v>286</v>
      </c>
      <c r="E23" s="21" t="s">
        <v>282</v>
      </c>
      <c r="F23" s="17" t="s">
        <v>287</v>
      </c>
    </row>
    <row r="24" spans="1:6" ht="15" customHeight="1" x14ac:dyDescent="0.2">
      <c r="A24" s="3" t="s">
        <v>288</v>
      </c>
      <c r="B24" s="2" t="s">
        <v>289</v>
      </c>
      <c r="C24" s="23">
        <v>0.8</v>
      </c>
      <c r="D24" s="2" t="s">
        <v>21</v>
      </c>
      <c r="E24" s="21" t="s">
        <v>282</v>
      </c>
      <c r="F24" s="17" t="s">
        <v>290</v>
      </c>
    </row>
    <row r="25" spans="1:6" ht="15" customHeight="1" x14ac:dyDescent="0.2">
      <c r="A25" s="6" t="s">
        <v>291</v>
      </c>
      <c r="B25" s="7"/>
      <c r="C25" s="7"/>
      <c r="D25" s="7"/>
      <c r="E25" s="7"/>
      <c r="F25" s="7"/>
    </row>
    <row r="26" spans="1:6" ht="15" customHeight="1" x14ac:dyDescent="0.2">
      <c r="A26" s="3" t="s">
        <v>292</v>
      </c>
      <c r="B26" s="2" t="s">
        <v>293</v>
      </c>
      <c r="C26" s="16">
        <v>4</v>
      </c>
      <c r="D26" s="2" t="s">
        <v>43</v>
      </c>
      <c r="E26" s="2" t="s">
        <v>237</v>
      </c>
      <c r="F26" s="17" t="s">
        <v>294</v>
      </c>
    </row>
    <row r="27" spans="1:6" ht="15" customHeight="1" x14ac:dyDescent="0.2">
      <c r="A27" s="3" t="s">
        <v>295</v>
      </c>
      <c r="B27" s="2" t="s">
        <v>296</v>
      </c>
      <c r="C27" s="16">
        <v>2</v>
      </c>
      <c r="D27" s="2" t="s">
        <v>43</v>
      </c>
      <c r="E27" s="2" t="s">
        <v>237</v>
      </c>
      <c r="F27" s="17" t="s">
        <v>297</v>
      </c>
    </row>
    <row r="28" spans="1:6" ht="15" customHeight="1" x14ac:dyDescent="0.2">
      <c r="A28" s="3" t="s">
        <v>298</v>
      </c>
      <c r="B28" s="2" t="s">
        <v>299</v>
      </c>
      <c r="C28" s="16">
        <v>2</v>
      </c>
      <c r="D28" s="2" t="s">
        <v>43</v>
      </c>
      <c r="E28" s="2" t="s">
        <v>237</v>
      </c>
      <c r="F28" s="17" t="s">
        <v>297</v>
      </c>
    </row>
    <row r="29" spans="1:6" ht="15" customHeight="1" x14ac:dyDescent="0.2">
      <c r="A29" s="3" t="s">
        <v>300</v>
      </c>
      <c r="B29" s="2" t="s">
        <v>301</v>
      </c>
      <c r="C29" s="16">
        <v>2</v>
      </c>
      <c r="D29" s="2" t="s">
        <v>43</v>
      </c>
      <c r="E29" s="2" t="s">
        <v>237</v>
      </c>
      <c r="F29" s="17" t="s">
        <v>302</v>
      </c>
    </row>
    <row r="30" spans="1:6" ht="15" customHeight="1" x14ac:dyDescent="0.2">
      <c r="A30" s="3" t="s">
        <v>303</v>
      </c>
      <c r="B30" s="2" t="s">
        <v>304</v>
      </c>
      <c r="C30" s="20">
        <v>3</v>
      </c>
      <c r="D30" s="2" t="s">
        <v>305</v>
      </c>
      <c r="E30" s="21" t="s">
        <v>282</v>
      </c>
      <c r="F30" s="17" t="s">
        <v>306</v>
      </c>
    </row>
    <row r="31" spans="1:6" ht="15" customHeight="1" x14ac:dyDescent="0.2">
      <c r="A31" s="3" t="s">
        <v>307</v>
      </c>
      <c r="B31" s="2" t="s">
        <v>308</v>
      </c>
      <c r="C31" s="20">
        <v>1</v>
      </c>
      <c r="D31" s="2" t="s">
        <v>305</v>
      </c>
      <c r="E31" s="21" t="s">
        <v>282</v>
      </c>
      <c r="F31" s="17" t="s">
        <v>309</v>
      </c>
    </row>
    <row r="32" spans="1:6" ht="15" customHeight="1" x14ac:dyDescent="0.2">
      <c r="A32" s="3" t="s">
        <v>310</v>
      </c>
      <c r="B32" s="2" t="s">
        <v>311</v>
      </c>
      <c r="C32" s="20">
        <v>1</v>
      </c>
      <c r="D32" s="2" t="s">
        <v>305</v>
      </c>
      <c r="E32" s="21" t="s">
        <v>282</v>
      </c>
      <c r="F32" s="17" t="s">
        <v>309</v>
      </c>
    </row>
    <row r="33" spans="1:6" ht="15" customHeight="1" x14ac:dyDescent="0.2">
      <c r="A33" s="3" t="s">
        <v>312</v>
      </c>
      <c r="B33" s="2" t="s">
        <v>313</v>
      </c>
      <c r="C33" s="20">
        <v>1</v>
      </c>
      <c r="D33" s="2" t="s">
        <v>305</v>
      </c>
      <c r="E33" s="21" t="s">
        <v>282</v>
      </c>
      <c r="F33" s="17" t="s">
        <v>314</v>
      </c>
    </row>
    <row r="34" spans="1:6" ht="15" customHeight="1" x14ac:dyDescent="0.2">
      <c r="A34" s="3" t="s">
        <v>315</v>
      </c>
      <c r="B34" s="2" t="s">
        <v>316</v>
      </c>
      <c r="C34" s="16">
        <v>2</v>
      </c>
      <c r="D34" s="2" t="s">
        <v>26</v>
      </c>
      <c r="E34" s="2" t="s">
        <v>237</v>
      </c>
      <c r="F34" s="17" t="s">
        <v>317</v>
      </c>
    </row>
    <row r="35" spans="1:6" ht="15" customHeight="1" x14ac:dyDescent="0.2">
      <c r="A35" s="3" t="s">
        <v>318</v>
      </c>
      <c r="B35" s="2" t="s">
        <v>319</v>
      </c>
      <c r="C35" s="16">
        <v>2</v>
      </c>
      <c r="D35" s="2" t="s">
        <v>43</v>
      </c>
      <c r="E35" s="2" t="s">
        <v>237</v>
      </c>
      <c r="F35" s="17" t="s">
        <v>320</v>
      </c>
    </row>
    <row r="36" spans="1:6" ht="15" customHeight="1" x14ac:dyDescent="0.2">
      <c r="A36" s="3" t="s">
        <v>321</v>
      </c>
      <c r="B36" s="2" t="s">
        <v>322</v>
      </c>
      <c r="C36" s="16">
        <v>11</v>
      </c>
      <c r="D36" s="2" t="s">
        <v>43</v>
      </c>
      <c r="E36" s="2" t="s">
        <v>237</v>
      </c>
      <c r="F36" s="17" t="s">
        <v>323</v>
      </c>
    </row>
    <row r="37" spans="1:6" ht="15" customHeight="1" x14ac:dyDescent="0.2">
      <c r="A37" s="3" t="s">
        <v>324</v>
      </c>
      <c r="B37" s="2" t="s">
        <v>325</v>
      </c>
      <c r="C37" s="22">
        <v>2.5</v>
      </c>
      <c r="D37" s="2" t="s">
        <v>286</v>
      </c>
      <c r="E37" s="21" t="s">
        <v>282</v>
      </c>
      <c r="F37" s="17" t="s">
        <v>326</v>
      </c>
    </row>
    <row r="38" spans="1:6" ht="15" customHeight="1" x14ac:dyDescent="0.2">
      <c r="A38" s="6" t="s">
        <v>327</v>
      </c>
      <c r="B38" s="7"/>
      <c r="C38" s="7"/>
      <c r="D38" s="7"/>
      <c r="E38" s="7"/>
      <c r="F38" s="7"/>
    </row>
    <row r="39" spans="1:6" ht="15" customHeight="1" x14ac:dyDescent="0.2">
      <c r="A39" s="3" t="s">
        <v>328</v>
      </c>
      <c r="B39" s="2" t="s">
        <v>329</v>
      </c>
      <c r="C39" s="19">
        <v>2.5</v>
      </c>
      <c r="D39" s="2" t="s">
        <v>253</v>
      </c>
      <c r="E39" s="2" t="s">
        <v>237</v>
      </c>
      <c r="F39" s="17" t="s">
        <v>330</v>
      </c>
    </row>
    <row r="40" spans="1:6" ht="15" customHeight="1" x14ac:dyDescent="0.2">
      <c r="A40" s="3" t="s">
        <v>331</v>
      </c>
      <c r="B40" s="2" t="s">
        <v>332</v>
      </c>
      <c r="C40" s="19">
        <v>1.5</v>
      </c>
      <c r="D40" s="2" t="s">
        <v>253</v>
      </c>
      <c r="E40" s="2" t="s">
        <v>237</v>
      </c>
      <c r="F40" s="17" t="s">
        <v>330</v>
      </c>
    </row>
    <row r="41" spans="1:6" ht="15" customHeight="1" x14ac:dyDescent="0.2">
      <c r="A41" s="3" t="s">
        <v>333</v>
      </c>
      <c r="B41" s="2" t="s">
        <v>334</v>
      </c>
      <c r="C41" s="19">
        <v>1</v>
      </c>
      <c r="D41" s="2" t="s">
        <v>253</v>
      </c>
      <c r="E41" s="2" t="s">
        <v>237</v>
      </c>
      <c r="F41" s="17" t="s">
        <v>330</v>
      </c>
    </row>
    <row r="42" spans="1:6" ht="15" customHeight="1" x14ac:dyDescent="0.2">
      <c r="A42" s="3" t="s">
        <v>335</v>
      </c>
      <c r="B42" s="2" t="s">
        <v>336</v>
      </c>
      <c r="C42" s="19">
        <v>2.2999999999999998</v>
      </c>
      <c r="D42" s="2" t="s">
        <v>253</v>
      </c>
      <c r="E42" s="2" t="s">
        <v>237</v>
      </c>
      <c r="F42" s="17" t="s">
        <v>330</v>
      </c>
    </row>
    <row r="43" spans="1:6" ht="15" customHeight="1" x14ac:dyDescent="0.2">
      <c r="A43" s="3" t="s">
        <v>337</v>
      </c>
      <c r="B43" s="2" t="s">
        <v>338</v>
      </c>
      <c r="C43" s="19">
        <v>3</v>
      </c>
      <c r="D43" s="2" t="s">
        <v>253</v>
      </c>
      <c r="E43" s="2" t="s">
        <v>237</v>
      </c>
      <c r="F43" s="17" t="s">
        <v>339</v>
      </c>
    </row>
    <row r="44" spans="1:6" ht="15" customHeight="1" x14ac:dyDescent="0.2">
      <c r="A44" s="3" t="s">
        <v>340</v>
      </c>
      <c r="B44" s="2" t="s">
        <v>341</v>
      </c>
      <c r="C44" s="19">
        <v>1</v>
      </c>
      <c r="D44" s="2" t="s">
        <v>253</v>
      </c>
      <c r="E44" s="2" t="s">
        <v>237</v>
      </c>
      <c r="F44" s="17" t="s">
        <v>330</v>
      </c>
    </row>
    <row r="45" spans="1:6" ht="15" customHeight="1" x14ac:dyDescent="0.2">
      <c r="A45" s="3" t="s">
        <v>342</v>
      </c>
      <c r="B45" s="2" t="s">
        <v>343</v>
      </c>
      <c r="C45" s="19">
        <v>2.0799166666666702</v>
      </c>
      <c r="D45" s="2" t="s">
        <v>253</v>
      </c>
      <c r="E45" s="2" t="s">
        <v>237</v>
      </c>
      <c r="F45" s="17" t="s">
        <v>344</v>
      </c>
    </row>
    <row r="46" spans="1:6" ht="15" customHeight="1" x14ac:dyDescent="0.2">
      <c r="A46" s="3" t="s">
        <v>345</v>
      </c>
      <c r="B46" s="2" t="s">
        <v>346</v>
      </c>
      <c r="C46" s="19">
        <v>5.8</v>
      </c>
      <c r="D46" s="2" t="s">
        <v>253</v>
      </c>
      <c r="E46" s="2" t="s">
        <v>237</v>
      </c>
      <c r="F46" s="17" t="s">
        <v>347</v>
      </c>
    </row>
    <row r="47" spans="1:6" ht="26.25" customHeight="1" x14ac:dyDescent="0.2">
      <c r="A47" s="3" t="s">
        <v>348</v>
      </c>
      <c r="B47" s="2" t="s">
        <v>349</v>
      </c>
      <c r="C47" s="22">
        <v>1.5</v>
      </c>
      <c r="D47" s="2" t="s">
        <v>253</v>
      </c>
      <c r="E47" s="21" t="s">
        <v>282</v>
      </c>
      <c r="F47" s="17" t="s">
        <v>350</v>
      </c>
    </row>
    <row r="48" spans="1:6" ht="15" customHeight="1" x14ac:dyDescent="0.2">
      <c r="A48" s="6" t="s">
        <v>351</v>
      </c>
      <c r="B48" s="7"/>
      <c r="C48" s="7"/>
      <c r="D48" s="7"/>
      <c r="E48" s="7"/>
      <c r="F48" s="7"/>
    </row>
    <row r="49" spans="1:6" ht="15" customHeight="1" x14ac:dyDescent="0.2">
      <c r="A49" s="3" t="s">
        <v>352</v>
      </c>
      <c r="B49" s="2" t="s">
        <v>353</v>
      </c>
      <c r="C49" s="19">
        <v>15</v>
      </c>
      <c r="D49" s="2" t="s">
        <v>253</v>
      </c>
      <c r="E49" s="2" t="s">
        <v>237</v>
      </c>
      <c r="F49" s="17" t="s">
        <v>354</v>
      </c>
    </row>
    <row r="50" spans="1:6" ht="15" customHeight="1" x14ac:dyDescent="0.2">
      <c r="A50" s="3" t="s">
        <v>355</v>
      </c>
      <c r="B50" s="2" t="s">
        <v>356</v>
      </c>
      <c r="C50" s="19">
        <v>10</v>
      </c>
      <c r="D50" s="2" t="s">
        <v>253</v>
      </c>
      <c r="E50" s="2" t="s">
        <v>237</v>
      </c>
      <c r="F50" s="17" t="s">
        <v>354</v>
      </c>
    </row>
    <row r="51" spans="1:6" ht="15" customHeight="1" x14ac:dyDescent="0.2">
      <c r="A51" s="3" t="s">
        <v>357</v>
      </c>
      <c r="B51" s="2" t="s">
        <v>358</v>
      </c>
      <c r="C51" s="24" t="s">
        <v>359</v>
      </c>
      <c r="D51" s="2" t="s">
        <v>360</v>
      </c>
      <c r="E51" s="25" t="s">
        <v>361</v>
      </c>
      <c r="F51" s="17" t="s">
        <v>362</v>
      </c>
    </row>
    <row r="52" spans="1:6" ht="15" customHeight="1" x14ac:dyDescent="0.2">
      <c r="A52" s="3" t="s">
        <v>363</v>
      </c>
      <c r="B52" s="2" t="s">
        <v>364</v>
      </c>
      <c r="C52" s="16">
        <v>0</v>
      </c>
      <c r="D52" s="2" t="s">
        <v>281</v>
      </c>
      <c r="E52" s="2" t="s">
        <v>237</v>
      </c>
      <c r="F52" s="17" t="s">
        <v>365</v>
      </c>
    </row>
    <row r="53" spans="1:6" ht="15" customHeight="1" x14ac:dyDescent="0.2">
      <c r="A53" s="3" t="s">
        <v>366</v>
      </c>
      <c r="B53" s="2" t="s">
        <v>367</v>
      </c>
      <c r="C53" s="19">
        <v>7</v>
      </c>
      <c r="D53" s="2" t="s">
        <v>253</v>
      </c>
      <c r="E53" s="2" t="s">
        <v>237</v>
      </c>
      <c r="F53" s="17" t="s">
        <v>368</v>
      </c>
    </row>
    <row r="54" spans="1:6" ht="15" customHeight="1" x14ac:dyDescent="0.2">
      <c r="A54" s="3" t="s">
        <v>369</v>
      </c>
      <c r="B54" s="2" t="s">
        <v>370</v>
      </c>
      <c r="C54" s="24" t="s">
        <v>359</v>
      </c>
      <c r="D54" s="2" t="s">
        <v>360</v>
      </c>
      <c r="E54" s="21" t="s">
        <v>282</v>
      </c>
      <c r="F54" s="17" t="s">
        <v>371</v>
      </c>
    </row>
    <row r="55" spans="1:6" ht="15" customHeight="1" x14ac:dyDescent="0.2">
      <c r="A55" s="3" t="s">
        <v>372</v>
      </c>
      <c r="B55" s="2" t="s">
        <v>373</v>
      </c>
      <c r="C55" s="22">
        <v>2</v>
      </c>
      <c r="D55" s="2" t="s">
        <v>253</v>
      </c>
      <c r="E55" s="21" t="s">
        <v>282</v>
      </c>
      <c r="F55" s="17" t="s">
        <v>374</v>
      </c>
    </row>
    <row r="56" spans="1:6" ht="15" customHeight="1" x14ac:dyDescent="0.2">
      <c r="A56" s="3" t="s">
        <v>375</v>
      </c>
      <c r="B56" s="2" t="s">
        <v>376</v>
      </c>
      <c r="C56" s="19">
        <v>5</v>
      </c>
      <c r="D56" s="2" t="s">
        <v>253</v>
      </c>
      <c r="E56" s="2" t="s">
        <v>237</v>
      </c>
      <c r="F56" s="17" t="s">
        <v>368</v>
      </c>
    </row>
    <row r="57" spans="1:6" ht="26.25" customHeight="1" x14ac:dyDescent="0.2">
      <c r="A57" s="3" t="s">
        <v>377</v>
      </c>
      <c r="B57" s="2" t="s">
        <v>378</v>
      </c>
      <c r="C57" s="20">
        <v>4</v>
      </c>
      <c r="D57" s="2" t="s">
        <v>26</v>
      </c>
      <c r="E57" s="21" t="s">
        <v>282</v>
      </c>
      <c r="F57" s="17" t="s">
        <v>379</v>
      </c>
    </row>
    <row r="58" spans="1:6" ht="15" customHeight="1" x14ac:dyDescent="0.2">
      <c r="A58" s="3" t="s">
        <v>380</v>
      </c>
      <c r="B58" s="2" t="s">
        <v>381</v>
      </c>
      <c r="C58" s="20">
        <v>12</v>
      </c>
      <c r="D58" s="2" t="s">
        <v>382</v>
      </c>
      <c r="E58" s="21" t="s">
        <v>282</v>
      </c>
      <c r="F58" s="17" t="s">
        <v>383</v>
      </c>
    </row>
    <row r="59" spans="1:6" ht="15" customHeight="1" x14ac:dyDescent="0.2">
      <c r="A59" s="3" t="s">
        <v>384</v>
      </c>
      <c r="B59" s="2" t="s">
        <v>385</v>
      </c>
      <c r="C59" s="22">
        <v>1.33</v>
      </c>
      <c r="D59" s="2" t="s">
        <v>382</v>
      </c>
      <c r="E59" s="21" t="s">
        <v>282</v>
      </c>
      <c r="F59" s="17" t="s">
        <v>386</v>
      </c>
    </row>
    <row r="60" spans="1:6" ht="15" customHeight="1" x14ac:dyDescent="0.2">
      <c r="A60" s="6" t="s">
        <v>387</v>
      </c>
      <c r="B60" s="7"/>
      <c r="C60" s="7"/>
      <c r="D60" s="7"/>
      <c r="E60" s="7"/>
      <c r="F60" s="7"/>
    </row>
    <row r="61" spans="1:6" ht="15" customHeight="1" x14ac:dyDescent="0.2">
      <c r="A61" s="3" t="s">
        <v>388</v>
      </c>
      <c r="B61" s="2" t="s">
        <v>389</v>
      </c>
      <c r="C61" s="20">
        <v>1</v>
      </c>
      <c r="D61" s="2" t="s">
        <v>281</v>
      </c>
      <c r="E61" s="21" t="s">
        <v>282</v>
      </c>
      <c r="F61" s="17" t="s">
        <v>390</v>
      </c>
    </row>
    <row r="62" spans="1:6" ht="26.25" customHeight="1" x14ac:dyDescent="0.2">
      <c r="A62" s="3" t="s">
        <v>391</v>
      </c>
      <c r="B62" s="2" t="s">
        <v>392</v>
      </c>
      <c r="C62" s="22">
        <v>7.4999999999999997E-2</v>
      </c>
      <c r="D62" s="2" t="s">
        <v>393</v>
      </c>
      <c r="E62" s="21" t="s">
        <v>282</v>
      </c>
      <c r="F62" s="17" t="s">
        <v>394</v>
      </c>
    </row>
    <row r="63" spans="1:6" ht="15" customHeight="1" x14ac:dyDescent="0.2">
      <c r="A63" s="3" t="s">
        <v>395</v>
      </c>
      <c r="B63" s="2" t="s">
        <v>396</v>
      </c>
      <c r="C63" s="20">
        <v>40</v>
      </c>
      <c r="D63" s="2" t="s">
        <v>43</v>
      </c>
      <c r="E63" s="21" t="s">
        <v>282</v>
      </c>
      <c r="F63" s="17" t="s">
        <v>309</v>
      </c>
    </row>
    <row r="64" spans="1:6" ht="15" customHeight="1" x14ac:dyDescent="0.2">
      <c r="A64" s="3" t="s">
        <v>397</v>
      </c>
      <c r="B64" s="2" t="s">
        <v>398</v>
      </c>
      <c r="C64" s="20">
        <v>30</v>
      </c>
      <c r="D64" s="2" t="s">
        <v>43</v>
      </c>
      <c r="E64" s="21" t="s">
        <v>282</v>
      </c>
      <c r="F64" s="17" t="s">
        <v>309</v>
      </c>
    </row>
    <row r="65" spans="1:6" ht="15" customHeight="1" x14ac:dyDescent="0.2">
      <c r="A65" s="3" t="s">
        <v>399</v>
      </c>
      <c r="B65" s="2" t="s">
        <v>400</v>
      </c>
      <c r="C65" s="20">
        <v>40</v>
      </c>
      <c r="D65" s="2" t="s">
        <v>43</v>
      </c>
      <c r="E65" s="21" t="s">
        <v>282</v>
      </c>
      <c r="F65" s="17" t="s">
        <v>309</v>
      </c>
    </row>
    <row r="66" spans="1:6" ht="15" customHeight="1" x14ac:dyDescent="0.2">
      <c r="A66" s="3" t="s">
        <v>401</v>
      </c>
      <c r="B66" s="2" t="s">
        <v>402</v>
      </c>
      <c r="C66" s="20">
        <v>50</v>
      </c>
      <c r="D66" s="2" t="s">
        <v>43</v>
      </c>
      <c r="E66" s="21" t="s">
        <v>282</v>
      </c>
      <c r="F66" s="17" t="s">
        <v>309</v>
      </c>
    </row>
    <row r="67" spans="1:6" ht="15" customHeight="1" x14ac:dyDescent="0.2">
      <c r="A67" s="3" t="s">
        <v>403</v>
      </c>
      <c r="B67" s="2" t="s">
        <v>404</v>
      </c>
      <c r="C67" s="22">
        <v>0.05</v>
      </c>
      <c r="D67" s="2" t="s">
        <v>405</v>
      </c>
      <c r="E67" s="21" t="s">
        <v>282</v>
      </c>
      <c r="F67" s="17" t="s">
        <v>406</v>
      </c>
    </row>
    <row r="68" spans="1:6" ht="15" customHeight="1" x14ac:dyDescent="0.2">
      <c r="A68" s="3" t="s">
        <v>407</v>
      </c>
      <c r="B68" s="2" t="s">
        <v>408</v>
      </c>
      <c r="C68" s="20">
        <v>10</v>
      </c>
      <c r="D68" s="2" t="s">
        <v>191</v>
      </c>
      <c r="E68" s="21" t="s">
        <v>282</v>
      </c>
      <c r="F68" s="17" t="s">
        <v>309</v>
      </c>
    </row>
    <row r="69" spans="1:6" ht="15" customHeight="1" x14ac:dyDescent="0.2">
      <c r="A69" s="6" t="s">
        <v>409</v>
      </c>
      <c r="B69" s="7"/>
      <c r="C69" s="7"/>
      <c r="D69" s="7"/>
      <c r="E69" s="7"/>
      <c r="F69" s="7"/>
    </row>
    <row r="70" spans="1:6" ht="26.25" customHeight="1" x14ac:dyDescent="0.2">
      <c r="A70" s="3" t="s">
        <v>410</v>
      </c>
      <c r="B70" s="2" t="s">
        <v>411</v>
      </c>
      <c r="C70" s="20">
        <v>4</v>
      </c>
      <c r="D70" s="2" t="s">
        <v>189</v>
      </c>
      <c r="E70" s="21" t="s">
        <v>282</v>
      </c>
      <c r="F70" s="17" t="s">
        <v>412</v>
      </c>
    </row>
    <row r="71" spans="1:6" ht="15" customHeight="1" x14ac:dyDescent="0.2">
      <c r="A71" s="6" t="s">
        <v>413</v>
      </c>
      <c r="B71" s="7"/>
      <c r="C71" s="7"/>
      <c r="D71" s="7"/>
      <c r="E71" s="7"/>
      <c r="F71" s="7"/>
    </row>
    <row r="72" spans="1:6" ht="15" customHeight="1" x14ac:dyDescent="0.2">
      <c r="A72" s="3" t="s">
        <v>414</v>
      </c>
      <c r="B72" s="2" t="s">
        <v>415</v>
      </c>
      <c r="C72" s="19">
        <v>210</v>
      </c>
      <c r="D72" s="2" t="s">
        <v>10</v>
      </c>
      <c r="E72" s="2" t="s">
        <v>237</v>
      </c>
      <c r="F72" s="17" t="s">
        <v>416</v>
      </c>
    </row>
    <row r="73" spans="1:6" ht="15" customHeight="1" x14ac:dyDescent="0.2">
      <c r="A73" s="3" t="s">
        <v>417</v>
      </c>
      <c r="B73" s="2" t="s">
        <v>418</v>
      </c>
      <c r="C73" s="23">
        <v>0.6</v>
      </c>
      <c r="D73" s="2" t="s">
        <v>21</v>
      </c>
      <c r="E73" s="21" t="s">
        <v>282</v>
      </c>
      <c r="F73" s="17" t="s">
        <v>419</v>
      </c>
    </row>
    <row r="74" spans="1:6" ht="15" customHeight="1" x14ac:dyDescent="0.2">
      <c r="A74" s="3" t="s">
        <v>420</v>
      </c>
      <c r="B74" s="2" t="s">
        <v>421</v>
      </c>
      <c r="C74" s="23">
        <v>0.3</v>
      </c>
      <c r="D74" s="2" t="s">
        <v>21</v>
      </c>
      <c r="E74" s="21" t="s">
        <v>282</v>
      </c>
      <c r="F74" s="17" t="s">
        <v>422</v>
      </c>
    </row>
    <row r="75" spans="1:6" ht="15" customHeight="1" x14ac:dyDescent="0.2">
      <c r="A75" s="3" t="s">
        <v>423</v>
      </c>
      <c r="B75" s="2" t="s">
        <v>424</v>
      </c>
      <c r="C75" s="23">
        <v>0.1</v>
      </c>
      <c r="D75" s="2" t="s">
        <v>21</v>
      </c>
      <c r="E75" s="21" t="s">
        <v>282</v>
      </c>
      <c r="F75" s="17" t="s">
        <v>422</v>
      </c>
    </row>
    <row r="76" spans="1:6" ht="26.25" customHeight="1" x14ac:dyDescent="0.2">
      <c r="A76" s="3" t="s">
        <v>425</v>
      </c>
      <c r="B76" s="2" t="s">
        <v>426</v>
      </c>
      <c r="C76" s="23">
        <v>0.8</v>
      </c>
      <c r="D76" s="2" t="s">
        <v>21</v>
      </c>
      <c r="E76" s="21" t="s">
        <v>282</v>
      </c>
      <c r="F76" s="17" t="s">
        <v>427</v>
      </c>
    </row>
    <row r="77" spans="1:6" ht="15" customHeight="1" x14ac:dyDescent="0.2">
      <c r="A77" s="3" t="s">
        <v>428</v>
      </c>
      <c r="B77" s="2" t="s">
        <v>429</v>
      </c>
      <c r="C77" s="23">
        <v>0.2</v>
      </c>
      <c r="D77" s="2" t="s">
        <v>21</v>
      </c>
      <c r="E77" s="21" t="s">
        <v>282</v>
      </c>
      <c r="F77" s="17" t="s">
        <v>430</v>
      </c>
    </row>
    <row r="78" spans="1:6" ht="15" customHeight="1" x14ac:dyDescent="0.2">
      <c r="A78" s="3" t="s">
        <v>431</v>
      </c>
      <c r="B78" s="2" t="s">
        <v>432</v>
      </c>
      <c r="C78" s="23">
        <v>0.5</v>
      </c>
      <c r="D78" s="2" t="s">
        <v>21</v>
      </c>
      <c r="E78" s="21" t="s">
        <v>282</v>
      </c>
      <c r="F78" s="17" t="s">
        <v>422</v>
      </c>
    </row>
    <row r="79" spans="1:6" ht="15" customHeight="1" x14ac:dyDescent="0.2">
      <c r="A79" s="3" t="s">
        <v>433</v>
      </c>
      <c r="B79" s="2" t="s">
        <v>434</v>
      </c>
      <c r="C79" s="23">
        <v>0.3</v>
      </c>
      <c r="D79" s="2" t="s">
        <v>21</v>
      </c>
      <c r="E79" s="21" t="s">
        <v>282</v>
      </c>
      <c r="F79" s="17" t="s">
        <v>422</v>
      </c>
    </row>
    <row r="80" spans="1:6" ht="26.25" customHeight="1" x14ac:dyDescent="0.2">
      <c r="A80" s="3" t="s">
        <v>435</v>
      </c>
      <c r="B80" s="2" t="s">
        <v>436</v>
      </c>
      <c r="C80" s="23">
        <v>5.0000000000000001E-3</v>
      </c>
      <c r="D80" s="2" t="s">
        <v>437</v>
      </c>
      <c r="E80" s="21" t="s">
        <v>282</v>
      </c>
      <c r="F80" s="17" t="s">
        <v>438</v>
      </c>
    </row>
    <row r="81" spans="1:6" ht="15" customHeight="1" x14ac:dyDescent="0.2">
      <c r="A81" s="6" t="s">
        <v>439</v>
      </c>
      <c r="B81" s="7"/>
      <c r="C81" s="7"/>
      <c r="D81" s="7"/>
      <c r="E81" s="7"/>
      <c r="F81" s="7"/>
    </row>
    <row r="82" spans="1:6" ht="15" customHeight="1" x14ac:dyDescent="0.2">
      <c r="A82" s="3" t="s">
        <v>440</v>
      </c>
      <c r="B82" s="2" t="s">
        <v>441</v>
      </c>
      <c r="C82" s="23">
        <v>0.15</v>
      </c>
      <c r="D82" s="2" t="s">
        <v>21</v>
      </c>
      <c r="E82" s="21" t="s">
        <v>282</v>
      </c>
      <c r="F82" s="17" t="s">
        <v>442</v>
      </c>
    </row>
    <row r="83" spans="1:6" ht="15" customHeight="1" x14ac:dyDescent="0.2">
      <c r="A83" s="3" t="s">
        <v>443</v>
      </c>
      <c r="B83" s="2" t="s">
        <v>444</v>
      </c>
      <c r="C83" s="23">
        <v>0.85</v>
      </c>
      <c r="D83" s="2" t="s">
        <v>21</v>
      </c>
      <c r="E83" s="21" t="s">
        <v>282</v>
      </c>
      <c r="F83" s="17" t="s">
        <v>445</v>
      </c>
    </row>
    <row r="84" spans="1:6" ht="15" customHeight="1" x14ac:dyDescent="0.2">
      <c r="A84" s="6" t="s">
        <v>446</v>
      </c>
      <c r="B84" s="7"/>
      <c r="C84" s="7"/>
      <c r="D84" s="7"/>
      <c r="E84" s="7"/>
      <c r="F84" s="7"/>
    </row>
    <row r="85" spans="1:6" ht="15" customHeight="1" x14ac:dyDescent="0.2">
      <c r="A85" s="3" t="s">
        <v>447</v>
      </c>
      <c r="B85" s="2" t="s">
        <v>448</v>
      </c>
      <c r="C85" s="16">
        <v>2</v>
      </c>
      <c r="D85" s="2" t="s">
        <v>236</v>
      </c>
      <c r="E85" s="2" t="s">
        <v>237</v>
      </c>
      <c r="F85" s="17" t="s">
        <v>449</v>
      </c>
    </row>
    <row r="86" spans="1:6" ht="15" customHeight="1" x14ac:dyDescent="0.2">
      <c r="A86" s="3" t="s">
        <v>450</v>
      </c>
      <c r="B86" s="2" t="s">
        <v>451</v>
      </c>
      <c r="C86" s="24" t="s">
        <v>359</v>
      </c>
      <c r="D86" s="2" t="s">
        <v>360</v>
      </c>
      <c r="E86" s="25" t="s">
        <v>361</v>
      </c>
      <c r="F86" s="17" t="s">
        <v>452</v>
      </c>
    </row>
    <row r="87" spans="1:6" ht="26.25" customHeight="1" x14ac:dyDescent="0.2">
      <c r="A87" s="3" t="s">
        <v>453</v>
      </c>
      <c r="B87" s="2" t="s">
        <v>454</v>
      </c>
      <c r="C87" s="22">
        <v>94</v>
      </c>
      <c r="D87" s="2" t="s">
        <v>455</v>
      </c>
      <c r="E87" s="25" t="s">
        <v>361</v>
      </c>
      <c r="F87" s="17" t="s">
        <v>456</v>
      </c>
    </row>
    <row r="88" spans="1:6" ht="15" customHeight="1" x14ac:dyDescent="0.2">
      <c r="A88" s="3" t="s">
        <v>457</v>
      </c>
      <c r="B88" s="2" t="s">
        <v>458</v>
      </c>
      <c r="C88" s="22">
        <v>24</v>
      </c>
      <c r="D88" s="2" t="s">
        <v>245</v>
      </c>
      <c r="E88" s="25" t="s">
        <v>361</v>
      </c>
      <c r="F88" s="17" t="s">
        <v>459</v>
      </c>
    </row>
    <row r="89" spans="1:6" ht="26.25" customHeight="1" x14ac:dyDescent="0.2">
      <c r="A89" s="3" t="s">
        <v>460</v>
      </c>
      <c r="B89" s="2" t="s">
        <v>461</v>
      </c>
      <c r="C89" s="22">
        <v>45</v>
      </c>
      <c r="D89" s="2" t="s">
        <v>462</v>
      </c>
      <c r="E89" s="25" t="s">
        <v>361</v>
      </c>
      <c r="F89" s="17" t="s">
        <v>463</v>
      </c>
    </row>
    <row r="90" spans="1:6" ht="26.25" customHeight="1" x14ac:dyDescent="0.2">
      <c r="A90" s="3" t="s">
        <v>464</v>
      </c>
      <c r="B90" s="2" t="s">
        <v>465</v>
      </c>
      <c r="C90" s="22">
        <v>55</v>
      </c>
      <c r="D90" s="2" t="s">
        <v>462</v>
      </c>
      <c r="E90" s="25" t="s">
        <v>361</v>
      </c>
      <c r="F90" s="17" t="s">
        <v>466</v>
      </c>
    </row>
    <row r="91" spans="1:6" ht="15" customHeight="1" x14ac:dyDescent="0.2">
      <c r="A91" s="3" t="s">
        <v>467</v>
      </c>
      <c r="B91" s="2" t="s">
        <v>468</v>
      </c>
      <c r="C91" s="23">
        <v>0.25</v>
      </c>
      <c r="D91" s="2" t="s">
        <v>21</v>
      </c>
      <c r="E91" s="21" t="s">
        <v>282</v>
      </c>
      <c r="F91" s="17" t="s">
        <v>469</v>
      </c>
    </row>
    <row r="92" spans="1:6" ht="26.25" customHeight="1" x14ac:dyDescent="0.2">
      <c r="A92" s="3" t="s">
        <v>470</v>
      </c>
      <c r="B92" s="2" t="s">
        <v>471</v>
      </c>
      <c r="C92" s="22">
        <v>0.15</v>
      </c>
      <c r="D92" s="2" t="s">
        <v>286</v>
      </c>
      <c r="E92" s="25" t="s">
        <v>361</v>
      </c>
      <c r="F92" s="17" t="s">
        <v>472</v>
      </c>
    </row>
    <row r="93" spans="1:6" ht="15" customHeight="1" x14ac:dyDescent="0.2">
      <c r="A93" s="3" t="s">
        <v>473</v>
      </c>
      <c r="B93" s="2" t="s">
        <v>474</v>
      </c>
      <c r="C93" s="16">
        <v>1</v>
      </c>
      <c r="D93" s="2" t="s">
        <v>281</v>
      </c>
      <c r="E93" s="2" t="s">
        <v>237</v>
      </c>
      <c r="F93" s="17" t="s">
        <v>475</v>
      </c>
    </row>
    <row r="94" spans="1:6" ht="15" customHeight="1" x14ac:dyDescent="0.2">
      <c r="A94" s="3" t="s">
        <v>476</v>
      </c>
      <c r="B94" s="2" t="s">
        <v>477</v>
      </c>
      <c r="C94" s="16">
        <v>1</v>
      </c>
      <c r="D94" s="2" t="s">
        <v>281</v>
      </c>
      <c r="E94" s="2" t="s">
        <v>237</v>
      </c>
      <c r="F94" s="17" t="s">
        <v>475</v>
      </c>
    </row>
    <row r="95" spans="1:6" ht="15" customHeight="1" x14ac:dyDescent="0.2">
      <c r="A95" s="3" t="s">
        <v>478</v>
      </c>
      <c r="B95" s="2" t="s">
        <v>479</v>
      </c>
      <c r="C95" s="20">
        <v>1</v>
      </c>
      <c r="D95" s="2" t="s">
        <v>281</v>
      </c>
      <c r="E95" s="25" t="s">
        <v>361</v>
      </c>
      <c r="F95" s="17" t="s">
        <v>480</v>
      </c>
    </row>
    <row r="96" spans="1:6" ht="15" customHeight="1" x14ac:dyDescent="0.2">
      <c r="A96" s="3" t="s">
        <v>481</v>
      </c>
      <c r="B96" s="2" t="s">
        <v>482</v>
      </c>
      <c r="C96" s="26">
        <v>2.5</v>
      </c>
      <c r="D96" s="2" t="s">
        <v>187</v>
      </c>
      <c r="E96" s="2" t="s">
        <v>237</v>
      </c>
      <c r="F96" s="17" t="s">
        <v>483</v>
      </c>
    </row>
    <row r="97" spans="1:6" ht="15" customHeight="1" x14ac:dyDescent="0.2">
      <c r="A97" s="3" t="s">
        <v>484</v>
      </c>
      <c r="B97" s="2" t="s">
        <v>485</v>
      </c>
      <c r="C97" s="23">
        <v>0.3</v>
      </c>
      <c r="D97" s="2" t="s">
        <v>21</v>
      </c>
      <c r="E97" s="21" t="s">
        <v>282</v>
      </c>
      <c r="F97" s="17" t="s">
        <v>486</v>
      </c>
    </row>
    <row r="98" spans="1:6" ht="26.25" customHeight="1" x14ac:dyDescent="0.2">
      <c r="A98" s="3" t="s">
        <v>487</v>
      </c>
      <c r="B98" s="2" t="s">
        <v>488</v>
      </c>
      <c r="C98" s="23">
        <v>1</v>
      </c>
      <c r="D98" s="2" t="s">
        <v>21</v>
      </c>
      <c r="E98" s="21" t="s">
        <v>282</v>
      </c>
      <c r="F98" s="17" t="s">
        <v>489</v>
      </c>
    </row>
    <row r="100" spans="1:6" x14ac:dyDescent="0.2">
      <c r="A100" s="6" t="s">
        <v>490</v>
      </c>
    </row>
    <row r="101" spans="1:6" x14ac:dyDescent="0.2">
      <c r="A101" s="3" t="s">
        <v>491</v>
      </c>
      <c r="B101" s="2" t="s">
        <v>492</v>
      </c>
      <c r="C101" s="74">
        <v>1</v>
      </c>
      <c r="D101" s="2" t="s">
        <v>281</v>
      </c>
      <c r="E101" s="21" t="s">
        <v>361</v>
      </c>
      <c r="F101" s="17" t="s">
        <v>493</v>
      </c>
    </row>
    <row r="102" spans="1:6" x14ac:dyDescent="0.2">
      <c r="A102" s="3" t="s">
        <v>494</v>
      </c>
      <c r="B102" s="2" t="s">
        <v>495</v>
      </c>
      <c r="C102" s="24" t="s">
        <v>496</v>
      </c>
      <c r="D102" s="2" t="s">
        <v>360</v>
      </c>
      <c r="E102" s="25" t="s">
        <v>361</v>
      </c>
      <c r="F102" s="17" t="s">
        <v>497</v>
      </c>
    </row>
    <row r="103" spans="1:6" x14ac:dyDescent="0.2">
      <c r="A103" s="3" t="s">
        <v>498</v>
      </c>
      <c r="B103" s="2" t="s">
        <v>499</v>
      </c>
      <c r="C103" s="74">
        <v>1</v>
      </c>
      <c r="D103" s="2" t="s">
        <v>281</v>
      </c>
      <c r="E103" s="21" t="s">
        <v>361</v>
      </c>
      <c r="F103" s="17" t="s">
        <v>500</v>
      </c>
    </row>
    <row r="104" spans="1:6" x14ac:dyDescent="0.2">
      <c r="A104" s="6" t="s">
        <v>501</v>
      </c>
    </row>
    <row r="105" spans="1:6" x14ac:dyDescent="0.2">
      <c r="A105" s="3" t="s">
        <v>502</v>
      </c>
      <c r="B105" s="2" t="s">
        <v>503</v>
      </c>
      <c r="C105" s="74">
        <v>1</v>
      </c>
      <c r="D105" s="2" t="s">
        <v>281</v>
      </c>
      <c r="E105" s="21" t="s">
        <v>361</v>
      </c>
      <c r="F105" s="17" t="s">
        <v>504</v>
      </c>
    </row>
    <row r="106" spans="1:6" ht="30" x14ac:dyDescent="0.2">
      <c r="A106" s="3" t="s">
        <v>505</v>
      </c>
      <c r="B106" s="2" t="s">
        <v>506</v>
      </c>
      <c r="C106" s="75">
        <v>0.18</v>
      </c>
      <c r="D106" s="2" t="s">
        <v>21</v>
      </c>
      <c r="E106" s="21" t="s">
        <v>282</v>
      </c>
      <c r="F106" s="17" t="s">
        <v>507</v>
      </c>
    </row>
    <row r="107" spans="1:6" x14ac:dyDescent="0.2">
      <c r="A107" s="3" t="s">
        <v>508</v>
      </c>
      <c r="B107" s="2" t="s">
        <v>509</v>
      </c>
      <c r="C107" s="24" t="s">
        <v>68</v>
      </c>
      <c r="D107" s="2" t="s">
        <v>360</v>
      </c>
      <c r="E107" s="25" t="s">
        <v>361</v>
      </c>
      <c r="F107" s="17" t="s">
        <v>510</v>
      </c>
    </row>
    <row r="108" spans="1:6" x14ac:dyDescent="0.2">
      <c r="A108" s="3" t="s">
        <v>511</v>
      </c>
      <c r="B108" s="2" t="s">
        <v>512</v>
      </c>
      <c r="C108" s="24" t="s">
        <v>513</v>
      </c>
      <c r="D108" s="2" t="s">
        <v>360</v>
      </c>
      <c r="E108" s="25" t="s">
        <v>361</v>
      </c>
      <c r="F108" s="17" t="s">
        <v>514</v>
      </c>
    </row>
    <row r="109" spans="1:6" x14ac:dyDescent="0.2">
      <c r="A109" s="3" t="s">
        <v>515</v>
      </c>
      <c r="B109" s="2" t="s">
        <v>516</v>
      </c>
      <c r="C109" s="76">
        <v>8</v>
      </c>
      <c r="D109" s="2" t="s">
        <v>253</v>
      </c>
      <c r="E109" s="21" t="s">
        <v>282</v>
      </c>
      <c r="F109" s="17" t="s">
        <v>517</v>
      </c>
    </row>
    <row r="110" spans="1:6" x14ac:dyDescent="0.2">
      <c r="A110" s="3" t="s">
        <v>518</v>
      </c>
      <c r="B110" s="2" t="s">
        <v>519</v>
      </c>
      <c r="C110" s="24" t="s">
        <v>513</v>
      </c>
      <c r="D110" s="2" t="s">
        <v>360</v>
      </c>
      <c r="E110" s="25" t="s">
        <v>361</v>
      </c>
      <c r="F110" s="17" t="s">
        <v>520</v>
      </c>
    </row>
    <row r="111" spans="1:6" x14ac:dyDescent="0.2">
      <c r="A111" s="3" t="s">
        <v>521</v>
      </c>
      <c r="B111" s="2" t="s">
        <v>522</v>
      </c>
      <c r="C111" s="24" t="s">
        <v>523</v>
      </c>
      <c r="D111" s="2" t="s">
        <v>360</v>
      </c>
      <c r="E111" s="25" t="s">
        <v>361</v>
      </c>
      <c r="F111" s="17" t="s">
        <v>524</v>
      </c>
    </row>
    <row r="112" spans="1:6" x14ac:dyDescent="0.2">
      <c r="A112" s="3" t="s">
        <v>525</v>
      </c>
      <c r="B112" s="2" t="s">
        <v>526</v>
      </c>
      <c r="C112" s="74">
        <v>1</v>
      </c>
      <c r="D112" s="2" t="s">
        <v>305</v>
      </c>
      <c r="E112" s="21" t="s">
        <v>361</v>
      </c>
      <c r="F112" s="17" t="s">
        <v>527</v>
      </c>
    </row>
    <row r="113" spans="1:6" x14ac:dyDescent="0.2">
      <c r="A113" s="6" t="s">
        <v>528</v>
      </c>
    </row>
    <row r="114" spans="1:6" x14ac:dyDescent="0.2">
      <c r="A114" s="3" t="s">
        <v>529</v>
      </c>
      <c r="B114" s="2" t="s">
        <v>530</v>
      </c>
      <c r="C114" s="76">
        <v>2</v>
      </c>
      <c r="D114" s="2" t="s">
        <v>531</v>
      </c>
      <c r="E114" s="21" t="s">
        <v>237</v>
      </c>
      <c r="F114" s="17" t="s">
        <v>532</v>
      </c>
    </row>
    <row r="115" spans="1:6" ht="30" x14ac:dyDescent="0.2">
      <c r="A115" s="3" t="s">
        <v>533</v>
      </c>
      <c r="B115" s="2" t="s">
        <v>534</v>
      </c>
      <c r="C115" s="74">
        <v>2</v>
      </c>
      <c r="D115" s="2" t="s">
        <v>535</v>
      </c>
      <c r="E115" s="21" t="s">
        <v>237</v>
      </c>
      <c r="F115" s="17" t="s">
        <v>536</v>
      </c>
    </row>
    <row r="116" spans="1:6" ht="30" x14ac:dyDescent="0.2">
      <c r="A116" s="3" t="s">
        <v>537</v>
      </c>
      <c r="B116" s="2" t="s">
        <v>538</v>
      </c>
      <c r="C116" s="74">
        <v>2</v>
      </c>
      <c r="D116" s="2" t="s">
        <v>34</v>
      </c>
      <c r="E116" s="21" t="s">
        <v>282</v>
      </c>
      <c r="F116" s="17" t="s">
        <v>539</v>
      </c>
    </row>
    <row r="117" spans="1:6" ht="30" x14ac:dyDescent="0.2">
      <c r="A117" s="3" t="s">
        <v>540</v>
      </c>
      <c r="B117" s="2" t="s">
        <v>541</v>
      </c>
      <c r="C117" s="75">
        <v>0</v>
      </c>
      <c r="D117" s="2" t="s">
        <v>21</v>
      </c>
      <c r="E117" s="21" t="s">
        <v>361</v>
      </c>
      <c r="F117" s="17" t="s">
        <v>542</v>
      </c>
    </row>
    <row r="118" spans="1:6" x14ac:dyDescent="0.2">
      <c r="A118" s="3" t="s">
        <v>543</v>
      </c>
      <c r="B118" s="2" t="s">
        <v>544</v>
      </c>
      <c r="C118" s="76">
        <v>1.8</v>
      </c>
      <c r="D118" s="2" t="s">
        <v>253</v>
      </c>
      <c r="E118" s="21" t="s">
        <v>237</v>
      </c>
      <c r="F118" s="17" t="s">
        <v>545</v>
      </c>
    </row>
    <row r="119" spans="1:6" x14ac:dyDescent="0.2">
      <c r="A119" s="3" t="s">
        <v>546</v>
      </c>
      <c r="B119" s="2" t="s">
        <v>547</v>
      </c>
      <c r="C119" s="77">
        <v>1.7000000000000001E-2</v>
      </c>
      <c r="D119" s="2" t="s">
        <v>258</v>
      </c>
      <c r="E119" s="21" t="s">
        <v>237</v>
      </c>
      <c r="F119" s="17" t="s">
        <v>548</v>
      </c>
    </row>
    <row r="120" spans="1:6" x14ac:dyDescent="0.2">
      <c r="A120" s="3" t="s">
        <v>549</v>
      </c>
      <c r="B120" s="2" t="s">
        <v>550</v>
      </c>
      <c r="C120" s="76">
        <v>0.62</v>
      </c>
      <c r="D120" s="2" t="s">
        <v>253</v>
      </c>
      <c r="E120" s="21" t="s">
        <v>237</v>
      </c>
      <c r="F120" s="17" t="s">
        <v>551</v>
      </c>
    </row>
    <row r="121" spans="1:6" x14ac:dyDescent="0.2">
      <c r="A121" s="3" t="s">
        <v>552</v>
      </c>
      <c r="B121" s="2" t="s">
        <v>553</v>
      </c>
      <c r="C121" s="74">
        <v>20</v>
      </c>
      <c r="D121" s="2" t="s">
        <v>189</v>
      </c>
      <c r="E121" s="21" t="s">
        <v>282</v>
      </c>
      <c r="F121" s="17" t="s">
        <v>554</v>
      </c>
    </row>
    <row r="122" spans="1:6" x14ac:dyDescent="0.2">
      <c r="A122" s="3" t="s">
        <v>555</v>
      </c>
      <c r="B122" s="2" t="s">
        <v>556</v>
      </c>
      <c r="C122" s="76">
        <v>5.73</v>
      </c>
      <c r="D122" s="2" t="s">
        <v>253</v>
      </c>
      <c r="E122" s="21" t="s">
        <v>237</v>
      </c>
      <c r="F122" s="17" t="s">
        <v>557</v>
      </c>
    </row>
    <row r="123" spans="1:6" ht="30" x14ac:dyDescent="0.2">
      <c r="A123" s="3" t="s">
        <v>558</v>
      </c>
      <c r="B123" s="2" t="s">
        <v>559</v>
      </c>
      <c r="C123" s="76">
        <v>100</v>
      </c>
      <c r="D123" s="2" t="s">
        <v>253</v>
      </c>
      <c r="E123" s="21" t="s">
        <v>361</v>
      </c>
      <c r="F123" s="17" t="s">
        <v>560</v>
      </c>
    </row>
    <row r="124" spans="1:6" ht="30" x14ac:dyDescent="0.2">
      <c r="A124" s="3" t="s">
        <v>561</v>
      </c>
      <c r="B124" s="2" t="s">
        <v>562</v>
      </c>
      <c r="C124" s="76">
        <v>6</v>
      </c>
      <c r="D124" s="2" t="s">
        <v>253</v>
      </c>
      <c r="E124" s="21" t="s">
        <v>282</v>
      </c>
      <c r="F124" s="17" t="s">
        <v>563</v>
      </c>
    </row>
    <row r="125" spans="1:6" x14ac:dyDescent="0.2">
      <c r="A125" s="3" t="s">
        <v>564</v>
      </c>
      <c r="B125" s="2" t="s">
        <v>565</v>
      </c>
      <c r="C125" s="24" t="s">
        <v>523</v>
      </c>
      <c r="D125" s="2" t="s">
        <v>360</v>
      </c>
      <c r="E125" s="25" t="s">
        <v>361</v>
      </c>
      <c r="F125" s="17" t="s">
        <v>566</v>
      </c>
    </row>
    <row r="126" spans="1:6" x14ac:dyDescent="0.2">
      <c r="A126" s="3" t="s">
        <v>567</v>
      </c>
      <c r="B126" s="2" t="s">
        <v>568</v>
      </c>
      <c r="C126" s="76">
        <v>150</v>
      </c>
      <c r="D126" s="2" t="s">
        <v>253</v>
      </c>
      <c r="E126" s="21" t="s">
        <v>361</v>
      </c>
      <c r="F126" s="17" t="s">
        <v>569</v>
      </c>
    </row>
    <row r="127" spans="1:6" x14ac:dyDescent="0.2">
      <c r="A127" s="3" t="s">
        <v>570</v>
      </c>
      <c r="B127" s="2" t="s">
        <v>571</v>
      </c>
      <c r="C127" s="76">
        <v>200</v>
      </c>
      <c r="D127" s="2" t="s">
        <v>253</v>
      </c>
      <c r="E127" s="21" t="s">
        <v>361</v>
      </c>
      <c r="F127" s="17" t="s">
        <v>572</v>
      </c>
    </row>
    <row r="128" spans="1:6" x14ac:dyDescent="0.2">
      <c r="A128" s="3" t="s">
        <v>573</v>
      </c>
      <c r="B128" s="2" t="s">
        <v>574</v>
      </c>
      <c r="C128" s="24" t="s">
        <v>68</v>
      </c>
      <c r="D128" s="2" t="s">
        <v>360</v>
      </c>
      <c r="E128" s="25" t="s">
        <v>361</v>
      </c>
      <c r="F128" s="17" t="s">
        <v>575</v>
      </c>
    </row>
  </sheetData>
  <mergeCells count="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30"/>
  <sheetViews>
    <sheetView workbookViewId="0"/>
  </sheetViews>
  <sheetFormatPr baseColWidth="10" defaultColWidth="8.83203125" defaultRowHeight="15" x14ac:dyDescent="0.2"/>
  <cols>
    <col min="1" max="1" width="58" customWidth="1"/>
    <col min="2" max="19" width="8" customWidth="1"/>
  </cols>
  <sheetData>
    <row r="1" spans="1:19" ht="17" x14ac:dyDescent="0.2">
      <c r="A1" s="48" t="s">
        <v>576</v>
      </c>
    </row>
    <row r="2" spans="1:19" x14ac:dyDescent="0.2">
      <c r="A2" s="42" t="s">
        <v>577</v>
      </c>
    </row>
    <row r="4" spans="1:19" x14ac:dyDescent="0.2">
      <c r="A4" s="27" t="s">
        <v>180</v>
      </c>
      <c r="B4" s="27" t="s">
        <v>6</v>
      </c>
      <c r="C4" s="27" t="s">
        <v>162</v>
      </c>
      <c r="D4" s="27" t="s">
        <v>181</v>
      </c>
      <c r="E4" s="27" t="str">
        <f>Volume!E4</f>
        <v>Oct-26</v>
      </c>
      <c r="F4" s="27" t="str">
        <f>Volume!F4</f>
        <v>Nov-26</v>
      </c>
      <c r="G4" s="27" t="str">
        <f>Volume!G4</f>
        <v>Dec-26</v>
      </c>
      <c r="H4" s="27" t="str">
        <f>Volume!H4</f>
        <v>Jan-27</v>
      </c>
      <c r="I4" s="27" t="str">
        <f>Volume!I4</f>
        <v>Feb-27</v>
      </c>
      <c r="J4" s="27" t="str">
        <f>Volume!J4</f>
        <v>Mar-27</v>
      </c>
      <c r="K4" s="27" t="str">
        <f>Volume!K4</f>
        <v>Apr-27</v>
      </c>
      <c r="L4" s="27" t="str">
        <f>Volume!L4</f>
        <v>May-27</v>
      </c>
      <c r="M4" s="27" t="str">
        <f>Volume!M4</f>
        <v>Jun-27</v>
      </c>
      <c r="N4" s="27" t="str">
        <f>Volume!N4</f>
        <v>Jul-27</v>
      </c>
      <c r="O4" s="27" t="str">
        <f>Volume!O4</f>
        <v>Aug-27</v>
      </c>
      <c r="P4" s="27" t="str">
        <f>Volume!P4</f>
        <v>Sep-27</v>
      </c>
      <c r="Q4" s="27" t="str">
        <f>Volume!Q4</f>
        <v>Oct-27</v>
      </c>
      <c r="R4" s="27" t="str">
        <f>Volume!R4</f>
        <v>Nov-27</v>
      </c>
      <c r="S4" s="27" t="str">
        <f>Volume!S4</f>
        <v>Dec-27</v>
      </c>
    </row>
    <row r="5" spans="1:19" x14ac:dyDescent="0.2">
      <c r="A5" s="6" t="s">
        <v>578</v>
      </c>
    </row>
    <row r="6" spans="1:19" x14ac:dyDescent="0.2">
      <c r="A6" s="28" t="s">
        <v>579</v>
      </c>
      <c r="B6" s="3" t="s">
        <v>10</v>
      </c>
      <c r="C6" s="29">
        <f t="shared" ref="C6:C13" si="0">SUM(E6:G6)</f>
        <v>6.0217402683354049</v>
      </c>
      <c r="D6" s="29">
        <f t="shared" ref="D6:D13" si="1">SUM(H6:S6)</f>
        <v>48.390107740740348</v>
      </c>
      <c r="E6" s="78">
        <f>IF(E30&gt;=2,MAX(Inputs!$C$122,Inputs!$C$118+Inputs!$C$119*(Volume!E28+Volume!E26*Inputs!$C$68)+IF((Volume!E28+Volume!E26*Inputs!$C$68)&gt;=Inputs!$C$121,Inputs!$C$120,0)),Inputs!$C$118+Inputs!$C$119*(Volume!E28+Volume!E26*Inputs!$C$68)+IF((Volume!E28+Volume!E26*Inputs!$C$68)&gt;=Inputs!$C$121,Inputs!$C$120,0))</f>
        <v>2.005525623121303</v>
      </c>
      <c r="F6" s="78">
        <f>IF(F30&gt;=2,MAX(Inputs!$C$122,Inputs!$C$118+Inputs!$C$119*(Volume!F28+Volume!F26*Inputs!$C$68)+IF((Volume!F28+Volume!F26*Inputs!$C$68)&gt;=Inputs!$C$121,Inputs!$C$120,0)),Inputs!$C$118+Inputs!$C$119*(Volume!F28+Volume!F26*Inputs!$C$68)+IF((Volume!F28+Volume!F26*Inputs!$C$68)&gt;=Inputs!$C$121,Inputs!$C$120,0))</f>
        <v>2.0072198242141024</v>
      </c>
      <c r="G6" s="78">
        <f>IF(G30&gt;=2,MAX(Inputs!$C$122,Inputs!$C$118+Inputs!$C$119*(Volume!G28+Volume!G26*Inputs!$C$68)+IF((Volume!G28+Volume!G26*Inputs!$C$68)&gt;=Inputs!$C$121,Inputs!$C$120,0)),Inputs!$C$118+Inputs!$C$119*(Volume!G28+Volume!G26*Inputs!$C$68)+IF((Volume!G28+Volume!G26*Inputs!$C$68)&gt;=Inputs!$C$121,Inputs!$C$120,0))</f>
        <v>2.0089948209999999</v>
      </c>
      <c r="H6" s="78">
        <f>IF(H30&gt;=2,MAX(Inputs!$C$122,Inputs!$C$118+Inputs!$C$119*(Volume!H28+Volume!H26*Inputs!$C$68)+IF((Volume!H28+Volume!H26*Inputs!$C$68)&gt;=Inputs!$C$121,Inputs!$C$120,0)),Inputs!$C$118+Inputs!$C$119*(Volume!H28+Volume!H26*Inputs!$C$68)+IF((Volume!H28+Volume!H26*Inputs!$C$68)&gt;=Inputs!$C$121,Inputs!$C$120,0))</f>
        <v>2.0287015265175752</v>
      </c>
      <c r="I6" s="78">
        <f>IF(I30&gt;=2,MAX(Inputs!$C$122,Inputs!$C$118+Inputs!$C$119*(Volume!I28+Volume!I26*Inputs!$C$68)+IF((Volume!I28+Volume!I26*Inputs!$C$68)&gt;=Inputs!$C$121,Inputs!$C$120,0)),Inputs!$C$118+Inputs!$C$119*(Volume!I28+Volume!I26*Inputs!$C$68)+IF((Volume!I28+Volume!I26*Inputs!$C$68)&gt;=Inputs!$C$121,Inputs!$C$120,0))</f>
        <v>2.823234302543645</v>
      </c>
      <c r="J6" s="78">
        <f>IF(J30&gt;=2,MAX(Inputs!$C$122,Inputs!$C$118+Inputs!$C$119*(Volume!J28+Volume!J26*Inputs!$C$68)+IF((Volume!J28+Volume!J26*Inputs!$C$68)&gt;=Inputs!$C$121,Inputs!$C$120,0)),Inputs!$C$118+Inputs!$C$119*(Volume!J28+Volume!J26*Inputs!$C$68)+IF((Volume!J28+Volume!J26*Inputs!$C$68)&gt;=Inputs!$C$121,Inputs!$C$120,0))</f>
        <v>2.8281170875000003</v>
      </c>
      <c r="K6" s="78">
        <f>IF(K30&gt;=2,MAX(Inputs!$C$122,Inputs!$C$118+Inputs!$C$119*(Volume!K28+Volume!K26*Inputs!$C$68)+IF((Volume!K28+Volume!K26*Inputs!$C$68)&gt;=Inputs!$C$121,Inputs!$C$120,0)),Inputs!$C$118+Inputs!$C$119*(Volume!K28+Volume!K26*Inputs!$C$68)+IF((Volume!K28+Volume!K26*Inputs!$C$68)&gt;=Inputs!$C$121,Inputs!$C$120,0))</f>
        <v>2.9357238921415352</v>
      </c>
      <c r="L6" s="78">
        <f>IF(L30&gt;=2,MAX(Inputs!$C$122,Inputs!$C$118+Inputs!$C$119*(Volume!L28+Volume!L26*Inputs!$C$68)+IF((Volume!L28+Volume!L26*Inputs!$C$68)&gt;=Inputs!$C$121,Inputs!$C$120,0)),Inputs!$C$118+Inputs!$C$119*(Volume!L28+Volume!L26*Inputs!$C$68)+IF((Volume!L28+Volume!L26*Inputs!$C$68)&gt;=Inputs!$C$121,Inputs!$C$120,0))</f>
        <v>2.9449630522228611</v>
      </c>
      <c r="M6" s="78">
        <f>IF(M30&gt;=2,MAX(Inputs!$C$122,Inputs!$C$118+Inputs!$C$119*(Volume!M28+Volume!M26*Inputs!$C$68)+IF((Volume!M28+Volume!M26*Inputs!$C$68)&gt;=Inputs!$C$121,Inputs!$C$120,0)),Inputs!$C$118+Inputs!$C$119*(Volume!M28+Volume!M26*Inputs!$C$68)+IF((Volume!M28+Volume!M26*Inputs!$C$68)&gt;=Inputs!$C$121,Inputs!$C$120,0))</f>
        <v>2.9549946277777779</v>
      </c>
      <c r="N6" s="78">
        <f>IF(N30&gt;=2,MAX(Inputs!$C$122,Inputs!$C$118+Inputs!$C$119*(Volume!N28+Volume!N26*Inputs!$C$68)+IF((Volume!N28+Volume!N26*Inputs!$C$68)&gt;=Inputs!$C$121,Inputs!$C$120,0)),Inputs!$C$118+Inputs!$C$119*(Volume!N28+Volume!N26*Inputs!$C$68)+IF((Volume!N28+Volume!N26*Inputs!$C$68)&gt;=Inputs!$C$121,Inputs!$C$120,0))</f>
        <v>3.2243732520369477</v>
      </c>
      <c r="O6" s="78">
        <f>IF(O30&gt;=2,MAX(Inputs!$C$122,Inputs!$C$118+Inputs!$C$119*(Volume!O28+Volume!O26*Inputs!$C$68)+IF((Volume!O28+Volume!O26*Inputs!$C$68)&gt;=Inputs!$C$121,Inputs!$C$120,0)),Inputs!$C$118+Inputs!$C$119*(Volume!O28+Volume!O26*Inputs!$C$68)+IF((Volume!O28+Volume!O26*Inputs!$C$68)&gt;=Inputs!$C$121,Inputs!$C$120,0))</f>
        <v>5.73</v>
      </c>
      <c r="P6" s="78">
        <f>IF(P30&gt;=2,MAX(Inputs!$C$122,Inputs!$C$118+Inputs!$C$119*(Volume!P28+Volume!P26*Inputs!$C$68)+IF((Volume!P28+Volume!P26*Inputs!$C$68)&gt;=Inputs!$C$121,Inputs!$C$120,0)),Inputs!$C$118+Inputs!$C$119*(Volume!P28+Volume!P26*Inputs!$C$68)+IF((Volume!P28+Volume!P26*Inputs!$C$68)&gt;=Inputs!$C$121,Inputs!$C$120,0))</f>
        <v>5.73</v>
      </c>
      <c r="Q6" s="78">
        <f>IF(Q30&gt;=2,MAX(Inputs!$C$122,Inputs!$C$118+Inputs!$C$119*(Volume!Q28+Volume!Q26*Inputs!$C$68)+IF((Volume!Q28+Volume!Q26*Inputs!$C$68)&gt;=Inputs!$C$121,Inputs!$C$120,0)),Inputs!$C$118+Inputs!$C$119*(Volume!Q28+Volume!Q26*Inputs!$C$68)+IF((Volume!Q28+Volume!Q26*Inputs!$C$68)&gt;=Inputs!$C$121,Inputs!$C$120,0))</f>
        <v>5.73</v>
      </c>
      <c r="R6" s="78">
        <f>IF(R30&gt;=2,MAX(Inputs!$C$122,Inputs!$C$118+Inputs!$C$119*(Volume!R28+Volume!R26*Inputs!$C$68)+IF((Volume!R28+Volume!R26*Inputs!$C$68)&gt;=Inputs!$C$121,Inputs!$C$120,0)),Inputs!$C$118+Inputs!$C$119*(Volume!R28+Volume!R26*Inputs!$C$68)+IF((Volume!R28+Volume!R26*Inputs!$C$68)&gt;=Inputs!$C$121,Inputs!$C$120,0))</f>
        <v>5.73</v>
      </c>
      <c r="S6" s="78">
        <f>IF(S30&gt;=2,MAX(Inputs!$C$122,Inputs!$C$118+Inputs!$C$119*(Volume!S28+Volume!S26*Inputs!$C$68)+IF((Volume!S28+Volume!S26*Inputs!$C$68)&gt;=Inputs!$C$121,Inputs!$C$120,0)),Inputs!$C$118+Inputs!$C$119*(Volume!S28+Volume!S26*Inputs!$C$68)+IF((Volume!S28+Volume!S26*Inputs!$C$68)&gt;=Inputs!$C$121,Inputs!$C$120,0))</f>
        <v>5.73</v>
      </c>
    </row>
    <row r="7" spans="1:19" x14ac:dyDescent="0.2">
      <c r="A7" s="28" t="s">
        <v>580</v>
      </c>
      <c r="B7" s="3" t="s">
        <v>10</v>
      </c>
      <c r="C7" s="29">
        <f t="shared" si="0"/>
        <v>4.5</v>
      </c>
      <c r="D7" s="29">
        <f t="shared" si="1"/>
        <v>38.730000000000004</v>
      </c>
      <c r="E7" s="78">
        <f>CHOOSE(E30+1,1.5,3,4.5,Inputs!$C$122)</f>
        <v>1.5</v>
      </c>
      <c r="F7" s="78">
        <f>CHOOSE(F30+1,1.5,3,4.5,Inputs!$C$122)</f>
        <v>1.5</v>
      </c>
      <c r="G7" s="78">
        <f>CHOOSE(G30+1,1.5,3,4.5,Inputs!$C$122)</f>
        <v>1.5</v>
      </c>
      <c r="H7" s="78">
        <f>CHOOSE(H30+1,1.5,3,4.5,Inputs!$C$122)</f>
        <v>1.5</v>
      </c>
      <c r="I7" s="78">
        <f>CHOOSE(I30+1,1.5,3,4.5,Inputs!$C$122)</f>
        <v>1.5</v>
      </c>
      <c r="J7" s="78">
        <f>CHOOSE(J30+1,1.5,3,4.5,Inputs!$C$122)</f>
        <v>1.5</v>
      </c>
      <c r="K7" s="78">
        <f>CHOOSE(K30+1,1.5,3,4.5,Inputs!$C$122)</f>
        <v>1.5</v>
      </c>
      <c r="L7" s="78">
        <f>CHOOSE(L30+1,1.5,3,4.5,Inputs!$C$122)</f>
        <v>3</v>
      </c>
      <c r="M7" s="78">
        <f>CHOOSE(M30+1,1.5,3,4.5,Inputs!$C$122)</f>
        <v>3</v>
      </c>
      <c r="N7" s="78">
        <f>CHOOSE(N30+1,1.5,3,4.5,Inputs!$C$122)</f>
        <v>3</v>
      </c>
      <c r="O7" s="78">
        <f>CHOOSE(O30+1,1.5,3,4.5,Inputs!$C$122)</f>
        <v>4.5</v>
      </c>
      <c r="P7" s="78">
        <f>CHOOSE(P30+1,1.5,3,4.5,Inputs!$C$122)</f>
        <v>4.5</v>
      </c>
      <c r="Q7" s="78">
        <f>CHOOSE(Q30+1,1.5,3,4.5,Inputs!$C$122)</f>
        <v>4.5</v>
      </c>
      <c r="R7" s="78">
        <f>CHOOSE(R30+1,1.5,3,4.5,Inputs!$C$122)</f>
        <v>4.5</v>
      </c>
      <c r="S7" s="78">
        <f>CHOOSE(S30+1,1.5,3,4.5,Inputs!$C$122)</f>
        <v>5.73</v>
      </c>
    </row>
    <row r="8" spans="1:19" x14ac:dyDescent="0.2">
      <c r="A8" s="28" t="s">
        <v>581</v>
      </c>
      <c r="B8" s="3" t="s">
        <v>10</v>
      </c>
      <c r="C8" s="29">
        <f t="shared" si="0"/>
        <v>7.5</v>
      </c>
      <c r="D8" s="29">
        <f t="shared" si="1"/>
        <v>42</v>
      </c>
      <c r="E8" s="78">
        <f t="shared" ref="E8:S8" si="2">IF(E30&gt;=1,4,2.5)</f>
        <v>2.5</v>
      </c>
      <c r="F8" s="78">
        <f t="shared" si="2"/>
        <v>2.5</v>
      </c>
      <c r="G8" s="78">
        <f t="shared" si="2"/>
        <v>2.5</v>
      </c>
      <c r="H8" s="78">
        <f t="shared" si="2"/>
        <v>2.5</v>
      </c>
      <c r="I8" s="78">
        <f t="shared" si="2"/>
        <v>2.5</v>
      </c>
      <c r="J8" s="78">
        <f t="shared" si="2"/>
        <v>2.5</v>
      </c>
      <c r="K8" s="78">
        <f t="shared" si="2"/>
        <v>2.5</v>
      </c>
      <c r="L8" s="78">
        <f t="shared" si="2"/>
        <v>4</v>
      </c>
      <c r="M8" s="78">
        <f t="shared" si="2"/>
        <v>4</v>
      </c>
      <c r="N8" s="78">
        <f t="shared" si="2"/>
        <v>4</v>
      </c>
      <c r="O8" s="78">
        <f t="shared" si="2"/>
        <v>4</v>
      </c>
      <c r="P8" s="78">
        <f t="shared" si="2"/>
        <v>4</v>
      </c>
      <c r="Q8" s="78">
        <f t="shared" si="2"/>
        <v>4</v>
      </c>
      <c r="R8" s="78">
        <f t="shared" si="2"/>
        <v>4</v>
      </c>
      <c r="S8" s="78">
        <f t="shared" si="2"/>
        <v>4</v>
      </c>
    </row>
    <row r="9" spans="1:19" x14ac:dyDescent="0.2">
      <c r="A9" s="28" t="s">
        <v>582</v>
      </c>
      <c r="B9" s="3" t="s">
        <v>10</v>
      </c>
      <c r="C9" s="29">
        <f t="shared" si="0"/>
        <v>6.8999999999999995</v>
      </c>
      <c r="D9" s="29">
        <f t="shared" si="1"/>
        <v>55.20000000000001</v>
      </c>
      <c r="E9" s="79">
        <v>2.2999999999999998</v>
      </c>
      <c r="F9" s="79">
        <v>2.2999999999999998</v>
      </c>
      <c r="G9" s="79">
        <v>2.2999999999999998</v>
      </c>
      <c r="H9" s="79">
        <v>4.5999999999999996</v>
      </c>
      <c r="I9" s="79">
        <v>4.5999999999999996</v>
      </c>
      <c r="J9" s="79">
        <v>4.5999999999999996</v>
      </c>
      <c r="K9" s="79">
        <v>4.5999999999999996</v>
      </c>
      <c r="L9" s="79">
        <v>4.5999999999999996</v>
      </c>
      <c r="M9" s="79">
        <v>4.5999999999999996</v>
      </c>
      <c r="N9" s="79">
        <v>4.5999999999999996</v>
      </c>
      <c r="O9" s="79">
        <v>4.5999999999999996</v>
      </c>
      <c r="P9" s="79">
        <v>4.5999999999999996</v>
      </c>
      <c r="Q9" s="79">
        <v>4.5999999999999996</v>
      </c>
      <c r="R9" s="79">
        <v>4.5999999999999996</v>
      </c>
      <c r="S9" s="79">
        <v>4.5999999999999996</v>
      </c>
    </row>
    <row r="10" spans="1:19" x14ac:dyDescent="0.2">
      <c r="A10" s="28" t="s">
        <v>583</v>
      </c>
      <c r="B10" s="3" t="s">
        <v>10</v>
      </c>
      <c r="C10" s="29">
        <f t="shared" si="0"/>
        <v>6</v>
      </c>
      <c r="D10" s="29">
        <f t="shared" si="1"/>
        <v>24</v>
      </c>
      <c r="E10" s="79">
        <v>2</v>
      </c>
      <c r="F10" s="79">
        <v>2</v>
      </c>
      <c r="G10" s="79">
        <v>2</v>
      </c>
      <c r="H10" s="79">
        <v>2</v>
      </c>
      <c r="I10" s="79">
        <v>2</v>
      </c>
      <c r="J10" s="79">
        <v>2</v>
      </c>
      <c r="K10" s="79">
        <v>2</v>
      </c>
      <c r="L10" s="79">
        <v>2</v>
      </c>
      <c r="M10" s="79">
        <v>2</v>
      </c>
      <c r="N10" s="79">
        <v>2</v>
      </c>
      <c r="O10" s="79">
        <v>2</v>
      </c>
      <c r="P10" s="79">
        <v>2</v>
      </c>
      <c r="Q10" s="79">
        <v>2</v>
      </c>
      <c r="R10" s="79">
        <v>2</v>
      </c>
      <c r="S10" s="79">
        <v>2</v>
      </c>
    </row>
    <row r="11" spans="1:19" x14ac:dyDescent="0.2">
      <c r="A11" s="28" t="s">
        <v>584</v>
      </c>
      <c r="B11" s="3" t="s">
        <v>10</v>
      </c>
      <c r="C11" s="29">
        <f t="shared" si="0"/>
        <v>30</v>
      </c>
      <c r="D11" s="29">
        <f t="shared" si="1"/>
        <v>270</v>
      </c>
      <c r="E11" s="79">
        <v>10</v>
      </c>
      <c r="F11" s="79">
        <v>10</v>
      </c>
      <c r="G11" s="79">
        <v>10</v>
      </c>
      <c r="H11" s="79">
        <v>10</v>
      </c>
      <c r="I11" s="79">
        <v>10</v>
      </c>
      <c r="J11" s="79">
        <v>25</v>
      </c>
      <c r="K11" s="79">
        <v>25</v>
      </c>
      <c r="L11" s="79">
        <v>25</v>
      </c>
      <c r="M11" s="79">
        <v>25</v>
      </c>
      <c r="N11" s="79">
        <v>25</v>
      </c>
      <c r="O11" s="79">
        <v>25</v>
      </c>
      <c r="P11" s="79">
        <v>25</v>
      </c>
      <c r="Q11" s="79">
        <v>25</v>
      </c>
      <c r="R11" s="79">
        <v>25</v>
      </c>
      <c r="S11" s="79">
        <v>25</v>
      </c>
    </row>
    <row r="12" spans="1:19" x14ac:dyDescent="0.2">
      <c r="A12" s="28" t="s">
        <v>585</v>
      </c>
      <c r="B12" s="3" t="s">
        <v>10</v>
      </c>
      <c r="C12" s="29">
        <f t="shared" si="0"/>
        <v>0</v>
      </c>
      <c r="D12" s="29">
        <f t="shared" si="1"/>
        <v>42</v>
      </c>
      <c r="E12" s="79">
        <v>0</v>
      </c>
      <c r="F12" s="79">
        <v>0</v>
      </c>
      <c r="G12" s="79">
        <v>0</v>
      </c>
      <c r="H12" s="79">
        <v>3.5</v>
      </c>
      <c r="I12" s="79">
        <v>3.5</v>
      </c>
      <c r="J12" s="79">
        <v>3.5</v>
      </c>
      <c r="K12" s="79">
        <v>3.5</v>
      </c>
      <c r="L12" s="79">
        <v>3.5</v>
      </c>
      <c r="M12" s="79">
        <v>3.5</v>
      </c>
      <c r="N12" s="79">
        <v>3.5</v>
      </c>
      <c r="O12" s="79">
        <v>3.5</v>
      </c>
      <c r="P12" s="79">
        <v>3.5</v>
      </c>
      <c r="Q12" s="79">
        <v>3.5</v>
      </c>
      <c r="R12" s="79">
        <v>3.5</v>
      </c>
      <c r="S12" s="79">
        <v>3.5</v>
      </c>
    </row>
    <row r="13" spans="1:19" x14ac:dyDescent="0.2">
      <c r="A13" s="28" t="s">
        <v>586</v>
      </c>
      <c r="B13" s="3" t="s">
        <v>10</v>
      </c>
      <c r="C13" s="29">
        <f t="shared" si="0"/>
        <v>0</v>
      </c>
      <c r="D13" s="29">
        <f t="shared" si="1"/>
        <v>18</v>
      </c>
      <c r="E13" s="78">
        <f>IF(Volume!E6&gt;=IFERROR(MATCH(Inputs!$C$125,Volume!$E$4:$S$4,0),99),Inputs!$C$124,0)</f>
        <v>0</v>
      </c>
      <c r="F13" s="78">
        <f>IF(Volume!F6&gt;=IFERROR(MATCH(Inputs!$C$125,Volume!$E$4:$S$4,0),99),Inputs!$C$124,0)</f>
        <v>0</v>
      </c>
      <c r="G13" s="78">
        <f>IF(Volume!G6&gt;=IFERROR(MATCH(Inputs!$C$125,Volume!$E$4:$S$4,0),99),Inputs!$C$124,0)</f>
        <v>0</v>
      </c>
      <c r="H13" s="78">
        <f>IF(Volume!H6&gt;=IFERROR(MATCH(Inputs!$C$125,Volume!$E$4:$S$4,0),99),Inputs!$C$124,0)</f>
        <v>0</v>
      </c>
      <c r="I13" s="78">
        <f>IF(Volume!I6&gt;=IFERROR(MATCH(Inputs!$C$125,Volume!$E$4:$S$4,0),99),Inputs!$C$124,0)</f>
        <v>0</v>
      </c>
      <c r="J13" s="78">
        <f>IF(Volume!J6&gt;=IFERROR(MATCH(Inputs!$C$125,Volume!$E$4:$S$4,0),99),Inputs!$C$124,0)</f>
        <v>0</v>
      </c>
      <c r="K13" s="78">
        <f>IF(Volume!K6&gt;=IFERROR(MATCH(Inputs!$C$125,Volume!$E$4:$S$4,0),99),Inputs!$C$124,0)</f>
        <v>0</v>
      </c>
      <c r="L13" s="78">
        <f>IF(Volume!L6&gt;=IFERROR(MATCH(Inputs!$C$125,Volume!$E$4:$S$4,0),99),Inputs!$C$124,0)</f>
        <v>0</v>
      </c>
      <c r="M13" s="78">
        <f>IF(Volume!M6&gt;=IFERROR(MATCH(Inputs!$C$125,Volume!$E$4:$S$4,0),99),Inputs!$C$124,0)</f>
        <v>0</v>
      </c>
      <c r="N13" s="78">
        <f>IF(Volume!N6&gt;=IFERROR(MATCH(Inputs!$C$125,Volume!$E$4:$S$4,0),99),Inputs!$C$124,0)</f>
        <v>0</v>
      </c>
      <c r="O13" s="78">
        <f>IF(Volume!O6&gt;=IFERROR(MATCH(Inputs!$C$125,Volume!$E$4:$S$4,0),99),Inputs!$C$124,0)</f>
        <v>0</v>
      </c>
      <c r="P13" s="78">
        <f>IF(Volume!P6&gt;=IFERROR(MATCH(Inputs!$C$125,Volume!$E$4:$S$4,0),99),Inputs!$C$124,0)</f>
        <v>0</v>
      </c>
      <c r="Q13" s="78">
        <f>IF(Volume!Q6&gt;=IFERROR(MATCH(Inputs!$C$125,Volume!$E$4:$S$4,0),99),Inputs!$C$124,0)</f>
        <v>6</v>
      </c>
      <c r="R13" s="78">
        <f>IF(Volume!R6&gt;=IFERROR(MATCH(Inputs!$C$125,Volume!$E$4:$S$4,0),99),Inputs!$C$124,0)</f>
        <v>6</v>
      </c>
      <c r="S13" s="78">
        <f>IF(Volume!S6&gt;=IFERROR(MATCH(Inputs!$C$125,Volume!$E$4:$S$4,0),99),Inputs!$C$124,0)</f>
        <v>6</v>
      </c>
    </row>
    <row r="14" spans="1:19" x14ac:dyDescent="0.2">
      <c r="A14" s="28" t="s">
        <v>587</v>
      </c>
      <c r="B14" s="3" t="s">
        <v>216</v>
      </c>
      <c r="C14" s="29">
        <f>MAX(E14:G14)</f>
        <v>0</v>
      </c>
      <c r="D14" s="29">
        <f>MAX(H14:S14)</f>
        <v>1</v>
      </c>
      <c r="E14" s="80">
        <v>0</v>
      </c>
      <c r="F14" s="80">
        <v>0</v>
      </c>
      <c r="G14" s="80">
        <v>0</v>
      </c>
      <c r="H14" s="80">
        <v>1</v>
      </c>
      <c r="I14" s="80">
        <v>1</v>
      </c>
      <c r="J14" s="80">
        <v>1</v>
      </c>
      <c r="K14" s="80">
        <v>1</v>
      </c>
      <c r="L14" s="80">
        <v>1</v>
      </c>
      <c r="M14" s="80">
        <v>1</v>
      </c>
      <c r="N14" s="80">
        <v>1</v>
      </c>
      <c r="O14" s="80">
        <v>1</v>
      </c>
      <c r="P14" s="80">
        <v>1</v>
      </c>
      <c r="Q14" s="80">
        <v>1</v>
      </c>
      <c r="R14" s="80">
        <v>1</v>
      </c>
      <c r="S14" s="80">
        <v>1</v>
      </c>
    </row>
    <row r="15" spans="1:19" x14ac:dyDescent="0.2">
      <c r="A15" s="11" t="s">
        <v>588</v>
      </c>
      <c r="B15" t="s">
        <v>10</v>
      </c>
      <c r="C15">
        <f>SUM(E15:G15)</f>
        <v>30.921740268335402</v>
      </c>
      <c r="D15">
        <f>SUM(H15:S15)</f>
        <v>262.73772713407357</v>
      </c>
      <c r="E15" s="81">
        <f>(E6+E7+E8+E9+E13)*(1+Inputs!$C$106*E14)+E10</f>
        <v>10.305525623121301</v>
      </c>
      <c r="F15" s="81">
        <f>(F6+F7+F8+F9+F13)*(1+Inputs!$C$106*F14)+F10</f>
        <v>10.307219824214101</v>
      </c>
      <c r="G15" s="81">
        <f>(G6+G7+G8+G9+G13)*(1+Inputs!$C$106*G14)+G10</f>
        <v>10.308994820999999</v>
      </c>
      <c r="H15" s="81">
        <f>(H6+H7+H8+H9+H13)*(1+Inputs!$C$106*H14)+H10</f>
        <v>14.541867801290737</v>
      </c>
      <c r="I15" s="81">
        <f>(I6+I7+I8+I9+I13)*(1+Inputs!$C$106*I14)+I10</f>
        <v>15.4794164770015</v>
      </c>
      <c r="J15" s="81">
        <f>(J6+J7+J8+J9+J13)*(1+Inputs!$C$106*J14)+J10</f>
        <v>15.48517816325</v>
      </c>
      <c r="K15" s="81">
        <f>(K6+K7+K8+K9+K13)*(1+Inputs!$C$106*K14)+K10</f>
        <v>15.61215419272701</v>
      </c>
      <c r="L15" s="81">
        <f>(L6+L7+L8+L9+L13)*(1+Inputs!$C$106*L14)+L10</f>
        <v>19.163056401622974</v>
      </c>
      <c r="M15" s="81">
        <f>(M6+M7+M8+M9+M13)*(1+Inputs!$C$106*M14)+M10</f>
        <v>19.174893660777776</v>
      </c>
      <c r="N15" s="81">
        <f>(N6+N7+N8+N9+N13)*(1+Inputs!$C$106*N14)+N10</f>
        <v>19.492760437403597</v>
      </c>
      <c r="O15" s="81">
        <f>(O6+O7+O8+O9+O13)*(1+Inputs!$C$106*O14)+O10</f>
        <v>24.219399999999997</v>
      </c>
      <c r="P15" s="81">
        <f>(P6+P7+P8+P9+P13)*(1+Inputs!$C$106*P14)+P10</f>
        <v>24.219399999999997</v>
      </c>
      <c r="Q15" s="81">
        <f>(Q6+Q7+Q8+Q9+Q13)*(1+Inputs!$C$106*Q14)+Q10</f>
        <v>31.299399999999995</v>
      </c>
      <c r="R15" s="81">
        <f>(R6+R7+R8+R9+R13)*(1+Inputs!$C$106*R14)+R10</f>
        <v>31.299399999999995</v>
      </c>
      <c r="S15" s="81">
        <f>(S6+S7+S8+S9+S13)*(1+Inputs!$C$106*S14)+S10</f>
        <v>32.750799999999998</v>
      </c>
    </row>
    <row r="16" spans="1:19" x14ac:dyDescent="0.2">
      <c r="A16" s="11" t="s">
        <v>589</v>
      </c>
      <c r="B16" t="s">
        <v>10</v>
      </c>
      <c r="C16">
        <f>SUM(E16:G16)</f>
        <v>60.921740268335398</v>
      </c>
      <c r="D16">
        <f>SUM(H16:S16)</f>
        <v>574.73772713407357</v>
      </c>
      <c r="E16" s="81">
        <f t="shared" ref="E16:S16" si="3">E15+E11+E12</f>
        <v>20.305525623121301</v>
      </c>
      <c r="F16" s="81">
        <f t="shared" si="3"/>
        <v>20.307219824214101</v>
      </c>
      <c r="G16" s="81">
        <f t="shared" si="3"/>
        <v>20.308994820999999</v>
      </c>
      <c r="H16" s="81">
        <f t="shared" si="3"/>
        <v>28.041867801290735</v>
      </c>
      <c r="I16" s="81">
        <f t="shared" si="3"/>
        <v>28.9794164770015</v>
      </c>
      <c r="J16" s="81">
        <f t="shared" si="3"/>
        <v>43.985178163249998</v>
      </c>
      <c r="K16" s="81">
        <f t="shared" si="3"/>
        <v>44.112154192727012</v>
      </c>
      <c r="L16" s="81">
        <f t="shared" si="3"/>
        <v>47.663056401622974</v>
      </c>
      <c r="M16" s="81">
        <f t="shared" si="3"/>
        <v>47.674893660777776</v>
      </c>
      <c r="N16" s="81">
        <f t="shared" si="3"/>
        <v>47.992760437403597</v>
      </c>
      <c r="O16" s="81">
        <f t="shared" si="3"/>
        <v>52.719399999999993</v>
      </c>
      <c r="P16" s="81">
        <f t="shared" si="3"/>
        <v>52.719399999999993</v>
      </c>
      <c r="Q16" s="81">
        <f t="shared" si="3"/>
        <v>59.799399999999991</v>
      </c>
      <c r="R16" s="81">
        <f t="shared" si="3"/>
        <v>59.799399999999991</v>
      </c>
      <c r="S16" s="81">
        <f t="shared" si="3"/>
        <v>61.250799999999998</v>
      </c>
    </row>
    <row r="18" spans="1:19" x14ac:dyDescent="0.2">
      <c r="A18" s="6" t="s">
        <v>590</v>
      </c>
    </row>
    <row r="19" spans="1:19" x14ac:dyDescent="0.2">
      <c r="A19" s="28" t="s">
        <v>591</v>
      </c>
      <c r="B19" t="s">
        <v>10</v>
      </c>
      <c r="C19">
        <f t="shared" ref="C19:C25" si="4">SUM(E19:G19)</f>
        <v>30</v>
      </c>
      <c r="D19">
        <f t="shared" ref="D19:D25" si="5">SUM(H19:S19)</f>
        <v>270</v>
      </c>
      <c r="E19" s="71">
        <f>Capacity_OPEX!E26</f>
        <v>10</v>
      </c>
      <c r="F19" s="71">
        <f>Capacity_OPEX!F26</f>
        <v>10</v>
      </c>
      <c r="G19" s="71">
        <f>Capacity_OPEX!G26</f>
        <v>10</v>
      </c>
      <c r="H19" s="71">
        <f>Capacity_OPEX!H26</f>
        <v>10</v>
      </c>
      <c r="I19" s="71">
        <f>Capacity_OPEX!I26</f>
        <v>10</v>
      </c>
      <c r="J19" s="71">
        <f>Capacity_OPEX!J26</f>
        <v>25</v>
      </c>
      <c r="K19" s="71">
        <f>Capacity_OPEX!K26</f>
        <v>25</v>
      </c>
      <c r="L19" s="71">
        <f>Capacity_OPEX!L26</f>
        <v>25</v>
      </c>
      <c r="M19" s="71">
        <f>Capacity_OPEX!M26</f>
        <v>25</v>
      </c>
      <c r="N19" s="71">
        <f>Capacity_OPEX!N26</f>
        <v>25</v>
      </c>
      <c r="O19" s="71">
        <f>Capacity_OPEX!O26</f>
        <v>25</v>
      </c>
      <c r="P19" s="71">
        <f>Capacity_OPEX!P26</f>
        <v>25</v>
      </c>
      <c r="Q19" s="71">
        <f>Capacity_OPEX!Q26</f>
        <v>25</v>
      </c>
      <c r="R19" s="71">
        <f>Capacity_OPEX!R26</f>
        <v>25</v>
      </c>
      <c r="S19" s="71">
        <f>Capacity_OPEX!S26</f>
        <v>25</v>
      </c>
    </row>
    <row r="20" spans="1:19" x14ac:dyDescent="0.2">
      <c r="A20" s="28" t="s">
        <v>592</v>
      </c>
      <c r="B20" t="s">
        <v>10</v>
      </c>
      <c r="C20">
        <f t="shared" si="4"/>
        <v>30.921740268335402</v>
      </c>
      <c r="D20">
        <f t="shared" si="5"/>
        <v>262.73772713407357</v>
      </c>
      <c r="E20" s="71">
        <f>Capacity_OPEX!E22+Capacity_OPEX!E37</f>
        <v>10.305525623121301</v>
      </c>
      <c r="F20" s="71">
        <f>Capacity_OPEX!F22+Capacity_OPEX!F37</f>
        <v>10.307219824214101</v>
      </c>
      <c r="G20" s="71">
        <f>Capacity_OPEX!G22+Capacity_OPEX!G37</f>
        <v>10.308994820999999</v>
      </c>
      <c r="H20" s="71">
        <f>Capacity_OPEX!H22+Capacity_OPEX!H37</f>
        <v>14.541867801290737</v>
      </c>
      <c r="I20" s="71">
        <f>Capacity_OPEX!I22+Capacity_OPEX!I37</f>
        <v>15.4794164770015</v>
      </c>
      <c r="J20" s="71">
        <f>Capacity_OPEX!J22+Capacity_OPEX!J37</f>
        <v>15.48517816325</v>
      </c>
      <c r="K20" s="71">
        <f>Capacity_OPEX!K22+Capacity_OPEX!K37</f>
        <v>15.61215419272701</v>
      </c>
      <c r="L20" s="71">
        <f>Capacity_OPEX!L22+Capacity_OPEX!L37</f>
        <v>19.163056401622974</v>
      </c>
      <c r="M20" s="71">
        <f>Capacity_OPEX!M22+Capacity_OPEX!M37</f>
        <v>19.174893660777776</v>
      </c>
      <c r="N20" s="71">
        <f>Capacity_OPEX!N22+Capacity_OPEX!N37</f>
        <v>19.492760437403597</v>
      </c>
      <c r="O20" s="71">
        <f>Capacity_OPEX!O22+Capacity_OPEX!O37</f>
        <v>24.219399999999997</v>
      </c>
      <c r="P20" s="71">
        <f>Capacity_OPEX!P22+Capacity_OPEX!P37</f>
        <v>24.219399999999997</v>
      </c>
      <c r="Q20" s="71">
        <f>Capacity_OPEX!Q22+Capacity_OPEX!Q37</f>
        <v>31.299399999999995</v>
      </c>
      <c r="R20" s="71">
        <f>Capacity_OPEX!R22+Capacity_OPEX!R37</f>
        <v>31.299399999999995</v>
      </c>
      <c r="S20" s="71">
        <f>Capacity_OPEX!S22+Capacity_OPEX!S37</f>
        <v>32.750799999999998</v>
      </c>
    </row>
    <row r="21" spans="1:19" x14ac:dyDescent="0.2">
      <c r="A21" s="28" t="s">
        <v>593</v>
      </c>
      <c r="B21" t="s">
        <v>10</v>
      </c>
      <c r="C21">
        <f t="shared" si="4"/>
        <v>6.2397500000000106</v>
      </c>
      <c r="D21">
        <f t="shared" si="5"/>
        <v>69.587941410233171</v>
      </c>
      <c r="E21" s="71">
        <f>Capacity_OPEX!E23+Capacity_OPEX!E38</f>
        <v>2.0799166666666702</v>
      </c>
      <c r="F21" s="71">
        <f>Capacity_OPEX!F23+Capacity_OPEX!F38</f>
        <v>2.0799166666666702</v>
      </c>
      <c r="G21" s="71">
        <f>Capacity_OPEX!G23+Capacity_OPEX!G38</f>
        <v>2.0799166666666702</v>
      </c>
      <c r="H21" s="71">
        <f>Capacity_OPEX!H23+Capacity_OPEX!H38</f>
        <v>5.6113078573177795</v>
      </c>
      <c r="I21" s="71">
        <f>Capacity_OPEX!I23+Capacity_OPEX!I38</f>
        <v>5.6137318017167477</v>
      </c>
      <c r="J21" s="71">
        <f>Capacity_OPEX!J23+Capacity_OPEX!J38</f>
        <v>5.6163429166666701</v>
      </c>
      <c r="K21" s="71">
        <f>Capacity_OPEX!K23+Capacity_OPEX!K38</f>
        <v>5.6813038592704679</v>
      </c>
      <c r="L21" s="71">
        <f>Capacity_OPEX!L23+Capacity_OPEX!L38</f>
        <v>5.68999953934701</v>
      </c>
      <c r="M21" s="71">
        <f>Capacity_OPEX!M23+Capacity_OPEX!M38</f>
        <v>5.699441022222226</v>
      </c>
      <c r="N21" s="71">
        <f>Capacity_OPEX!N23+Capacity_OPEX!N38</f>
        <v>5.8224039591502166</v>
      </c>
      <c r="O21" s="71">
        <f>Capacity_OPEX!O23+Capacity_OPEX!O38</f>
        <v>5.8432013780737666</v>
      </c>
      <c r="P21" s="71">
        <f>Capacity_OPEX!P23+Capacity_OPEX!P38</f>
        <v>5.865782530196082</v>
      </c>
      <c r="Q21" s="71">
        <f>Capacity_OPEX!Q23+Capacity_OPEX!Q38</f>
        <v>6.0149980839032233</v>
      </c>
      <c r="R21" s="71">
        <f>Capacity_OPEX!R23+Capacity_OPEX!R38</f>
        <v>6.0473407621023174</v>
      </c>
      <c r="S21" s="71">
        <f>Capacity_OPEX!S23+Capacity_OPEX!S38</f>
        <v>6.08208770026667</v>
      </c>
    </row>
    <row r="22" spans="1:19" x14ac:dyDescent="0.2">
      <c r="A22" s="28" t="s">
        <v>594</v>
      </c>
      <c r="B22" t="s">
        <v>10</v>
      </c>
      <c r="C22">
        <f t="shared" si="4"/>
        <v>21.9</v>
      </c>
      <c r="D22">
        <f t="shared" si="5"/>
        <v>87.59999999999998</v>
      </c>
      <c r="E22" s="71">
        <f>Capacity_OPEX!E24+Capacity_OPEX!E25</f>
        <v>7.3</v>
      </c>
      <c r="F22" s="71">
        <f>Capacity_OPEX!F24+Capacity_OPEX!F25</f>
        <v>7.3</v>
      </c>
      <c r="G22" s="71">
        <f>Capacity_OPEX!G24+Capacity_OPEX!G25</f>
        <v>7.3</v>
      </c>
      <c r="H22" s="71">
        <f>Capacity_OPEX!H24+Capacity_OPEX!H25</f>
        <v>7.3</v>
      </c>
      <c r="I22" s="71">
        <f>Capacity_OPEX!I24+Capacity_OPEX!I25</f>
        <v>7.3</v>
      </c>
      <c r="J22" s="71">
        <f>Capacity_OPEX!J24+Capacity_OPEX!J25</f>
        <v>7.3</v>
      </c>
      <c r="K22" s="71">
        <f>Capacity_OPEX!K24+Capacity_OPEX!K25</f>
        <v>7.3</v>
      </c>
      <c r="L22" s="71">
        <f>Capacity_OPEX!L24+Capacity_OPEX!L25</f>
        <v>7.3</v>
      </c>
      <c r="M22" s="71">
        <f>Capacity_OPEX!M24+Capacity_OPEX!M25</f>
        <v>7.3</v>
      </c>
      <c r="N22" s="71">
        <f>Capacity_OPEX!N24+Capacity_OPEX!N25</f>
        <v>7.3</v>
      </c>
      <c r="O22" s="71">
        <f>Capacity_OPEX!O24+Capacity_OPEX!O25</f>
        <v>7.3</v>
      </c>
      <c r="P22" s="71">
        <f>Capacity_OPEX!P24+Capacity_OPEX!P25</f>
        <v>7.3</v>
      </c>
      <c r="Q22" s="71">
        <f>Capacity_OPEX!Q24+Capacity_OPEX!Q25</f>
        <v>7.3</v>
      </c>
      <c r="R22" s="71">
        <f>Capacity_OPEX!R24+Capacity_OPEX!R25</f>
        <v>7.3</v>
      </c>
      <c r="S22" s="71">
        <f>Capacity_OPEX!S24+Capacity_OPEX!S25</f>
        <v>7.3</v>
      </c>
    </row>
    <row r="23" spans="1:19" x14ac:dyDescent="0.2">
      <c r="A23" s="28" t="s">
        <v>595</v>
      </c>
      <c r="B23" t="s">
        <v>10</v>
      </c>
      <c r="C23">
        <f t="shared" si="4"/>
        <v>6</v>
      </c>
      <c r="D23">
        <f t="shared" si="5"/>
        <v>145</v>
      </c>
      <c r="E23" s="71">
        <f>Capacity_OPEX!E27+Capacity_OPEX!E28+Capacity_OPEX!E29+Capacity_OPEX!E30+Capacity_OPEX!E31+Capacity_OPEX!E39</f>
        <v>2</v>
      </c>
      <c r="F23" s="71">
        <f>Capacity_OPEX!F27+Capacity_OPEX!F28+Capacity_OPEX!F29+Capacity_OPEX!F30+Capacity_OPEX!F31+Capacity_OPEX!F39</f>
        <v>2</v>
      </c>
      <c r="G23" s="71">
        <f>Capacity_OPEX!G27+Capacity_OPEX!G28+Capacity_OPEX!G29+Capacity_OPEX!G30+Capacity_OPEX!G31+Capacity_OPEX!G39</f>
        <v>2</v>
      </c>
      <c r="H23" s="71">
        <f>Capacity_OPEX!H27+Capacity_OPEX!H28+Capacity_OPEX!H29+Capacity_OPEX!H30+Capacity_OPEX!H31+Capacity_OPEX!H39</f>
        <v>4.5</v>
      </c>
      <c r="I23" s="71">
        <f>Capacity_OPEX!I27+Capacity_OPEX!I28+Capacity_OPEX!I29+Capacity_OPEX!I30+Capacity_OPEX!I31+Capacity_OPEX!I39</f>
        <v>2</v>
      </c>
      <c r="J23" s="71">
        <f>Capacity_OPEX!J27+Capacity_OPEX!J28+Capacity_OPEX!J29+Capacity_OPEX!J30+Capacity_OPEX!J31+Capacity_OPEX!J39</f>
        <v>6</v>
      </c>
      <c r="K23" s="71">
        <f>Capacity_OPEX!K27+Capacity_OPEX!K28+Capacity_OPEX!K29+Capacity_OPEX!K30+Capacity_OPEX!K31+Capacity_OPEX!K39</f>
        <v>4</v>
      </c>
      <c r="L23" s="71">
        <f>Capacity_OPEX!L27+Capacity_OPEX!L28+Capacity_OPEX!L29+Capacity_OPEX!L30+Capacity_OPEX!L31+Capacity_OPEX!L39</f>
        <v>8.5</v>
      </c>
      <c r="M23" s="71">
        <f>Capacity_OPEX!M27+Capacity_OPEX!M28+Capacity_OPEX!M29+Capacity_OPEX!M30+Capacity_OPEX!M31+Capacity_OPEX!M39</f>
        <v>4</v>
      </c>
      <c r="N23" s="71">
        <f>Capacity_OPEX!N27+Capacity_OPEX!N28+Capacity_OPEX!N29+Capacity_OPEX!N30+Capacity_OPEX!N31+Capacity_OPEX!N39</f>
        <v>16</v>
      </c>
      <c r="O23" s="71">
        <f>Capacity_OPEX!O27+Capacity_OPEX!O28+Capacity_OPEX!O29+Capacity_OPEX!O30+Capacity_OPEX!O31+Capacity_OPEX!O39</f>
        <v>14.5</v>
      </c>
      <c r="P23" s="71">
        <f>Capacity_OPEX!P27+Capacity_OPEX!P28+Capacity_OPEX!P29+Capacity_OPEX!P30+Capacity_OPEX!P31+Capacity_OPEX!P39</f>
        <v>23.5</v>
      </c>
      <c r="Q23" s="71">
        <f>Capacity_OPEX!Q27+Capacity_OPEX!Q28+Capacity_OPEX!Q29+Capacity_OPEX!Q30+Capacity_OPEX!Q31+Capacity_OPEX!Q39</f>
        <v>18</v>
      </c>
      <c r="R23" s="71">
        <f>Capacity_OPEX!R27+Capacity_OPEX!R28+Capacity_OPEX!R29+Capacity_OPEX!R30+Capacity_OPEX!R31+Capacity_OPEX!R39</f>
        <v>22</v>
      </c>
      <c r="S23" s="71">
        <f>Capacity_OPEX!S27+Capacity_OPEX!S28+Capacity_OPEX!S29+Capacity_OPEX!S30+Capacity_OPEX!S31+Capacity_OPEX!S39</f>
        <v>22</v>
      </c>
    </row>
    <row r="24" spans="1:19" x14ac:dyDescent="0.2">
      <c r="A24" s="11" t="s">
        <v>596</v>
      </c>
      <c r="B24" t="s">
        <v>10</v>
      </c>
      <c r="C24">
        <f t="shared" si="4"/>
        <v>95.061490268335419</v>
      </c>
      <c r="D24">
        <f t="shared" si="5"/>
        <v>834.92566854430675</v>
      </c>
      <c r="E24" s="81">
        <f t="shared" ref="E24:S24" si="6">SUM(E19:E23)</f>
        <v>31.685442289787972</v>
      </c>
      <c r="F24" s="81">
        <f t="shared" si="6"/>
        <v>31.687136490880771</v>
      </c>
      <c r="G24" s="81">
        <f t="shared" si="6"/>
        <v>31.688911487666669</v>
      </c>
      <c r="H24" s="81">
        <f t="shared" si="6"/>
        <v>41.953175658608515</v>
      </c>
      <c r="I24" s="81">
        <f t="shared" si="6"/>
        <v>40.393148278718243</v>
      </c>
      <c r="J24" s="81">
        <f t="shared" si="6"/>
        <v>59.401521079916662</v>
      </c>
      <c r="K24" s="81">
        <f t="shared" si="6"/>
        <v>57.593458051997473</v>
      </c>
      <c r="L24" s="81">
        <f t="shared" si="6"/>
        <v>65.653055940969978</v>
      </c>
      <c r="M24" s="81">
        <f t="shared" si="6"/>
        <v>61.174334682999998</v>
      </c>
      <c r="N24" s="81">
        <f t="shared" si="6"/>
        <v>73.615164396553809</v>
      </c>
      <c r="O24" s="81">
        <f t="shared" si="6"/>
        <v>76.862601378073748</v>
      </c>
      <c r="P24" s="81">
        <f t="shared" si="6"/>
        <v>85.885182530196076</v>
      </c>
      <c r="Q24" s="81">
        <f t="shared" si="6"/>
        <v>87.614398083903211</v>
      </c>
      <c r="R24" s="81">
        <f t="shared" si="6"/>
        <v>91.646740762102311</v>
      </c>
      <c r="S24" s="81">
        <f t="shared" si="6"/>
        <v>93.132887700266664</v>
      </c>
    </row>
    <row r="25" spans="1:19" x14ac:dyDescent="0.2">
      <c r="A25" s="28" t="s">
        <v>597</v>
      </c>
      <c r="B25" t="s">
        <v>10</v>
      </c>
      <c r="C25">
        <f t="shared" si="4"/>
        <v>0</v>
      </c>
      <c r="D25">
        <f t="shared" si="5"/>
        <v>0</v>
      </c>
      <c r="E25" s="71">
        <f>ROUND(E24-Capacity_OPEX!E32,6)</f>
        <v>0</v>
      </c>
      <c r="F25" s="71">
        <f>ROUND(F24-Capacity_OPEX!F32,6)</f>
        <v>0</v>
      </c>
      <c r="G25" s="71">
        <f>ROUND(G24-Capacity_OPEX!G32,6)</f>
        <v>0</v>
      </c>
      <c r="H25" s="71">
        <f>ROUND(H24-Capacity_OPEX!H32,6)</f>
        <v>0</v>
      </c>
      <c r="I25" s="71">
        <f>ROUND(I24-Capacity_OPEX!I32,6)</f>
        <v>0</v>
      </c>
      <c r="J25" s="71">
        <f>ROUND(J24-Capacity_OPEX!J32,6)</f>
        <v>0</v>
      </c>
      <c r="K25" s="71">
        <f>ROUND(K24-Capacity_OPEX!K32,6)</f>
        <v>0</v>
      </c>
      <c r="L25" s="71">
        <f>ROUND(L24-Capacity_OPEX!L32,6)</f>
        <v>0</v>
      </c>
      <c r="M25" s="71">
        <f>ROUND(M24-Capacity_OPEX!M32,6)</f>
        <v>0</v>
      </c>
      <c r="N25" s="71">
        <f>ROUND(N24-Capacity_OPEX!N32,6)</f>
        <v>0</v>
      </c>
      <c r="O25" s="71">
        <f>ROUND(O24-Capacity_OPEX!O32,6)</f>
        <v>0</v>
      </c>
      <c r="P25" s="71">
        <f>ROUND(P24-Capacity_OPEX!P32,6)</f>
        <v>0</v>
      </c>
      <c r="Q25" s="71">
        <f>ROUND(Q24-Capacity_OPEX!Q32,6)</f>
        <v>0</v>
      </c>
      <c r="R25" s="71">
        <f>ROUND(R24-Capacity_OPEX!R32,6)</f>
        <v>0</v>
      </c>
      <c r="S25" s="71">
        <f>ROUND(S24-Capacity_OPEX!S32,6)</f>
        <v>0</v>
      </c>
    </row>
    <row r="27" spans="1:19" x14ac:dyDescent="0.2">
      <c r="A27" s="6" t="s">
        <v>598</v>
      </c>
    </row>
    <row r="28" spans="1:19" x14ac:dyDescent="0.2">
      <c r="A28" s="46" t="s">
        <v>599</v>
      </c>
      <c r="E28" s="82">
        <f>0</f>
        <v>0</v>
      </c>
      <c r="F28" s="82">
        <f>AVERAGE(PnL!E12)</f>
        <v>17.089742536547231</v>
      </c>
      <c r="G28" s="82">
        <f>AVERAGE(PnL!F12,PnL!E12)</f>
        <v>17.139571980453091</v>
      </c>
      <c r="H28" s="82">
        <f>AVERAGE(PnL!G12,PnL!F12,PnL!E12)</f>
        <v>17.190985653635394</v>
      </c>
      <c r="I28" s="82">
        <f>AVERAGE(PnL!H12,PnL!G12,PnL!F12)</f>
        <v>17.645415131993669</v>
      </c>
      <c r="J28" s="82">
        <f>AVERAGE(PnL!I12,PnL!H12,PnL!G12)</f>
        <v>29.822169609043527</v>
      </c>
      <c r="K28" s="82">
        <f>AVERAGE(PnL!J12,PnL!I12,PnL!H12)</f>
        <v>78.226527775710196</v>
      </c>
      <c r="L28" s="82">
        <f>AVERAGE(PnL!K12,PnL!J12,PnL!I12)</f>
        <v>103.35441729774864</v>
      </c>
      <c r="M28" s="82">
        <f>AVERAGE(PnL!L12,PnL!K12,PnL!J12)</f>
        <v>141.90792219341952</v>
      </c>
      <c r="N28" s="82">
        <f>AVERAGE(PnL!M12,PnL!L12,PnL!K12)</f>
        <v>111.06238376749361</v>
      </c>
      <c r="O28" s="82">
        <f>AVERAGE(PnL!N12,PnL!M12,PnL!L12)</f>
        <v>161.22217513799185</v>
      </c>
      <c r="P28" s="82">
        <f>AVERAGE(PnL!O12,PnL!N12,PnL!M12)</f>
        <v>135.3576552457063</v>
      </c>
      <c r="Q28" s="82">
        <f>AVERAGE(PnL!P12,PnL!O12,PnL!N12)</f>
        <v>185.81436682653418</v>
      </c>
      <c r="R28" s="82">
        <f>AVERAGE(PnL!Q12,PnL!P12,PnL!O12)</f>
        <v>187.78495881121657</v>
      </c>
      <c r="S28" s="82">
        <f>AVERAGE(PnL!R12,PnL!Q12,PnL!P12)</f>
        <v>283.80936663607758</v>
      </c>
    </row>
    <row r="29" spans="1:19" x14ac:dyDescent="0.2">
      <c r="A29" s="46" t="s">
        <v>600</v>
      </c>
      <c r="E29" s="82">
        <f>E28</f>
        <v>0</v>
      </c>
      <c r="F29" s="82">
        <f t="shared" ref="F29:S29" si="7">MAX(E29,F28)</f>
        <v>17.089742536547231</v>
      </c>
      <c r="G29" s="82">
        <f t="shared" si="7"/>
        <v>17.139571980453091</v>
      </c>
      <c r="H29" s="82">
        <f t="shared" si="7"/>
        <v>17.190985653635394</v>
      </c>
      <c r="I29" s="82">
        <f t="shared" si="7"/>
        <v>17.645415131993669</v>
      </c>
      <c r="J29" s="82">
        <f t="shared" si="7"/>
        <v>29.822169609043527</v>
      </c>
      <c r="K29" s="82">
        <f t="shared" si="7"/>
        <v>78.226527775710196</v>
      </c>
      <c r="L29" s="82">
        <f t="shared" si="7"/>
        <v>103.35441729774864</v>
      </c>
      <c r="M29" s="82">
        <f t="shared" si="7"/>
        <v>141.90792219341952</v>
      </c>
      <c r="N29" s="82">
        <f t="shared" si="7"/>
        <v>141.90792219341952</v>
      </c>
      <c r="O29" s="82">
        <f t="shared" si="7"/>
        <v>161.22217513799185</v>
      </c>
      <c r="P29" s="82">
        <f t="shared" si="7"/>
        <v>161.22217513799185</v>
      </c>
      <c r="Q29" s="82">
        <f t="shared" si="7"/>
        <v>185.81436682653418</v>
      </c>
      <c r="R29" s="82">
        <f t="shared" si="7"/>
        <v>187.78495881121657</v>
      </c>
      <c r="S29" s="82">
        <f t="shared" si="7"/>
        <v>283.80936663607758</v>
      </c>
    </row>
    <row r="30" spans="1:19" x14ac:dyDescent="0.2">
      <c r="A30" s="46" t="s">
        <v>601</v>
      </c>
      <c r="E30" s="56">
        <f>(E29&gt;=Inputs!$C$123)+(E29&gt;=Inputs!$C$126)+(E29&gt;=Inputs!$C$127)</f>
        <v>0</v>
      </c>
      <c r="F30" s="56">
        <f>(F29&gt;=Inputs!$C$123)+(F29&gt;=Inputs!$C$126)+(F29&gt;=Inputs!$C$127)</f>
        <v>0</v>
      </c>
      <c r="G30" s="56">
        <f>(G29&gt;=Inputs!$C$123)+(G29&gt;=Inputs!$C$126)+(G29&gt;=Inputs!$C$127)</f>
        <v>0</v>
      </c>
      <c r="H30" s="56">
        <f>(H29&gt;=Inputs!$C$123)+(H29&gt;=Inputs!$C$126)+(H29&gt;=Inputs!$C$127)</f>
        <v>0</v>
      </c>
      <c r="I30" s="56">
        <f>(I29&gt;=Inputs!$C$123)+(I29&gt;=Inputs!$C$126)+(I29&gt;=Inputs!$C$127)</f>
        <v>0</v>
      </c>
      <c r="J30" s="56">
        <f>(J29&gt;=Inputs!$C$123)+(J29&gt;=Inputs!$C$126)+(J29&gt;=Inputs!$C$127)</f>
        <v>0</v>
      </c>
      <c r="K30" s="56">
        <f>(K29&gt;=Inputs!$C$123)+(K29&gt;=Inputs!$C$126)+(K29&gt;=Inputs!$C$127)</f>
        <v>0</v>
      </c>
      <c r="L30" s="56">
        <f>(L29&gt;=Inputs!$C$123)+(L29&gt;=Inputs!$C$126)+(L29&gt;=Inputs!$C$127)</f>
        <v>1</v>
      </c>
      <c r="M30" s="56">
        <f>(M29&gt;=Inputs!$C$123)+(M29&gt;=Inputs!$C$126)+(M29&gt;=Inputs!$C$127)</f>
        <v>1</v>
      </c>
      <c r="N30" s="56">
        <f>(N29&gt;=Inputs!$C$123)+(N29&gt;=Inputs!$C$126)+(N29&gt;=Inputs!$C$127)</f>
        <v>1</v>
      </c>
      <c r="O30" s="56">
        <f>(O29&gt;=Inputs!$C$123)+(O29&gt;=Inputs!$C$126)+(O29&gt;=Inputs!$C$127)</f>
        <v>2</v>
      </c>
      <c r="P30" s="56">
        <f>(P29&gt;=Inputs!$C$123)+(P29&gt;=Inputs!$C$126)+(P29&gt;=Inputs!$C$127)</f>
        <v>2</v>
      </c>
      <c r="Q30" s="56">
        <f>(Q29&gt;=Inputs!$C$123)+(Q29&gt;=Inputs!$C$126)+(Q29&gt;=Inputs!$C$127)</f>
        <v>2</v>
      </c>
      <c r="R30" s="56">
        <f>(R29&gt;=Inputs!$C$123)+(R29&gt;=Inputs!$C$126)+(R29&gt;=Inputs!$C$127)</f>
        <v>2</v>
      </c>
      <c r="S30" s="56">
        <f>(S29&gt;=Inputs!$C$123)+(S29&gt;=Inputs!$C$126)+(S29&gt;=Inputs!$C$127)</f>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6"/>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602</v>
      </c>
      <c r="B1" s="2"/>
      <c r="C1" s="2"/>
      <c r="D1" s="2"/>
      <c r="E1" s="2"/>
      <c r="F1" s="2"/>
      <c r="G1" s="2"/>
      <c r="H1" s="2"/>
      <c r="I1" s="2"/>
      <c r="J1" s="2"/>
      <c r="K1" s="2"/>
      <c r="L1" s="2"/>
      <c r="M1" s="2"/>
      <c r="N1" s="2"/>
      <c r="O1" s="2"/>
      <c r="P1" s="2"/>
      <c r="Q1" s="2"/>
      <c r="R1" s="2"/>
      <c r="S1" s="2"/>
    </row>
    <row r="2" spans="1:19" ht="15" customHeight="1" x14ac:dyDescent="0.2">
      <c r="A2" s="3" t="s">
        <v>603</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180</v>
      </c>
      <c r="B4" s="27" t="s">
        <v>6</v>
      </c>
      <c r="C4" s="27" t="s">
        <v>162</v>
      </c>
      <c r="D4" s="27" t="s">
        <v>181</v>
      </c>
      <c r="E4" s="27" t="s">
        <v>66</v>
      </c>
      <c r="F4" s="27" t="s">
        <v>604</v>
      </c>
      <c r="G4" s="27" t="s">
        <v>605</v>
      </c>
      <c r="H4" s="27" t="s">
        <v>359</v>
      </c>
      <c r="I4" s="27" t="s">
        <v>68</v>
      </c>
      <c r="J4" s="27" t="s">
        <v>496</v>
      </c>
      <c r="K4" s="27" t="s">
        <v>67</v>
      </c>
      <c r="L4" s="27" t="s">
        <v>606</v>
      </c>
      <c r="M4" s="27" t="s">
        <v>607</v>
      </c>
      <c r="N4" s="27" t="s">
        <v>513</v>
      </c>
      <c r="O4" s="27" t="s">
        <v>608</v>
      </c>
      <c r="P4" s="27" t="s">
        <v>609</v>
      </c>
      <c r="Q4" s="27" t="s">
        <v>523</v>
      </c>
      <c r="R4" s="27" t="s">
        <v>610</v>
      </c>
      <c r="S4" s="27" t="s">
        <v>611</v>
      </c>
    </row>
    <row r="5" spans="1:19" ht="15" customHeight="1" x14ac:dyDescent="0.2">
      <c r="A5" s="6" t="s">
        <v>612</v>
      </c>
      <c r="B5" s="7"/>
      <c r="C5" s="7"/>
      <c r="D5" s="7"/>
      <c r="E5" s="7"/>
      <c r="F5" s="7"/>
      <c r="G5" s="7"/>
      <c r="H5" s="7"/>
      <c r="I5" s="7"/>
      <c r="J5" s="7"/>
      <c r="K5" s="7"/>
      <c r="L5" s="7"/>
      <c r="M5" s="7"/>
      <c r="N5" s="7"/>
      <c r="O5" s="7"/>
      <c r="P5" s="7"/>
      <c r="Q5" s="7"/>
      <c r="R5" s="7"/>
      <c r="S5" s="7"/>
    </row>
    <row r="6" spans="1:19" ht="15" customHeight="1" x14ac:dyDescent="0.2">
      <c r="A6" s="28" t="s">
        <v>613</v>
      </c>
      <c r="B6" s="3" t="s">
        <v>183</v>
      </c>
      <c r="C6" s="29"/>
      <c r="D6" s="29"/>
      <c r="E6" s="10">
        <v>1</v>
      </c>
      <c r="F6" s="10">
        <v>2</v>
      </c>
      <c r="G6" s="10">
        <v>3</v>
      </c>
      <c r="H6" s="10">
        <v>4</v>
      </c>
      <c r="I6" s="10">
        <v>5</v>
      </c>
      <c r="J6" s="10">
        <v>6</v>
      </c>
      <c r="K6" s="10">
        <v>7</v>
      </c>
      <c r="L6" s="10">
        <v>8</v>
      </c>
      <c r="M6" s="10">
        <v>9</v>
      </c>
      <c r="N6" s="10">
        <v>10</v>
      </c>
      <c r="O6" s="10">
        <v>11</v>
      </c>
      <c r="P6" s="10">
        <v>12</v>
      </c>
      <c r="Q6" s="10">
        <v>13</v>
      </c>
      <c r="R6" s="10">
        <v>14</v>
      </c>
      <c r="S6" s="10">
        <v>15</v>
      </c>
    </row>
    <row r="7" spans="1:19" ht="15" customHeight="1" x14ac:dyDescent="0.2">
      <c r="A7" s="28" t="s">
        <v>614</v>
      </c>
      <c r="B7" s="3" t="s">
        <v>216</v>
      </c>
      <c r="C7" s="29"/>
      <c r="D7" s="29"/>
      <c r="E7" s="10">
        <v>0</v>
      </c>
      <c r="F7" s="10">
        <v>0</v>
      </c>
      <c r="G7" s="10">
        <v>0</v>
      </c>
      <c r="H7" s="10">
        <v>1</v>
      </c>
      <c r="I7" s="10">
        <v>1</v>
      </c>
      <c r="J7" s="10">
        <v>1</v>
      </c>
      <c r="K7" s="10">
        <v>1</v>
      </c>
      <c r="L7" s="10">
        <v>1</v>
      </c>
      <c r="M7" s="10">
        <v>1</v>
      </c>
      <c r="N7" s="10">
        <v>1</v>
      </c>
      <c r="O7" s="10">
        <v>1</v>
      </c>
      <c r="P7" s="10">
        <v>1</v>
      </c>
      <c r="Q7" s="10">
        <v>1</v>
      </c>
      <c r="R7" s="10">
        <v>1</v>
      </c>
      <c r="S7" s="10">
        <v>1</v>
      </c>
    </row>
    <row r="8" spans="1:19" ht="15" customHeight="1" x14ac:dyDescent="0.2">
      <c r="A8" s="28" t="s">
        <v>615</v>
      </c>
      <c r="B8" s="3" t="s">
        <v>216</v>
      </c>
      <c r="C8" s="29"/>
      <c r="D8" s="29"/>
      <c r="E8" s="10">
        <v>0</v>
      </c>
      <c r="F8" s="10">
        <v>0</v>
      </c>
      <c r="G8" s="10">
        <v>0</v>
      </c>
      <c r="H8" s="10">
        <v>1</v>
      </c>
      <c r="I8" s="10">
        <v>1</v>
      </c>
      <c r="J8" s="10">
        <v>1</v>
      </c>
      <c r="K8" s="10">
        <v>1</v>
      </c>
      <c r="L8" s="10">
        <v>1</v>
      </c>
      <c r="M8" s="10">
        <v>1</v>
      </c>
      <c r="N8" s="10">
        <v>0</v>
      </c>
      <c r="O8" s="10">
        <v>0</v>
      </c>
      <c r="P8" s="10">
        <v>0</v>
      </c>
      <c r="Q8" s="10">
        <v>0</v>
      </c>
      <c r="R8" s="10">
        <v>0</v>
      </c>
      <c r="S8" s="10">
        <v>0</v>
      </c>
    </row>
    <row r="9" spans="1:19" ht="15" customHeight="1" x14ac:dyDescent="0.2">
      <c r="A9" s="28" t="s">
        <v>616</v>
      </c>
      <c r="B9" s="3" t="s">
        <v>216</v>
      </c>
      <c r="C9" s="29"/>
      <c r="D9" s="29"/>
      <c r="E9" s="10">
        <f>IF(AND(OR(Inputs!$C$6=2,Inputs!$C$6=4),E8=1),0,1)</f>
        <v>1</v>
      </c>
      <c r="F9" s="10">
        <f>IF(AND(OR(Inputs!$C$6=2,Inputs!$C$6=4),F8=1),0,1)</f>
        <v>1</v>
      </c>
      <c r="G9" s="10">
        <f>IF(AND(OR(Inputs!$C$6=2,Inputs!$C$6=4),G8=1),0,1)</f>
        <v>1</v>
      </c>
      <c r="H9" s="10">
        <f>IF(AND(OR(Inputs!$C$6=2,Inputs!$C$6=4),H8=1),0,1)</f>
        <v>1</v>
      </c>
      <c r="I9" s="10">
        <f>IF(AND(OR(Inputs!$C$6=2,Inputs!$C$6=4),I8=1),0,1)</f>
        <v>1</v>
      </c>
      <c r="J9" s="10">
        <f>IF(AND(OR(Inputs!$C$6=2,Inputs!$C$6=4),J8=1),0,1)</f>
        <v>1</v>
      </c>
      <c r="K9" s="10">
        <f>IF(AND(OR(Inputs!$C$6=2,Inputs!$C$6=4),K8=1),0,1)</f>
        <v>1</v>
      </c>
      <c r="L9" s="10">
        <f>IF(AND(OR(Inputs!$C$6=2,Inputs!$C$6=4),L8=1),0,1)</f>
        <v>1</v>
      </c>
      <c r="M9" s="10">
        <f>IF(AND(OR(Inputs!$C$6=2,Inputs!$C$6=4),M8=1),0,1)</f>
        <v>1</v>
      </c>
      <c r="N9" s="10">
        <f>IF(AND(OR(Inputs!$C$6=2,Inputs!$C$6=4),N8=1),0,1)</f>
        <v>1</v>
      </c>
      <c r="O9" s="10">
        <f>IF(AND(OR(Inputs!$C$6=2,Inputs!$C$6=4),O8=1),0,1)</f>
        <v>1</v>
      </c>
      <c r="P9" s="10">
        <f>IF(AND(OR(Inputs!$C$6=2,Inputs!$C$6=4),P8=1),0,1)</f>
        <v>1</v>
      </c>
      <c r="Q9" s="10">
        <f>IF(AND(OR(Inputs!$C$6=2,Inputs!$C$6=4),Q8=1),0,1)</f>
        <v>1</v>
      </c>
      <c r="R9" s="10">
        <f>IF(AND(OR(Inputs!$C$6=2,Inputs!$C$6=4),R8=1),0,1)</f>
        <v>1</v>
      </c>
      <c r="S9" s="10">
        <f>IF(AND(OR(Inputs!$C$6=2,Inputs!$C$6=4),S8=1),0,1)</f>
        <v>1</v>
      </c>
    </row>
    <row r="10" spans="1:19" ht="15" customHeight="1" x14ac:dyDescent="0.2">
      <c r="A10" s="28" t="s">
        <v>617</v>
      </c>
      <c r="B10" s="3" t="s">
        <v>187</v>
      </c>
      <c r="C10" s="30"/>
      <c r="D10" s="30"/>
      <c r="E10" s="9">
        <f>IF(OR(Inputs!$C$6=3,Inputs!$C$6=4),1-Inputs!$C$7,1)</f>
        <v>1</v>
      </c>
      <c r="F10" s="9">
        <f>IF(OR(Inputs!$C$6=3,Inputs!$C$6=4),1-Inputs!$C$7,1)</f>
        <v>1</v>
      </c>
      <c r="G10" s="9">
        <f>IF(OR(Inputs!$C$6=3,Inputs!$C$6=4),1-Inputs!$C$7,1)</f>
        <v>1</v>
      </c>
      <c r="H10" s="9">
        <f>IF(OR(Inputs!$C$6=3,Inputs!$C$6=4),1-Inputs!$C$7,1)</f>
        <v>1</v>
      </c>
      <c r="I10" s="9">
        <f>IF(OR(Inputs!$C$6=3,Inputs!$C$6=4),1-Inputs!$C$7,1)</f>
        <v>1</v>
      </c>
      <c r="J10" s="9">
        <f>IF(OR(Inputs!$C$6=3,Inputs!$C$6=4),1-Inputs!$C$7,1)</f>
        <v>1</v>
      </c>
      <c r="K10" s="9">
        <f>IF(OR(Inputs!$C$6=3,Inputs!$C$6=4),1-Inputs!$C$7,1)</f>
        <v>1</v>
      </c>
      <c r="L10" s="9">
        <f>IF(OR(Inputs!$C$6=3,Inputs!$C$6=4),1-Inputs!$C$7,1)</f>
        <v>1</v>
      </c>
      <c r="M10" s="9">
        <f>IF(OR(Inputs!$C$6=3,Inputs!$C$6=4),1-Inputs!$C$7,1)</f>
        <v>1</v>
      </c>
      <c r="N10" s="9">
        <f>IF(OR(Inputs!$C$6=3,Inputs!$C$6=4),1-Inputs!$C$7,1)</f>
        <v>1</v>
      </c>
      <c r="O10" s="9">
        <f>IF(OR(Inputs!$C$6=3,Inputs!$C$6=4),1-Inputs!$C$7,1)</f>
        <v>1</v>
      </c>
      <c r="P10" s="9">
        <f>IF(OR(Inputs!$C$6=3,Inputs!$C$6=4),1-Inputs!$C$7,1)</f>
        <v>1</v>
      </c>
      <c r="Q10" s="9">
        <f>IF(OR(Inputs!$C$6=3,Inputs!$C$6=4),1-Inputs!$C$7,1)</f>
        <v>1</v>
      </c>
      <c r="R10" s="9">
        <f>IF(OR(Inputs!$C$6=3,Inputs!$C$6=4),1-Inputs!$C$7,1)</f>
        <v>1</v>
      </c>
      <c r="S10" s="9">
        <f>IF(OR(Inputs!$C$6=3,Inputs!$C$6=4),1-Inputs!$C$7,1)</f>
        <v>1</v>
      </c>
    </row>
    <row r="11" spans="1:19" ht="15" customHeight="1" x14ac:dyDescent="0.2">
      <c r="A11" s="28" t="s">
        <v>618</v>
      </c>
      <c r="B11" s="3" t="s">
        <v>216</v>
      </c>
      <c r="C11" s="29"/>
      <c r="D11" s="29"/>
      <c r="E11" s="10">
        <f>IF(AND(Inputs!$C$85=2,E6&gt;=IFERROR(MATCH(Inputs!$C$86,$E$4:$S$4,0),99)),1,0)</f>
        <v>0</v>
      </c>
      <c r="F11" s="10">
        <f>IF(AND(Inputs!$C$85=2,F6&gt;=IFERROR(MATCH(Inputs!$C$86,$E$4:$S$4,0),99)),1,0)</f>
        <v>0</v>
      </c>
      <c r="G11" s="10">
        <f>IF(AND(Inputs!$C$85=2,G6&gt;=IFERROR(MATCH(Inputs!$C$86,$E$4:$S$4,0),99)),1,0)</f>
        <v>0</v>
      </c>
      <c r="H11" s="10">
        <f>IF(AND(Inputs!$C$85=2,H6&gt;=IFERROR(MATCH(Inputs!$C$86,$E$4:$S$4,0),99)),1,0)</f>
        <v>1</v>
      </c>
      <c r="I11" s="10">
        <f>IF(AND(Inputs!$C$85=2,I6&gt;=IFERROR(MATCH(Inputs!$C$86,$E$4:$S$4,0),99)),1,0)</f>
        <v>1</v>
      </c>
      <c r="J11" s="10">
        <f>IF(AND(Inputs!$C$85=2,J6&gt;=IFERROR(MATCH(Inputs!$C$86,$E$4:$S$4,0),99)),1,0)</f>
        <v>1</v>
      </c>
      <c r="K11" s="10">
        <f>IF(AND(Inputs!$C$85=2,K6&gt;=IFERROR(MATCH(Inputs!$C$86,$E$4:$S$4,0),99)),1,0)</f>
        <v>1</v>
      </c>
      <c r="L11" s="10">
        <f>IF(AND(Inputs!$C$85=2,L6&gt;=IFERROR(MATCH(Inputs!$C$86,$E$4:$S$4,0),99)),1,0)</f>
        <v>1</v>
      </c>
      <c r="M11" s="10">
        <f>IF(AND(Inputs!$C$85=2,M6&gt;=IFERROR(MATCH(Inputs!$C$86,$E$4:$S$4,0),99)),1,0)</f>
        <v>1</v>
      </c>
      <c r="N11" s="10">
        <f>IF(AND(Inputs!$C$85=2,N6&gt;=IFERROR(MATCH(Inputs!$C$86,$E$4:$S$4,0),99)),1,0)</f>
        <v>1</v>
      </c>
      <c r="O11" s="10">
        <f>IF(AND(Inputs!$C$85=2,O6&gt;=IFERROR(MATCH(Inputs!$C$86,$E$4:$S$4,0),99)),1,0)</f>
        <v>1</v>
      </c>
      <c r="P11" s="10">
        <f>IF(AND(Inputs!$C$85=2,P6&gt;=IFERROR(MATCH(Inputs!$C$86,$E$4:$S$4,0),99)),1,0)</f>
        <v>1</v>
      </c>
      <c r="Q11" s="10">
        <f>IF(AND(Inputs!$C$85=2,Q6&gt;=IFERROR(MATCH(Inputs!$C$86,$E$4:$S$4,0),99)),1,0)</f>
        <v>1</v>
      </c>
      <c r="R11" s="10">
        <f>IF(AND(Inputs!$C$85=2,R6&gt;=IFERROR(MATCH(Inputs!$C$86,$E$4:$S$4,0),99)),1,0)</f>
        <v>1</v>
      </c>
      <c r="S11" s="10">
        <f>IF(AND(Inputs!$C$85=2,S6&gt;=IFERROR(MATCH(Inputs!$C$86,$E$4:$S$4,0),99)),1,0)</f>
        <v>1</v>
      </c>
    </row>
    <row r="12" spans="1:19" ht="15" customHeight="1" x14ac:dyDescent="0.2">
      <c r="A12" s="28" t="s">
        <v>619</v>
      </c>
      <c r="B12" s="3" t="s">
        <v>187</v>
      </c>
      <c r="C12" s="30"/>
      <c r="D12" s="30"/>
      <c r="E12" s="9">
        <f>IF(E11=1,Inputs!$C$98,1)</f>
        <v>1</v>
      </c>
      <c r="F12" s="9">
        <f>IF(F11=1,Inputs!$C$98,1)</f>
        <v>1</v>
      </c>
      <c r="G12" s="9">
        <f>IF(G11=1,Inputs!$C$98,1)</f>
        <v>1</v>
      </c>
      <c r="H12" s="9">
        <f>IF(H11=1,Inputs!$C$98,1)</f>
        <v>1</v>
      </c>
      <c r="I12" s="9">
        <f>IF(I11=1,Inputs!$C$98,1)</f>
        <v>1</v>
      </c>
      <c r="J12" s="9">
        <f>IF(J11=1,Inputs!$C$98,1)</f>
        <v>1</v>
      </c>
      <c r="K12" s="9">
        <f>IF(K11=1,Inputs!$C$98,1)</f>
        <v>1</v>
      </c>
      <c r="L12" s="9">
        <f>IF(L11=1,Inputs!$C$98,1)</f>
        <v>1</v>
      </c>
      <c r="M12" s="9">
        <f>IF(M11=1,Inputs!$C$98,1)</f>
        <v>1</v>
      </c>
      <c r="N12" s="9">
        <f>IF(N11=1,Inputs!$C$98,1)</f>
        <v>1</v>
      </c>
      <c r="O12" s="9">
        <f>IF(O11=1,Inputs!$C$98,1)</f>
        <v>1</v>
      </c>
      <c r="P12" s="9">
        <f>IF(P11=1,Inputs!$C$98,1)</f>
        <v>1</v>
      </c>
      <c r="Q12" s="9">
        <f>IF(Q11=1,Inputs!$C$98,1)</f>
        <v>1</v>
      </c>
      <c r="R12" s="9">
        <f>IF(R11=1,Inputs!$C$98,1)</f>
        <v>1</v>
      </c>
      <c r="S12" s="9">
        <f>IF(S11=1,Inputs!$C$98,1)</f>
        <v>1</v>
      </c>
    </row>
    <row r="13" spans="1:19" ht="15" customHeight="1" x14ac:dyDescent="0.2">
      <c r="A13" s="2"/>
      <c r="B13" s="2"/>
      <c r="C13" s="2"/>
      <c r="D13" s="2"/>
      <c r="E13" s="2"/>
      <c r="F13" s="2"/>
      <c r="G13" s="2"/>
      <c r="H13" s="2"/>
      <c r="I13" s="2"/>
      <c r="J13" s="2"/>
      <c r="K13" s="2"/>
      <c r="L13" s="2"/>
      <c r="M13" s="2"/>
      <c r="N13" s="2"/>
      <c r="O13" s="2"/>
      <c r="P13" s="2"/>
      <c r="Q13" s="2"/>
      <c r="R13" s="2"/>
      <c r="S13" s="2"/>
    </row>
    <row r="14" spans="1:19" ht="15" customHeight="1" x14ac:dyDescent="0.2">
      <c r="A14" s="6" t="s">
        <v>620</v>
      </c>
      <c r="B14" s="7"/>
      <c r="C14" s="7"/>
      <c r="D14" s="7"/>
      <c r="E14" s="7"/>
      <c r="F14" s="7"/>
      <c r="G14" s="7"/>
      <c r="H14" s="7"/>
      <c r="I14" s="7"/>
      <c r="J14" s="7"/>
      <c r="K14" s="7"/>
      <c r="L14" s="7"/>
      <c r="M14" s="7"/>
      <c r="N14" s="7"/>
      <c r="O14" s="7"/>
      <c r="P14" s="7"/>
      <c r="Q14" s="7"/>
      <c r="R14" s="7"/>
      <c r="S14" s="7"/>
    </row>
    <row r="15" spans="1:19" ht="15" customHeight="1" x14ac:dyDescent="0.2">
      <c r="A15" s="28" t="s">
        <v>621</v>
      </c>
      <c r="B15" s="3" t="s">
        <v>26</v>
      </c>
      <c r="C15" s="29">
        <f>SUM(E15:G15)</f>
        <v>1</v>
      </c>
      <c r="D15" s="29">
        <f>SUM(H15:S15)</f>
        <v>5</v>
      </c>
      <c r="E15" s="16">
        <v>0</v>
      </c>
      <c r="F15" s="16">
        <v>1</v>
      </c>
      <c r="G15" s="16">
        <v>0</v>
      </c>
      <c r="H15" s="16">
        <v>0</v>
      </c>
      <c r="I15" s="16">
        <v>0</v>
      </c>
      <c r="J15" s="16">
        <v>1</v>
      </c>
      <c r="K15" s="16">
        <v>0</v>
      </c>
      <c r="L15" s="16">
        <v>1</v>
      </c>
      <c r="M15" s="16">
        <v>0</v>
      </c>
      <c r="N15" s="16">
        <v>1</v>
      </c>
      <c r="O15" s="16">
        <v>0</v>
      </c>
      <c r="P15" s="16">
        <v>1</v>
      </c>
      <c r="Q15" s="16">
        <v>0</v>
      </c>
      <c r="R15" s="16">
        <v>1</v>
      </c>
      <c r="S15" s="16">
        <v>0</v>
      </c>
    </row>
    <row r="16" spans="1:19" ht="15" customHeight="1" x14ac:dyDescent="0.2">
      <c r="A16" s="28" t="s">
        <v>622</v>
      </c>
      <c r="B16" s="3" t="s">
        <v>26</v>
      </c>
      <c r="C16" s="29">
        <f>SUM(E16:G16)</f>
        <v>10</v>
      </c>
      <c r="D16" s="29">
        <f>SUM(H16:S16)</f>
        <v>17</v>
      </c>
      <c r="E16" s="16">
        <v>2</v>
      </c>
      <c r="F16" s="16">
        <v>3</v>
      </c>
      <c r="G16" s="16">
        <v>5</v>
      </c>
      <c r="H16" s="16">
        <v>0</v>
      </c>
      <c r="I16" s="16">
        <v>0</v>
      </c>
      <c r="J16" s="16">
        <v>1</v>
      </c>
      <c r="K16" s="16">
        <v>0</v>
      </c>
      <c r="L16" s="16">
        <v>1</v>
      </c>
      <c r="M16" s="16">
        <v>1</v>
      </c>
      <c r="N16" s="16">
        <v>1</v>
      </c>
      <c r="O16" s="16">
        <v>1</v>
      </c>
      <c r="P16" s="16">
        <v>2</v>
      </c>
      <c r="Q16" s="16">
        <v>2</v>
      </c>
      <c r="R16" s="16">
        <v>3</v>
      </c>
      <c r="S16" s="16">
        <v>5</v>
      </c>
    </row>
    <row r="17" spans="1:19" ht="15" customHeight="1" x14ac:dyDescent="0.2">
      <c r="A17" s="28" t="s">
        <v>623</v>
      </c>
      <c r="B17" s="3" t="s">
        <v>26</v>
      </c>
      <c r="C17" s="29">
        <f>SUM(E17:G17)</f>
        <v>2</v>
      </c>
      <c r="D17" s="29">
        <f>SUM(H17:S17)</f>
        <v>4</v>
      </c>
      <c r="E17" s="16">
        <v>1</v>
      </c>
      <c r="F17" s="16">
        <v>1</v>
      </c>
      <c r="G17" s="16">
        <v>0</v>
      </c>
      <c r="H17" s="16">
        <v>0</v>
      </c>
      <c r="I17" s="16">
        <v>0</v>
      </c>
      <c r="J17" s="16">
        <v>0</v>
      </c>
      <c r="K17" s="16">
        <v>1</v>
      </c>
      <c r="L17" s="16">
        <v>0</v>
      </c>
      <c r="M17" s="16">
        <v>0</v>
      </c>
      <c r="N17" s="16">
        <v>1</v>
      </c>
      <c r="O17" s="16">
        <v>0</v>
      </c>
      <c r="P17" s="16">
        <v>0</v>
      </c>
      <c r="Q17" s="16">
        <v>1</v>
      </c>
      <c r="R17" s="16">
        <v>1</v>
      </c>
      <c r="S17" s="16">
        <v>0</v>
      </c>
    </row>
    <row r="18" spans="1:19" ht="15" customHeight="1" x14ac:dyDescent="0.2">
      <c r="A18" s="28" t="s">
        <v>624</v>
      </c>
      <c r="B18" s="3" t="s">
        <v>625</v>
      </c>
      <c r="C18" s="29">
        <f>MAX(E18:G18)</f>
        <v>1</v>
      </c>
      <c r="D18" s="29">
        <f>MAX(H18:S18)</f>
        <v>1</v>
      </c>
      <c r="E18" s="16">
        <v>1</v>
      </c>
      <c r="F18" s="16">
        <v>1</v>
      </c>
      <c r="G18" s="16">
        <v>1</v>
      </c>
      <c r="H18" s="16">
        <v>1</v>
      </c>
      <c r="I18" s="16">
        <v>1</v>
      </c>
      <c r="J18" s="16">
        <v>1</v>
      </c>
      <c r="K18" s="16">
        <v>1</v>
      </c>
      <c r="L18" s="16">
        <v>1</v>
      </c>
      <c r="M18" s="16">
        <v>1</v>
      </c>
      <c r="N18" s="16">
        <v>1</v>
      </c>
      <c r="O18" s="16">
        <v>1</v>
      </c>
      <c r="P18" s="16">
        <v>1</v>
      </c>
      <c r="Q18" s="16">
        <v>1</v>
      </c>
      <c r="R18" s="16">
        <v>1</v>
      </c>
      <c r="S18" s="16">
        <v>1</v>
      </c>
    </row>
    <row r="19" spans="1:19" ht="15" customHeight="1" x14ac:dyDescent="0.2">
      <c r="A19" s="28" t="s">
        <v>626</v>
      </c>
      <c r="B19" s="3" t="s">
        <v>26</v>
      </c>
      <c r="C19" s="29">
        <f>SUM(E19:G19)</f>
        <v>3</v>
      </c>
      <c r="D19" s="29">
        <f>SUM(H19:S19)</f>
        <v>5</v>
      </c>
      <c r="E19" s="16">
        <v>1</v>
      </c>
      <c r="F19" s="16">
        <v>1</v>
      </c>
      <c r="G19" s="16">
        <v>1</v>
      </c>
      <c r="H19" s="16">
        <v>1</v>
      </c>
      <c r="I19" s="16">
        <v>1</v>
      </c>
      <c r="J19" s="16">
        <v>0</v>
      </c>
      <c r="K19" s="16">
        <v>0</v>
      </c>
      <c r="L19" s="16">
        <v>0</v>
      </c>
      <c r="M19" s="16">
        <v>0</v>
      </c>
      <c r="N19" s="16">
        <v>0</v>
      </c>
      <c r="O19" s="16">
        <v>0</v>
      </c>
      <c r="P19" s="16">
        <v>0</v>
      </c>
      <c r="Q19" s="16">
        <v>1</v>
      </c>
      <c r="R19" s="16">
        <v>1</v>
      </c>
      <c r="S19" s="16">
        <v>1</v>
      </c>
    </row>
    <row r="20" spans="1:19" ht="15" customHeight="1" x14ac:dyDescent="0.2">
      <c r="A20" s="28" t="s">
        <v>627</v>
      </c>
      <c r="B20" s="3" t="s">
        <v>189</v>
      </c>
      <c r="C20" s="29">
        <f>SUM(E20:G20)</f>
        <v>6</v>
      </c>
      <c r="D20" s="29">
        <f>SUM(H20:S20)</f>
        <v>23</v>
      </c>
      <c r="E20" s="16">
        <v>2</v>
      </c>
      <c r="F20" s="16">
        <v>2</v>
      </c>
      <c r="G20" s="16">
        <v>2</v>
      </c>
      <c r="H20" s="16">
        <v>3</v>
      </c>
      <c r="I20" s="16">
        <v>2</v>
      </c>
      <c r="J20" s="16">
        <v>1</v>
      </c>
      <c r="K20" s="16">
        <v>1</v>
      </c>
      <c r="L20" s="16">
        <v>0</v>
      </c>
      <c r="M20" s="16">
        <v>2</v>
      </c>
      <c r="N20" s="16">
        <v>1</v>
      </c>
      <c r="O20" s="16">
        <v>3</v>
      </c>
      <c r="P20" s="16">
        <v>4</v>
      </c>
      <c r="Q20" s="16">
        <v>2</v>
      </c>
      <c r="R20" s="16">
        <v>2</v>
      </c>
      <c r="S20" s="16">
        <v>2</v>
      </c>
    </row>
    <row r="21" spans="1:19" ht="15" customHeight="1" x14ac:dyDescent="0.2">
      <c r="A21" s="2"/>
      <c r="B21" s="2"/>
      <c r="C21" s="2"/>
      <c r="D21" s="2"/>
      <c r="E21" s="2"/>
      <c r="F21" s="2"/>
      <c r="G21" s="2"/>
      <c r="H21" s="2"/>
      <c r="I21" s="2"/>
      <c r="J21" s="2"/>
      <c r="K21" s="2"/>
      <c r="L21" s="2"/>
      <c r="M21" s="2"/>
      <c r="N21" s="2"/>
      <c r="O21" s="2"/>
      <c r="P21" s="2"/>
      <c r="Q21" s="2"/>
      <c r="R21" s="2"/>
      <c r="S21" s="2"/>
    </row>
    <row r="22" spans="1:19" ht="15" customHeight="1" x14ac:dyDescent="0.2">
      <c r="A22" s="6" t="s">
        <v>628</v>
      </c>
      <c r="B22" s="7"/>
      <c r="C22" s="7"/>
      <c r="D22" s="7"/>
      <c r="E22" s="7"/>
      <c r="F22" s="7"/>
      <c r="G22" s="7"/>
      <c r="H22" s="7"/>
      <c r="I22" s="7"/>
      <c r="J22" s="7"/>
      <c r="K22" s="7"/>
      <c r="L22" s="7"/>
      <c r="M22" s="7"/>
      <c r="N22" s="7"/>
      <c r="O22" s="7"/>
      <c r="P22" s="7"/>
      <c r="Q22" s="7"/>
      <c r="R22" s="7"/>
      <c r="S22" s="7"/>
    </row>
    <row r="23" spans="1:19" ht="15" customHeight="1" x14ac:dyDescent="0.2">
      <c r="A23" s="28" t="s">
        <v>621</v>
      </c>
      <c r="B23" s="3" t="s">
        <v>26</v>
      </c>
      <c r="C23" s="31">
        <f>SUM(E23:G23)</f>
        <v>0</v>
      </c>
      <c r="D23" s="31">
        <f>SUM(H23:S23)</f>
        <v>5</v>
      </c>
      <c r="E23" s="8">
        <f t="shared" ref="E23:S23" si="0">E15*E9*E12*E10*(1-E34)</f>
        <v>0</v>
      </c>
      <c r="F23" s="8">
        <f t="shared" si="0"/>
        <v>0</v>
      </c>
      <c r="G23" s="8">
        <f t="shared" si="0"/>
        <v>0</v>
      </c>
      <c r="H23" s="8">
        <f t="shared" si="0"/>
        <v>0</v>
      </c>
      <c r="I23" s="8">
        <f t="shared" si="0"/>
        <v>0</v>
      </c>
      <c r="J23" s="8">
        <f t="shared" si="0"/>
        <v>1</v>
      </c>
      <c r="K23" s="8">
        <f t="shared" si="0"/>
        <v>0</v>
      </c>
      <c r="L23" s="8">
        <f t="shared" si="0"/>
        <v>1</v>
      </c>
      <c r="M23" s="8">
        <f t="shared" si="0"/>
        <v>0</v>
      </c>
      <c r="N23" s="8">
        <f t="shared" si="0"/>
        <v>1</v>
      </c>
      <c r="O23" s="8">
        <f t="shared" si="0"/>
        <v>0</v>
      </c>
      <c r="P23" s="8">
        <f t="shared" si="0"/>
        <v>1</v>
      </c>
      <c r="Q23" s="8">
        <f t="shared" si="0"/>
        <v>0</v>
      </c>
      <c r="R23" s="8">
        <f t="shared" si="0"/>
        <v>1</v>
      </c>
      <c r="S23" s="8">
        <f t="shared" si="0"/>
        <v>0</v>
      </c>
    </row>
    <row r="24" spans="1:19" ht="15" customHeight="1" x14ac:dyDescent="0.2">
      <c r="A24" s="28" t="s">
        <v>622</v>
      </c>
      <c r="B24" s="3" t="s">
        <v>26</v>
      </c>
      <c r="C24" s="31">
        <f>SUM(E24:G24)</f>
        <v>0</v>
      </c>
      <c r="D24" s="31">
        <f>SUM(H24:S24)</f>
        <v>17</v>
      </c>
      <c r="E24" s="8">
        <f>E16*E9*E12*(1-Inputs!$C$83*(1-E10))*(1-E34)</f>
        <v>0</v>
      </c>
      <c r="F24" s="8">
        <f>F16*F9*F12*(1-Inputs!$C$83*(1-F10))*(1-F34)</f>
        <v>0</v>
      </c>
      <c r="G24" s="8">
        <f>G16*G9*G12*(1-Inputs!$C$83*(1-G10))*(1-G34)</f>
        <v>0</v>
      </c>
      <c r="H24" s="8">
        <f>H16*H9*H12*(1-Inputs!$C$83*(1-H10))*(1-H34)</f>
        <v>0</v>
      </c>
      <c r="I24" s="8">
        <f>I16*I9*I12*(1-Inputs!$C$83*(1-I10))*(1-I34)</f>
        <v>0</v>
      </c>
      <c r="J24" s="8">
        <f>J16*J9*J12*(1-Inputs!$C$83*(1-J10))*(1-J34)</f>
        <v>1</v>
      </c>
      <c r="K24" s="8">
        <f>K16*K9*K12*(1-Inputs!$C$83*(1-K10))*(1-K34)</f>
        <v>0</v>
      </c>
      <c r="L24" s="8">
        <f>L16*L9*L12*(1-Inputs!$C$83*(1-L10))*(1-L34)</f>
        <v>1</v>
      </c>
      <c r="M24" s="8">
        <f>M16*M9*M12*(1-Inputs!$C$83*(1-M10))*(1-M34)</f>
        <v>1</v>
      </c>
      <c r="N24" s="8">
        <f>N16*N9*N12*(1-Inputs!$C$83*(1-N10))*(1-N34)</f>
        <v>1</v>
      </c>
      <c r="O24" s="8">
        <f>O16*O9*O12*(1-Inputs!$C$83*(1-O10))*(1-O34)</f>
        <v>1</v>
      </c>
      <c r="P24" s="8">
        <f>P16*P9*P12*(1-Inputs!$C$83*(1-P10))*(1-P34)</f>
        <v>2</v>
      </c>
      <c r="Q24" s="8">
        <f>Q16*Q9*Q12*(1-Inputs!$C$83*(1-Q10))*(1-Q34)</f>
        <v>2</v>
      </c>
      <c r="R24" s="8">
        <f>R16*R9*R12*(1-Inputs!$C$83*(1-R10))*(1-R34)</f>
        <v>3</v>
      </c>
      <c r="S24" s="8">
        <f>S16*S9*S12*(1-Inputs!$C$83*(1-S10))*(1-S34)</f>
        <v>5</v>
      </c>
    </row>
    <row r="25" spans="1:19" ht="15" customHeight="1" x14ac:dyDescent="0.2">
      <c r="A25" s="28" t="s">
        <v>629</v>
      </c>
      <c r="B25" s="3" t="s">
        <v>26</v>
      </c>
      <c r="C25" s="31">
        <f>SUM(E25:G25)</f>
        <v>0</v>
      </c>
      <c r="D25" s="31">
        <f>SUM(H25:S25)</f>
        <v>7</v>
      </c>
      <c r="E25" s="8">
        <f t="shared" ref="E25:S25" si="1">E17*E9*E12*(1-E34)+E36</f>
        <v>0</v>
      </c>
      <c r="F25" s="8">
        <f t="shared" si="1"/>
        <v>0</v>
      </c>
      <c r="G25" s="8">
        <f t="shared" si="1"/>
        <v>0</v>
      </c>
      <c r="H25" s="8">
        <f t="shared" si="1"/>
        <v>0</v>
      </c>
      <c r="I25" s="8">
        <f t="shared" si="1"/>
        <v>0</v>
      </c>
      <c r="J25" s="8">
        <f t="shared" si="1"/>
        <v>0</v>
      </c>
      <c r="K25" s="8">
        <f t="shared" si="1"/>
        <v>1</v>
      </c>
      <c r="L25" s="8">
        <f t="shared" si="1"/>
        <v>0</v>
      </c>
      <c r="M25" s="8">
        <f t="shared" si="1"/>
        <v>0</v>
      </c>
      <c r="N25" s="8">
        <f t="shared" si="1"/>
        <v>1</v>
      </c>
      <c r="O25" s="8">
        <f t="shared" si="1"/>
        <v>0</v>
      </c>
      <c r="P25" s="8">
        <f t="shared" si="1"/>
        <v>0</v>
      </c>
      <c r="Q25" s="8">
        <f t="shared" si="1"/>
        <v>2</v>
      </c>
      <c r="R25" s="8">
        <f t="shared" si="1"/>
        <v>2</v>
      </c>
      <c r="S25" s="8">
        <f t="shared" si="1"/>
        <v>1</v>
      </c>
    </row>
    <row r="26" spans="1:19" ht="15" customHeight="1" x14ac:dyDescent="0.2">
      <c r="A26" s="28" t="s">
        <v>630</v>
      </c>
      <c r="B26" s="3" t="s">
        <v>625</v>
      </c>
      <c r="C26" s="31">
        <f>MAX(E26:G26)</f>
        <v>1</v>
      </c>
      <c r="D26" s="31">
        <f>MAX(H26:S26)</f>
        <v>3</v>
      </c>
      <c r="E26" s="8">
        <f t="shared" ref="E26:S26" si="2">E18+E35</f>
        <v>1</v>
      </c>
      <c r="F26" s="8">
        <f t="shared" si="2"/>
        <v>1</v>
      </c>
      <c r="G26" s="8">
        <f t="shared" si="2"/>
        <v>1</v>
      </c>
      <c r="H26" s="8">
        <f t="shared" si="2"/>
        <v>1</v>
      </c>
      <c r="I26" s="8">
        <f t="shared" si="2"/>
        <v>2</v>
      </c>
      <c r="J26" s="8">
        <f t="shared" si="2"/>
        <v>2</v>
      </c>
      <c r="K26" s="8">
        <f t="shared" si="2"/>
        <v>2</v>
      </c>
      <c r="L26" s="8">
        <f t="shared" si="2"/>
        <v>2</v>
      </c>
      <c r="M26" s="8">
        <f t="shared" si="2"/>
        <v>2</v>
      </c>
      <c r="N26" s="8">
        <f t="shared" si="2"/>
        <v>3</v>
      </c>
      <c r="O26" s="8">
        <f t="shared" si="2"/>
        <v>3</v>
      </c>
      <c r="P26" s="8">
        <f t="shared" si="2"/>
        <v>3</v>
      </c>
      <c r="Q26" s="8">
        <f t="shared" si="2"/>
        <v>3</v>
      </c>
      <c r="R26" s="8">
        <f t="shared" si="2"/>
        <v>3</v>
      </c>
      <c r="S26" s="8">
        <f t="shared" si="2"/>
        <v>3</v>
      </c>
    </row>
    <row r="27" spans="1:19" ht="15" customHeight="1" x14ac:dyDescent="0.2">
      <c r="A27" s="28" t="s">
        <v>626</v>
      </c>
      <c r="B27" s="3" t="s">
        <v>26</v>
      </c>
      <c r="C27" s="31">
        <f>SUM(E27:G27)</f>
        <v>0</v>
      </c>
      <c r="D27" s="31">
        <f>SUM(H27:S27)</f>
        <v>4</v>
      </c>
      <c r="E27" s="8">
        <f>E19*(1-E34*Inputs!$C$103)+Inputs!$C$105*IF(Volume!E6=IFERROR(MATCH(Inputs!$C$128,$E$4:$S$4,0),99),1,0)</f>
        <v>0</v>
      </c>
      <c r="F27" s="8">
        <f>F19*(1-F34*Inputs!$C$103)+Inputs!$C$105*IF(Volume!F6=IFERROR(MATCH(Inputs!$C$128,$E$4:$S$4,0),99),1,0)</f>
        <v>0</v>
      </c>
      <c r="G27" s="8">
        <f>G19*(1-G34*Inputs!$C$103)+Inputs!$C$105*IF(Volume!G6=IFERROR(MATCH(Inputs!$C$128,$E$4:$S$4,0),99),1,0)</f>
        <v>0</v>
      </c>
      <c r="H27" s="8">
        <f>H19*(1-H34*Inputs!$C$103)+Inputs!$C$105*IF(Volume!H6=IFERROR(MATCH(Inputs!$C$128,$E$4:$S$4,0),99),1,0)</f>
        <v>0</v>
      </c>
      <c r="I27" s="8">
        <f>I19*(1-I34*Inputs!$C$103)+Inputs!$C$105*IF(Volume!I6=IFERROR(MATCH(Inputs!$C$128,$E$4:$S$4,0),99),1,0)</f>
        <v>1</v>
      </c>
      <c r="J27" s="8">
        <f>J19*(1-J34*Inputs!$C$103)+Inputs!$C$105*IF(Volume!J6=IFERROR(MATCH(Inputs!$C$128,$E$4:$S$4,0),99),1,0)</f>
        <v>0</v>
      </c>
      <c r="K27" s="8">
        <f>K19*(1-K34*Inputs!$C$103)+Inputs!$C$105*IF(Volume!K6=IFERROR(MATCH(Inputs!$C$128,$E$4:$S$4,0),99),1,0)</f>
        <v>0</v>
      </c>
      <c r="L27" s="8">
        <f>L19*(1-L34*Inputs!$C$103)+Inputs!$C$105*IF(Volume!L6=IFERROR(MATCH(Inputs!$C$128,$E$4:$S$4,0),99),1,0)</f>
        <v>0</v>
      </c>
      <c r="M27" s="8">
        <f>M19*(1-M34*Inputs!$C$103)+Inputs!$C$105*IF(Volume!M6=IFERROR(MATCH(Inputs!$C$128,$E$4:$S$4,0),99),1,0)</f>
        <v>0</v>
      </c>
      <c r="N27" s="8">
        <f>N19*(1-N34*Inputs!$C$103)+Inputs!$C$105*IF(Volume!N6=IFERROR(MATCH(Inputs!$C$128,$E$4:$S$4,0),99),1,0)</f>
        <v>0</v>
      </c>
      <c r="O27" s="8">
        <f>O19*(1-O34*Inputs!$C$103)+Inputs!$C$105*IF(Volume!O6=IFERROR(MATCH(Inputs!$C$128,$E$4:$S$4,0),99),1,0)</f>
        <v>0</v>
      </c>
      <c r="P27" s="8">
        <f>P19*(1-P34*Inputs!$C$103)+Inputs!$C$105*IF(Volume!P6=IFERROR(MATCH(Inputs!$C$128,$E$4:$S$4,0),99),1,0)</f>
        <v>0</v>
      </c>
      <c r="Q27" s="8">
        <f>Q19*(1-Q34*Inputs!$C$103)+Inputs!$C$105*IF(Volume!Q6=IFERROR(MATCH(Inputs!$C$128,$E$4:$S$4,0),99),1,0)</f>
        <v>1</v>
      </c>
      <c r="R27" s="8">
        <f>R19*(1-R34*Inputs!$C$103)+Inputs!$C$105*IF(Volume!R6=IFERROR(MATCH(Inputs!$C$128,$E$4:$S$4,0),99),1,0)</f>
        <v>1</v>
      </c>
      <c r="S27" s="8">
        <f>S19*(1-S34*Inputs!$C$103)+Inputs!$C$105*IF(Volume!S6=IFERROR(MATCH(Inputs!$C$128,$E$4:$S$4,0),99),1,0)</f>
        <v>1</v>
      </c>
    </row>
    <row r="28" spans="1:19" ht="15" customHeight="1" x14ac:dyDescent="0.2">
      <c r="A28" s="28" t="s">
        <v>631</v>
      </c>
      <c r="B28" s="3" t="s">
        <v>189</v>
      </c>
      <c r="C28" s="31">
        <f>SUM(E28:G28)</f>
        <v>6.5729569609061844</v>
      </c>
      <c r="D28" s="31">
        <f>SUM(H28:S28)</f>
        <v>165.97351422874098</v>
      </c>
      <c r="E28" s="8">
        <f>IF(Inputs!$C$105=1,B2C!E26,E20)</f>
        <v>2.0897425365472309</v>
      </c>
      <c r="F28" s="8">
        <f>IF(Inputs!$C$105=1,B2C!F26,F20)</f>
        <v>2.189401424358953</v>
      </c>
      <c r="G28" s="8">
        <f>IF(Inputs!$C$105=1,B2C!G26,G20)</f>
        <v>2.2938129999999997</v>
      </c>
      <c r="H28" s="8">
        <f>IF(Inputs!$C$105=1,B2C!H26,H20)</f>
        <v>3.4530309716220522</v>
      </c>
      <c r="I28" s="8">
        <f>IF(Inputs!$C$105=1,B2C!I26,I20)</f>
        <v>3.7196648555085252</v>
      </c>
      <c r="J28" s="8">
        <f>IF(Inputs!$C$105=1,B2C!J26,J20)</f>
        <v>4.0068875000000004</v>
      </c>
      <c r="K28" s="8">
        <f>IF(Inputs!$C$105=1,B2C!K26,K20)</f>
        <v>10.336699537737367</v>
      </c>
      <c r="L28" s="8">
        <f>IF(Inputs!$C$105=1,B2C!L26,L20)</f>
        <v>10.880179542521246</v>
      </c>
      <c r="M28" s="8">
        <f>IF(Inputs!$C$105=1,B2C!M26,M20)</f>
        <v>11.470272222222222</v>
      </c>
      <c r="N28" s="8">
        <f>IF(Inputs!$C$105=1,B2C!N26,N20)</f>
        <v>17.316073649232194</v>
      </c>
      <c r="O28" s="8">
        <f>IF(Inputs!$C$105=1,B2C!O26,O20)</f>
        <v>18.286619865664512</v>
      </c>
      <c r="P28" s="8">
        <f>IF(Inputs!$C$105=1,B2C!P26,P20)</f>
        <v>19.340406964705874</v>
      </c>
      <c r="Q28" s="8">
        <f>IF(Inputs!$C$105=1,B2C!Q26,Q20)</f>
        <v>21.227849603279349</v>
      </c>
      <c r="R28" s="8">
        <f>IF(Inputs!$C$105=1,B2C!R26,R20)</f>
        <v>22.359843340247629</v>
      </c>
      <c r="S28" s="8">
        <f>IF(Inputs!$C$105=1,B2C!S26,S20)</f>
        <v>23.575986175999986</v>
      </c>
    </row>
    <row r="29" spans="1:19" ht="15" customHeight="1" x14ac:dyDescent="0.2">
      <c r="A29" s="11" t="s">
        <v>632</v>
      </c>
      <c r="B29" s="3" t="s">
        <v>26</v>
      </c>
      <c r="C29" s="31">
        <f>SUM(E29:G29)</f>
        <v>0</v>
      </c>
      <c r="D29" s="31">
        <f>SUM(H29:S29)</f>
        <v>29</v>
      </c>
      <c r="E29" s="32">
        <f t="shared" ref="E29:S29" si="3">E23+E24+E25</f>
        <v>0</v>
      </c>
      <c r="F29" s="32">
        <f t="shared" si="3"/>
        <v>0</v>
      </c>
      <c r="G29" s="32">
        <f t="shared" si="3"/>
        <v>0</v>
      </c>
      <c r="H29" s="32">
        <f t="shared" si="3"/>
        <v>0</v>
      </c>
      <c r="I29" s="32">
        <f t="shared" si="3"/>
        <v>0</v>
      </c>
      <c r="J29" s="32">
        <f t="shared" si="3"/>
        <v>2</v>
      </c>
      <c r="K29" s="32">
        <f t="shared" si="3"/>
        <v>1</v>
      </c>
      <c r="L29" s="32">
        <f t="shared" si="3"/>
        <v>2</v>
      </c>
      <c r="M29" s="32">
        <f t="shared" si="3"/>
        <v>1</v>
      </c>
      <c r="N29" s="32">
        <f t="shared" si="3"/>
        <v>3</v>
      </c>
      <c r="O29" s="32">
        <f t="shared" si="3"/>
        <v>1</v>
      </c>
      <c r="P29" s="32">
        <f t="shared" si="3"/>
        <v>3</v>
      </c>
      <c r="Q29" s="32">
        <f t="shared" si="3"/>
        <v>4</v>
      </c>
      <c r="R29" s="32">
        <f t="shared" si="3"/>
        <v>6</v>
      </c>
      <c r="S29" s="32">
        <f t="shared" si="3"/>
        <v>6</v>
      </c>
    </row>
    <row r="30" spans="1:19" ht="15" customHeight="1" x14ac:dyDescent="0.2">
      <c r="A30" s="2"/>
      <c r="B30" s="2"/>
      <c r="C30" s="2"/>
      <c r="D30" s="2"/>
      <c r="E30" s="2"/>
      <c r="F30" s="2"/>
      <c r="G30" s="2"/>
      <c r="H30" s="2"/>
      <c r="I30" s="2"/>
      <c r="J30" s="2"/>
      <c r="K30" s="2"/>
      <c r="L30" s="2"/>
      <c r="M30" s="2"/>
      <c r="N30" s="2"/>
      <c r="O30" s="2"/>
      <c r="P30" s="2"/>
      <c r="Q30" s="2"/>
      <c r="R30" s="2"/>
      <c r="S30" s="2"/>
    </row>
    <row r="31" spans="1:19" ht="15" customHeight="1" x14ac:dyDescent="0.2">
      <c r="A31" s="3" t="s">
        <v>633</v>
      </c>
      <c r="B31" s="2"/>
      <c r="C31" s="2"/>
      <c r="D31" s="2"/>
      <c r="E31" s="2"/>
      <c r="F31" s="2"/>
      <c r="G31" s="2"/>
      <c r="H31" s="2"/>
      <c r="I31" s="2"/>
      <c r="J31" s="2"/>
      <c r="K31" s="2"/>
      <c r="L31" s="2"/>
      <c r="M31" s="2"/>
      <c r="N31" s="2"/>
      <c r="O31" s="2"/>
      <c r="P31" s="2"/>
      <c r="Q31" s="2"/>
      <c r="R31" s="2"/>
      <c r="S31" s="2"/>
    </row>
    <row r="33" spans="1:19" x14ac:dyDescent="0.2">
      <c r="A33" s="6" t="s">
        <v>634</v>
      </c>
    </row>
    <row r="34" spans="1:19" x14ac:dyDescent="0.2">
      <c r="A34" s="11" t="s">
        <v>635</v>
      </c>
      <c r="B34" s="3" t="s">
        <v>216</v>
      </c>
      <c r="C34" s="31">
        <f>MAX(E34:G34)</f>
        <v>1</v>
      </c>
      <c r="D34" s="31">
        <f>MAX(H34:S34)</f>
        <v>1</v>
      </c>
      <c r="E34" s="32">
        <f>IF(AND(Inputs!$C$101=1,E6&lt;IFERROR(MATCH(Inputs!$C$102,$E$4:$S$4,0),1)),1,0)</f>
        <v>1</v>
      </c>
      <c r="F34" s="32">
        <f>IF(AND(Inputs!$C$101=1,F6&lt;IFERROR(MATCH(Inputs!$C$102,$E$4:$S$4,0),1)),1,0)</f>
        <v>1</v>
      </c>
      <c r="G34" s="32">
        <f>IF(AND(Inputs!$C$101=1,G6&lt;IFERROR(MATCH(Inputs!$C$102,$E$4:$S$4,0),1)),1,0)</f>
        <v>1</v>
      </c>
      <c r="H34" s="32">
        <f>IF(AND(Inputs!$C$101=1,H6&lt;IFERROR(MATCH(Inputs!$C$102,$E$4:$S$4,0),1)),1,0)</f>
        <v>1</v>
      </c>
      <c r="I34" s="32">
        <f>IF(AND(Inputs!$C$101=1,I6&lt;IFERROR(MATCH(Inputs!$C$102,$E$4:$S$4,0),1)),1,0)</f>
        <v>1</v>
      </c>
      <c r="J34" s="32">
        <f>IF(AND(Inputs!$C$101=1,J6&lt;IFERROR(MATCH(Inputs!$C$102,$E$4:$S$4,0),1)),1,0)</f>
        <v>0</v>
      </c>
      <c r="K34" s="32">
        <f>IF(AND(Inputs!$C$101=1,K6&lt;IFERROR(MATCH(Inputs!$C$102,$E$4:$S$4,0),1)),1,0)</f>
        <v>0</v>
      </c>
      <c r="L34" s="32">
        <f>IF(AND(Inputs!$C$101=1,L6&lt;IFERROR(MATCH(Inputs!$C$102,$E$4:$S$4,0),1)),1,0)</f>
        <v>0</v>
      </c>
      <c r="M34" s="32">
        <f>IF(AND(Inputs!$C$101=1,M6&lt;IFERROR(MATCH(Inputs!$C$102,$E$4:$S$4,0),1)),1,0)</f>
        <v>0</v>
      </c>
      <c r="N34" s="32">
        <f>IF(AND(Inputs!$C$101=1,N6&lt;IFERROR(MATCH(Inputs!$C$102,$E$4:$S$4,0),1)),1,0)</f>
        <v>0</v>
      </c>
      <c r="O34" s="32">
        <f>IF(AND(Inputs!$C$101=1,O6&lt;IFERROR(MATCH(Inputs!$C$102,$E$4:$S$4,0),1)),1,0)</f>
        <v>0</v>
      </c>
      <c r="P34" s="32">
        <f>IF(AND(Inputs!$C$101=1,P6&lt;IFERROR(MATCH(Inputs!$C$102,$E$4:$S$4,0),1)),1,0)</f>
        <v>0</v>
      </c>
      <c r="Q34" s="32">
        <f>IF(AND(Inputs!$C$101=1,Q6&lt;IFERROR(MATCH(Inputs!$C$102,$E$4:$S$4,0),1)),1,0)</f>
        <v>0</v>
      </c>
      <c r="R34" s="32">
        <f>IF(AND(Inputs!$C$101=1,R6&lt;IFERROR(MATCH(Inputs!$C$102,$E$4:$S$4,0),1)),1,0)</f>
        <v>0</v>
      </c>
      <c r="S34" s="32">
        <f>IF(AND(Inputs!$C$101=1,S6&lt;IFERROR(MATCH(Inputs!$C$102,$E$4:$S$4,0),1)),1,0)</f>
        <v>0</v>
      </c>
    </row>
    <row r="35" spans="1:19" x14ac:dyDescent="0.2">
      <c r="A35" s="11" t="s">
        <v>636</v>
      </c>
      <c r="B35" s="3" t="s">
        <v>625</v>
      </c>
      <c r="C35" s="31">
        <f>MAX(E35:G35)</f>
        <v>0</v>
      </c>
      <c r="D35" s="31">
        <f>MAX(H35:S35)</f>
        <v>2</v>
      </c>
      <c r="E35" s="32">
        <f>Inputs!$C$105*(IF(E6&gt;=IFERROR(MATCH(Inputs!$C$107,$E$4:$S$4,0),99),1,0)+IF(E6&gt;=IFERROR(MATCH(Inputs!$C$108,$E$4:$S$4,0),99),1,0))</f>
        <v>0</v>
      </c>
      <c r="F35" s="32">
        <f>Inputs!$C$105*(IF(F6&gt;=IFERROR(MATCH(Inputs!$C$107,$E$4:$S$4,0),99),1,0)+IF(F6&gt;=IFERROR(MATCH(Inputs!$C$108,$E$4:$S$4,0),99),1,0))</f>
        <v>0</v>
      </c>
      <c r="G35" s="32">
        <f>Inputs!$C$105*(IF(G6&gt;=IFERROR(MATCH(Inputs!$C$107,$E$4:$S$4,0),99),1,0)+IF(G6&gt;=IFERROR(MATCH(Inputs!$C$108,$E$4:$S$4,0),99),1,0))</f>
        <v>0</v>
      </c>
      <c r="H35" s="32">
        <f>Inputs!$C$105*(IF(H6&gt;=IFERROR(MATCH(Inputs!$C$107,$E$4:$S$4,0),99),1,0)+IF(H6&gt;=IFERROR(MATCH(Inputs!$C$108,$E$4:$S$4,0),99),1,0))</f>
        <v>0</v>
      </c>
      <c r="I35" s="32">
        <f>Inputs!$C$105*(IF(I6&gt;=IFERROR(MATCH(Inputs!$C$107,$E$4:$S$4,0),99),1,0)+IF(I6&gt;=IFERROR(MATCH(Inputs!$C$108,$E$4:$S$4,0),99),1,0))</f>
        <v>1</v>
      </c>
      <c r="J35" s="32">
        <f>Inputs!$C$105*(IF(J6&gt;=IFERROR(MATCH(Inputs!$C$107,$E$4:$S$4,0),99),1,0)+IF(J6&gt;=IFERROR(MATCH(Inputs!$C$108,$E$4:$S$4,0),99),1,0))</f>
        <v>1</v>
      </c>
      <c r="K35" s="32">
        <f>Inputs!$C$105*(IF(K6&gt;=IFERROR(MATCH(Inputs!$C$107,$E$4:$S$4,0),99),1,0)+IF(K6&gt;=IFERROR(MATCH(Inputs!$C$108,$E$4:$S$4,0),99),1,0))</f>
        <v>1</v>
      </c>
      <c r="L35" s="32">
        <f>Inputs!$C$105*(IF(L6&gt;=IFERROR(MATCH(Inputs!$C$107,$E$4:$S$4,0),99),1,0)+IF(L6&gt;=IFERROR(MATCH(Inputs!$C$108,$E$4:$S$4,0),99),1,0))</f>
        <v>1</v>
      </c>
      <c r="M35" s="32">
        <f>Inputs!$C$105*(IF(M6&gt;=IFERROR(MATCH(Inputs!$C$107,$E$4:$S$4,0),99),1,0)+IF(M6&gt;=IFERROR(MATCH(Inputs!$C$108,$E$4:$S$4,0),99),1,0))</f>
        <v>1</v>
      </c>
      <c r="N35" s="32">
        <f>Inputs!$C$105*(IF(N6&gt;=IFERROR(MATCH(Inputs!$C$107,$E$4:$S$4,0),99),1,0)+IF(N6&gt;=IFERROR(MATCH(Inputs!$C$108,$E$4:$S$4,0),99),1,0))</f>
        <v>2</v>
      </c>
      <c r="O35" s="32">
        <f>Inputs!$C$105*(IF(O6&gt;=IFERROR(MATCH(Inputs!$C$107,$E$4:$S$4,0),99),1,0)+IF(O6&gt;=IFERROR(MATCH(Inputs!$C$108,$E$4:$S$4,0),99),1,0))</f>
        <v>2</v>
      </c>
      <c r="P35" s="32">
        <f>Inputs!$C$105*(IF(P6&gt;=IFERROR(MATCH(Inputs!$C$107,$E$4:$S$4,0),99),1,0)+IF(P6&gt;=IFERROR(MATCH(Inputs!$C$108,$E$4:$S$4,0),99),1,0))</f>
        <v>2</v>
      </c>
      <c r="Q35" s="32">
        <f>Inputs!$C$105*(IF(Q6&gt;=IFERROR(MATCH(Inputs!$C$107,$E$4:$S$4,0),99),1,0)+IF(Q6&gt;=IFERROR(MATCH(Inputs!$C$108,$E$4:$S$4,0),99),1,0))</f>
        <v>2</v>
      </c>
      <c r="R35" s="32">
        <f>Inputs!$C$105*(IF(R6&gt;=IFERROR(MATCH(Inputs!$C$107,$E$4:$S$4,0),99),1,0)+IF(R6&gt;=IFERROR(MATCH(Inputs!$C$108,$E$4:$S$4,0),99),1,0))</f>
        <v>2</v>
      </c>
      <c r="S35" s="32">
        <f>Inputs!$C$105*(IF(S6&gt;=IFERROR(MATCH(Inputs!$C$107,$E$4:$S$4,0),99),1,0)+IF(S6&gt;=IFERROR(MATCH(Inputs!$C$108,$E$4:$S$4,0),99),1,0))</f>
        <v>2</v>
      </c>
    </row>
    <row r="36" spans="1:19" x14ac:dyDescent="0.2">
      <c r="A36" s="11" t="s">
        <v>637</v>
      </c>
      <c r="B36" s="3" t="s">
        <v>305</v>
      </c>
      <c r="C36" s="31">
        <f>SUM(E36:G36)</f>
        <v>0</v>
      </c>
      <c r="D36" s="31">
        <f>SUM(H36:S36)</f>
        <v>3</v>
      </c>
      <c r="E36" s="32">
        <f>Inputs!$C$105*IF(E6&gt;=IFERROR(MATCH(Inputs!$C$111,$E$4:$S$4,0),99),Inputs!$C$112,0)*(1-E34)</f>
        <v>0</v>
      </c>
      <c r="F36" s="32">
        <f>Inputs!$C$105*IF(F6&gt;=IFERROR(MATCH(Inputs!$C$111,$E$4:$S$4,0),99),Inputs!$C$112,0)*(1-F34)</f>
        <v>0</v>
      </c>
      <c r="G36" s="32">
        <f>Inputs!$C$105*IF(G6&gt;=IFERROR(MATCH(Inputs!$C$111,$E$4:$S$4,0),99),Inputs!$C$112,0)*(1-G34)</f>
        <v>0</v>
      </c>
      <c r="H36" s="32">
        <f>Inputs!$C$105*IF(H6&gt;=IFERROR(MATCH(Inputs!$C$111,$E$4:$S$4,0),99),Inputs!$C$112,0)*(1-H34)</f>
        <v>0</v>
      </c>
      <c r="I36" s="32">
        <f>Inputs!$C$105*IF(I6&gt;=IFERROR(MATCH(Inputs!$C$111,$E$4:$S$4,0),99),Inputs!$C$112,0)*(1-I34)</f>
        <v>0</v>
      </c>
      <c r="J36" s="32">
        <f>Inputs!$C$105*IF(J6&gt;=IFERROR(MATCH(Inputs!$C$111,$E$4:$S$4,0),99),Inputs!$C$112,0)*(1-J34)</f>
        <v>0</v>
      </c>
      <c r="K36" s="32">
        <f>Inputs!$C$105*IF(K6&gt;=IFERROR(MATCH(Inputs!$C$111,$E$4:$S$4,0),99),Inputs!$C$112,0)*(1-K34)</f>
        <v>0</v>
      </c>
      <c r="L36" s="32">
        <f>Inputs!$C$105*IF(L6&gt;=IFERROR(MATCH(Inputs!$C$111,$E$4:$S$4,0),99),Inputs!$C$112,0)*(1-L34)</f>
        <v>0</v>
      </c>
      <c r="M36" s="32">
        <f>Inputs!$C$105*IF(M6&gt;=IFERROR(MATCH(Inputs!$C$111,$E$4:$S$4,0),99),Inputs!$C$112,0)*(1-M34)</f>
        <v>0</v>
      </c>
      <c r="N36" s="32">
        <f>Inputs!$C$105*IF(N6&gt;=IFERROR(MATCH(Inputs!$C$111,$E$4:$S$4,0),99),Inputs!$C$112,0)*(1-N34)</f>
        <v>0</v>
      </c>
      <c r="O36" s="32">
        <f>Inputs!$C$105*IF(O6&gt;=IFERROR(MATCH(Inputs!$C$111,$E$4:$S$4,0),99),Inputs!$C$112,0)*(1-O34)</f>
        <v>0</v>
      </c>
      <c r="P36" s="32">
        <f>Inputs!$C$105*IF(P6&gt;=IFERROR(MATCH(Inputs!$C$111,$E$4:$S$4,0),99),Inputs!$C$112,0)*(1-P34)</f>
        <v>0</v>
      </c>
      <c r="Q36" s="32">
        <f>Inputs!$C$105*IF(Q6&gt;=IFERROR(MATCH(Inputs!$C$111,$E$4:$S$4,0),99),Inputs!$C$112,0)*(1-Q34)</f>
        <v>1</v>
      </c>
      <c r="R36" s="32">
        <f>Inputs!$C$105*IF(R6&gt;=IFERROR(MATCH(Inputs!$C$111,$E$4:$S$4,0),99),Inputs!$C$112,0)*(1-R34)</f>
        <v>1</v>
      </c>
      <c r="S36" s="32">
        <f>Inputs!$C$105*IF(S6&gt;=IFERROR(MATCH(Inputs!$C$111,$E$4:$S$4,0),99),Inputs!$C$112,0)*(1-S34)</f>
        <v>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2"/>
  <sheetViews>
    <sheetView zoomScaleNormal="100" workbookViewId="0"/>
  </sheetViews>
  <sheetFormatPr baseColWidth="10" defaultColWidth="8.6640625" defaultRowHeight="15" x14ac:dyDescent="0.2"/>
  <cols>
    <col min="1" max="1" width="58" customWidth="1"/>
    <col min="2" max="15" width="14" customWidth="1"/>
  </cols>
  <sheetData>
    <row r="1" spans="1:15" ht="17.25" customHeight="1" x14ac:dyDescent="0.2">
      <c r="A1" s="1" t="s">
        <v>638</v>
      </c>
      <c r="B1" s="2"/>
      <c r="C1" s="2"/>
      <c r="D1" s="2"/>
      <c r="E1" s="2"/>
      <c r="F1" s="2"/>
      <c r="G1" s="2"/>
      <c r="H1" s="2"/>
      <c r="I1" s="2"/>
      <c r="J1" s="2"/>
      <c r="K1" s="2"/>
      <c r="L1" s="2"/>
      <c r="M1" s="2"/>
      <c r="N1" s="2"/>
      <c r="O1" s="2"/>
    </row>
    <row r="2" spans="1:15" ht="15" customHeight="1" x14ac:dyDescent="0.2">
      <c r="A2" s="2"/>
      <c r="B2" s="2"/>
      <c r="C2" s="2"/>
      <c r="D2" s="2"/>
      <c r="E2" s="2"/>
      <c r="F2" s="2"/>
      <c r="G2" s="2"/>
      <c r="H2" s="2"/>
      <c r="I2" s="2"/>
      <c r="J2" s="2"/>
      <c r="K2" s="2"/>
      <c r="L2" s="2"/>
      <c r="M2" s="2"/>
      <c r="N2" s="2"/>
      <c r="O2" s="2"/>
    </row>
    <row r="3" spans="1:15" ht="48" customHeight="1" x14ac:dyDescent="0.2">
      <c r="A3" s="33" t="s">
        <v>639</v>
      </c>
      <c r="B3" s="33" t="s">
        <v>640</v>
      </c>
      <c r="C3" s="33" t="s">
        <v>73</v>
      </c>
      <c r="D3" s="33" t="s">
        <v>641</v>
      </c>
      <c r="E3" s="33" t="s">
        <v>642</v>
      </c>
      <c r="F3" s="33" t="s">
        <v>643</v>
      </c>
      <c r="G3" s="33" t="s">
        <v>644</v>
      </c>
      <c r="H3" s="33" t="s">
        <v>645</v>
      </c>
      <c r="I3" s="33" t="s">
        <v>646</v>
      </c>
      <c r="J3" s="33" t="s">
        <v>647</v>
      </c>
      <c r="K3" s="33" t="s">
        <v>648</v>
      </c>
      <c r="L3" s="33" t="s">
        <v>649</v>
      </c>
      <c r="M3" s="33" t="s">
        <v>650</v>
      </c>
      <c r="N3" s="33" t="s">
        <v>651</v>
      </c>
      <c r="O3" s="33" t="s">
        <v>652</v>
      </c>
    </row>
    <row r="4" spans="1:15" ht="15" customHeight="1" x14ac:dyDescent="0.2">
      <c r="A4" s="2" t="s">
        <v>621</v>
      </c>
      <c r="B4" s="34">
        <f>IF(Inputs!$C$85=2,Inputs!$C$87+Inputs!$C$93*Inputs!$C$63*Inputs!$C$92,Inputs!$C$9)</f>
        <v>100</v>
      </c>
      <c r="C4" s="34">
        <f>Inputs!$C$16</f>
        <v>25</v>
      </c>
      <c r="D4" s="8">
        <v>0</v>
      </c>
      <c r="E4" s="8">
        <f>IF(Inputs!$C$85=2,Inputs!$C$93*Inputs!$C$63*Inputs!$C$62,IF(Inputs!$C$61=1,0,Inputs!$C$63*Inputs!$C$62))</f>
        <v>3</v>
      </c>
      <c r="F4" s="8">
        <f>C4+D4+E4</f>
        <v>28</v>
      </c>
      <c r="G4" s="8">
        <f>B4-F4</f>
        <v>72</v>
      </c>
      <c r="H4" s="9">
        <f>IF(B4=0,0,G4/B4)</f>
        <v>0.72</v>
      </c>
      <c r="I4" s="35">
        <f>IF(C4+D4=0,0,B4/(C4+D4))</f>
        <v>4</v>
      </c>
      <c r="J4" s="2" t="str">
        <f>IF(I4&gt;=3,"Yes","No - below 3x")</f>
        <v>Yes</v>
      </c>
      <c r="K4" s="10">
        <f>Inputs!$C$26*Inputs!$C$30</f>
        <v>12</v>
      </c>
      <c r="L4" s="8">
        <f>IF(K4=0,0,G4/K4)</f>
        <v>6</v>
      </c>
      <c r="M4" s="8">
        <f>Inputs!$C$63*Inputs!$C$62</f>
        <v>3</v>
      </c>
      <c r="N4" s="8">
        <f>Inputs!$C$9</f>
        <v>85</v>
      </c>
      <c r="O4" s="8">
        <f>C4+D4+IF(Inputs!$C$61=1,0,Inputs!$C$63*Inputs!$C$62)</f>
        <v>25</v>
      </c>
    </row>
    <row r="5" spans="1:15" ht="15" customHeight="1" x14ac:dyDescent="0.2">
      <c r="A5" s="2" t="s">
        <v>622</v>
      </c>
      <c r="B5" s="34">
        <f>IF(Inputs!$C$85=2,Inputs!$C$88+Inputs!$C$94*Inputs!$C$64*Inputs!$C$92,Inputs!$C$10)</f>
        <v>28.5</v>
      </c>
      <c r="C5" s="34">
        <f>Inputs!$C$17</f>
        <v>8</v>
      </c>
      <c r="D5" s="8">
        <f>IF(Inputs!$C$22=1,0,Inputs!$C$27*Inputs!$C$23*Inputs!$C$24)</f>
        <v>0</v>
      </c>
      <c r="E5" s="8">
        <f>IF(Inputs!$C$85=2,Inputs!$C$94*Inputs!$C$64*Inputs!$C$62,IF(Inputs!$C$61=1,0,Inputs!$C$64*Inputs!$C$62))</f>
        <v>2.25</v>
      </c>
      <c r="F5" s="8">
        <f>C5+D5+E5</f>
        <v>10.25</v>
      </c>
      <c r="G5" s="8">
        <f>B5-F5</f>
        <v>18.25</v>
      </c>
      <c r="H5" s="9">
        <f>IF(B5=0,0,G5/B5)</f>
        <v>0.64035087719298245</v>
      </c>
      <c r="I5" s="35">
        <f>IF(C5+D5=0,0,B5/(C5+D5))</f>
        <v>3.5625</v>
      </c>
      <c r="J5" s="2" t="str">
        <f>IF(I5&gt;=3,"Yes","No - below 3x")</f>
        <v>Yes</v>
      </c>
      <c r="K5" s="10">
        <f>Inputs!$C$27*Inputs!$C$31</f>
        <v>2</v>
      </c>
      <c r="L5" s="8">
        <f>IF(K5=0,0,G5/K5)</f>
        <v>9.125</v>
      </c>
      <c r="M5" s="8">
        <f>Inputs!$C$64*Inputs!$C$62</f>
        <v>2.25</v>
      </c>
      <c r="N5" s="8">
        <f>Inputs!$C$10</f>
        <v>20</v>
      </c>
      <c r="O5" s="8">
        <f>C5+D5+IF(Inputs!$C$61=1,0,Inputs!$C$64*Inputs!$C$62)</f>
        <v>8</v>
      </c>
    </row>
    <row r="6" spans="1:15" ht="15" customHeight="1" x14ac:dyDescent="0.2">
      <c r="A6" s="2" t="s">
        <v>653</v>
      </c>
      <c r="B6" s="34">
        <f>IF(Inputs!$C$85=2,(1-Inputs!$C$91)*Inputs!$C$89+Inputs!$C$91*Inputs!$C$90+Inputs!$C$95*Inputs!$C$65*Inputs!$C$92,Inputs!$C$11)</f>
        <v>53.5</v>
      </c>
      <c r="C6" s="34">
        <f>Inputs!$C$18</f>
        <v>12</v>
      </c>
      <c r="D6" s="8">
        <v>0</v>
      </c>
      <c r="E6" s="8">
        <f>IF(Inputs!$C$85=2,Inputs!$C$95*Inputs!$C$65*Inputs!$C$62,IF(Inputs!$C$61=1,0,Inputs!$C$65*Inputs!$C$62))</f>
        <v>3</v>
      </c>
      <c r="F6" s="8">
        <f>C6+D6+E6</f>
        <v>15</v>
      </c>
      <c r="G6" s="8">
        <f>B6-F6</f>
        <v>38.5</v>
      </c>
      <c r="H6" s="9">
        <f>IF(B6=0,0,G6/B6)</f>
        <v>0.71962616822429903</v>
      </c>
      <c r="I6" s="35">
        <f>IF(C6+D6=0,0,B6/(C6+D6))</f>
        <v>4.458333333333333</v>
      </c>
      <c r="J6" s="2" t="str">
        <f>IF(I6&gt;=3,"Yes","No - below 3x")</f>
        <v>Yes</v>
      </c>
      <c r="K6" s="10">
        <f>Inputs!$C$28*Inputs!$C$32</f>
        <v>2</v>
      </c>
      <c r="L6" s="8">
        <f>IF(K6=0,0,G6/K6)</f>
        <v>19.25</v>
      </c>
      <c r="M6" s="8">
        <f>Inputs!$C$65*Inputs!$C$62</f>
        <v>3</v>
      </c>
      <c r="N6" s="8">
        <f>Inputs!$C$11</f>
        <v>35</v>
      </c>
      <c r="O6" s="8">
        <f>C6+D6+IF(Inputs!$C$61=1,0,Inputs!$C$65*Inputs!$C$62)</f>
        <v>12</v>
      </c>
    </row>
    <row r="7" spans="1:15" ht="15" customHeight="1" x14ac:dyDescent="0.2">
      <c r="A7" s="2" t="s">
        <v>654</v>
      </c>
      <c r="B7" s="34">
        <f>Inputs!$C$12</f>
        <v>15</v>
      </c>
      <c r="C7" s="34">
        <f>Inputs!$C$19</f>
        <v>5</v>
      </c>
      <c r="D7" s="8">
        <v>0</v>
      </c>
      <c r="E7" s="8">
        <v>0</v>
      </c>
      <c r="F7" s="8">
        <f>C7+D7+E7</f>
        <v>5</v>
      </c>
      <c r="G7" s="8">
        <f>B7-F7</f>
        <v>10</v>
      </c>
      <c r="H7" s="9">
        <f>IF(B7=0,0,G7/B7)</f>
        <v>0.66666666666666663</v>
      </c>
      <c r="I7" s="35">
        <f>IF(C7+D7=0,0,B7/(C7+D7))</f>
        <v>3</v>
      </c>
      <c r="J7" s="2" t="str">
        <f>IF(I7&gt;=3,"Yes","No - below 3x")</f>
        <v>Yes</v>
      </c>
      <c r="K7" s="10">
        <v>0</v>
      </c>
      <c r="L7" s="8">
        <f>IF(K7=0,0,G7/K7)</f>
        <v>0</v>
      </c>
      <c r="M7" s="8">
        <v>0</v>
      </c>
      <c r="N7" s="8">
        <f>Inputs!$C$12</f>
        <v>15</v>
      </c>
      <c r="O7" s="8">
        <f>C7+D7+0</f>
        <v>5</v>
      </c>
    </row>
    <row r="8" spans="1:15" ht="15" customHeight="1" x14ac:dyDescent="0.2">
      <c r="A8" s="2" t="s">
        <v>255</v>
      </c>
      <c r="B8" s="34">
        <f>Inputs!$C$13</f>
        <v>20</v>
      </c>
      <c r="C8" s="34">
        <f>Inputs!$C$20</f>
        <v>8</v>
      </c>
      <c r="D8" s="8">
        <v>0</v>
      </c>
      <c r="E8" s="8">
        <f>IF(Inputs!$C$61=1,0,Inputs!$C$66*Inputs!$C$62)</f>
        <v>0</v>
      </c>
      <c r="F8" s="8">
        <f>C8+D8+E8</f>
        <v>8</v>
      </c>
      <c r="G8" s="8">
        <f>B8-F8</f>
        <v>12</v>
      </c>
      <c r="H8" s="9">
        <f>IF(B8=0,0,G8/B8)</f>
        <v>0.6</v>
      </c>
      <c r="I8" s="35">
        <f>IF(C8+D8=0,0,B8/(C8+D8))</f>
        <v>2.5</v>
      </c>
      <c r="J8" s="2" t="str">
        <f>IF(I8&gt;=3,"Yes","No - below 3x")</f>
        <v>No - below 3x</v>
      </c>
      <c r="K8" s="10">
        <f>Inputs!$C$29*Inputs!$C$33</f>
        <v>2</v>
      </c>
      <c r="L8" s="8">
        <f>IF(K8=0,0,G8/K8)</f>
        <v>6</v>
      </c>
      <c r="M8" s="8">
        <f>Inputs!$C$66*Inputs!$C$62</f>
        <v>3.75</v>
      </c>
      <c r="N8" s="8">
        <f>Inputs!$C$13</f>
        <v>20</v>
      </c>
      <c r="O8" s="8">
        <f>C8+D8+IF(Inputs!$C$61=1,0,Inputs!$C$66*Inputs!$C$62)</f>
        <v>8</v>
      </c>
    </row>
    <row r="9" spans="1:15" ht="15" customHeight="1" x14ac:dyDescent="0.2">
      <c r="A9" s="2"/>
      <c r="B9" s="2"/>
      <c r="C9" s="2"/>
      <c r="D9" s="2"/>
      <c r="E9" s="2"/>
      <c r="F9" s="2"/>
      <c r="G9" s="2"/>
      <c r="H9" s="2"/>
      <c r="I9" s="2"/>
      <c r="J9" s="2"/>
      <c r="K9" s="2"/>
      <c r="L9" s="2"/>
      <c r="M9" s="2"/>
      <c r="N9" s="2"/>
      <c r="O9" s="2"/>
    </row>
    <row r="10" spans="1:15" ht="15" customHeight="1" x14ac:dyDescent="0.2">
      <c r="A10" s="6" t="s">
        <v>655</v>
      </c>
      <c r="B10" s="7"/>
      <c r="C10" s="7"/>
      <c r="D10" s="7"/>
      <c r="E10" s="7"/>
      <c r="F10" s="7"/>
      <c r="G10" s="7"/>
      <c r="H10" s="7"/>
      <c r="I10" s="7"/>
      <c r="J10" s="7"/>
      <c r="K10" s="7"/>
      <c r="L10" s="7"/>
      <c r="M10" s="7"/>
      <c r="N10" s="2"/>
      <c r="O10" s="2"/>
    </row>
    <row r="11" spans="1:15" ht="15" customHeight="1" x14ac:dyDescent="0.2">
      <c r="A11" s="2" t="s">
        <v>656</v>
      </c>
      <c r="B11" s="8">
        <f>IF(Inputs!$C$52=1,(Inputs!$C$53+Inputs!$C$55)*12,Inputs!$C$55*12)</f>
        <v>24</v>
      </c>
      <c r="C11" s="2"/>
      <c r="D11" s="2"/>
      <c r="E11" s="2"/>
      <c r="F11" s="2"/>
      <c r="G11" s="2"/>
      <c r="H11" s="2"/>
      <c r="I11" s="2"/>
      <c r="J11" s="2"/>
      <c r="K11" s="2"/>
      <c r="L11" s="2"/>
      <c r="M11" s="2"/>
      <c r="N11" s="2"/>
      <c r="O11" s="2"/>
    </row>
    <row r="12" spans="1:15" ht="15" customHeight="1" x14ac:dyDescent="0.2">
      <c r="A12" s="2" t="s">
        <v>657</v>
      </c>
      <c r="B12" s="8">
        <f>Inputs!$C$70</f>
        <v>4</v>
      </c>
      <c r="C12" s="2"/>
      <c r="D12" s="2"/>
      <c r="E12" s="2"/>
      <c r="F12" s="2"/>
      <c r="G12" s="2"/>
      <c r="H12" s="2"/>
      <c r="I12" s="2"/>
      <c r="J12" s="2"/>
      <c r="K12" s="2"/>
      <c r="L12" s="2"/>
      <c r="M12" s="2"/>
      <c r="N12" s="2"/>
      <c r="O12" s="2"/>
    </row>
    <row r="13" spans="1:15" ht="15" customHeight="1" x14ac:dyDescent="0.2">
      <c r="A13" s="2" t="s">
        <v>658</v>
      </c>
      <c r="B13" s="8">
        <f>IF(B12=0,0,B11/B12)</f>
        <v>6</v>
      </c>
      <c r="C13" s="2"/>
      <c r="D13" s="2"/>
      <c r="E13" s="2"/>
      <c r="F13" s="2"/>
      <c r="G13" s="2"/>
      <c r="H13" s="2"/>
      <c r="I13" s="2"/>
      <c r="J13" s="2"/>
      <c r="K13" s="2"/>
      <c r="L13" s="2"/>
      <c r="M13" s="2"/>
      <c r="N13" s="2"/>
      <c r="O13" s="2"/>
    </row>
    <row r="14" spans="1:15" ht="15" customHeight="1" x14ac:dyDescent="0.2">
      <c r="A14" s="2" t="s">
        <v>659</v>
      </c>
      <c r="B14" s="8">
        <f>IF(G4&lt;=0,0,B13/G4)</f>
        <v>8.3333333333333329E-2</v>
      </c>
      <c r="C14" s="2"/>
      <c r="D14" s="2"/>
      <c r="E14" s="2"/>
      <c r="F14" s="2"/>
      <c r="G14" s="2"/>
      <c r="H14" s="2"/>
      <c r="I14" s="2"/>
      <c r="J14" s="2"/>
      <c r="K14" s="2"/>
      <c r="L14" s="2"/>
      <c r="M14" s="2"/>
      <c r="N14" s="2"/>
      <c r="O14" s="2"/>
    </row>
    <row r="15" spans="1:15" ht="15" customHeight="1" x14ac:dyDescent="0.2">
      <c r="A15" s="2" t="s">
        <v>660</v>
      </c>
      <c r="B15" s="8">
        <f>IF(G5&lt;=0,0,B13/G5)</f>
        <v>0.32876712328767121</v>
      </c>
      <c r="C15" s="2"/>
      <c r="D15" s="2"/>
      <c r="E15" s="2"/>
      <c r="F15" s="2"/>
      <c r="G15" s="2"/>
      <c r="H15" s="2"/>
      <c r="I15" s="2"/>
      <c r="J15" s="2"/>
      <c r="K15" s="2"/>
      <c r="L15" s="2"/>
      <c r="M15" s="2"/>
      <c r="N15" s="2"/>
      <c r="O15" s="2"/>
    </row>
    <row r="16" spans="1:15" ht="15" customHeight="1" x14ac:dyDescent="0.2">
      <c r="A16" s="2" t="s">
        <v>661</v>
      </c>
      <c r="B16" s="8">
        <f>IF(G6&lt;=0,0,B13/G6)</f>
        <v>0.15584415584415584</v>
      </c>
      <c r="C16" s="2"/>
      <c r="D16" s="2"/>
      <c r="E16" s="2"/>
      <c r="F16" s="2"/>
      <c r="G16" s="2"/>
      <c r="H16" s="2"/>
      <c r="I16" s="2"/>
      <c r="J16" s="2"/>
      <c r="K16" s="2"/>
      <c r="L16" s="2"/>
      <c r="M16" s="2"/>
      <c r="N16" s="2"/>
      <c r="O16" s="2"/>
    </row>
    <row r="17" spans="1:15" ht="15" customHeight="1" x14ac:dyDescent="0.2">
      <c r="A17" s="2" t="s">
        <v>662</v>
      </c>
      <c r="B17" s="8">
        <f>IF(G7&lt;=0,0,B13/G7)</f>
        <v>0.6</v>
      </c>
      <c r="C17" s="2"/>
      <c r="D17" s="2"/>
      <c r="E17" s="2"/>
      <c r="F17" s="2"/>
      <c r="G17" s="2"/>
      <c r="H17" s="2"/>
      <c r="I17" s="2"/>
      <c r="J17" s="2"/>
      <c r="K17" s="2"/>
      <c r="L17" s="2"/>
      <c r="M17" s="2"/>
      <c r="N17" s="2"/>
      <c r="O17" s="2"/>
    </row>
    <row r="18" spans="1:15" ht="15" customHeight="1" x14ac:dyDescent="0.2">
      <c r="A18" s="2"/>
      <c r="B18" s="2"/>
      <c r="C18" s="2"/>
      <c r="D18" s="2"/>
      <c r="E18" s="2"/>
      <c r="F18" s="2"/>
      <c r="G18" s="2"/>
      <c r="H18" s="2"/>
      <c r="I18" s="2"/>
      <c r="J18" s="2"/>
      <c r="K18" s="2"/>
      <c r="L18" s="2"/>
      <c r="M18" s="2"/>
      <c r="N18" s="2"/>
      <c r="O18" s="2"/>
    </row>
    <row r="19" spans="1:15" ht="15" customHeight="1" x14ac:dyDescent="0.2">
      <c r="A19" s="3" t="s">
        <v>663</v>
      </c>
      <c r="B19" s="2"/>
      <c r="C19" s="2"/>
      <c r="D19" s="2"/>
      <c r="E19" s="2"/>
      <c r="F19" s="2"/>
      <c r="G19" s="2"/>
      <c r="H19" s="2"/>
      <c r="I19" s="2"/>
      <c r="J19" s="2"/>
      <c r="K19" s="2"/>
      <c r="L19" s="2"/>
      <c r="M19" s="2"/>
      <c r="N19" s="2"/>
      <c r="O19" s="2"/>
    </row>
    <row r="20" spans="1:15" ht="15" customHeight="1" x14ac:dyDescent="0.2">
      <c r="A20" s="3" t="s">
        <v>664</v>
      </c>
      <c r="B20" s="2"/>
      <c r="C20" s="2"/>
      <c r="D20" s="2"/>
      <c r="E20" s="2"/>
      <c r="F20" s="2"/>
      <c r="G20" s="2"/>
      <c r="H20" s="2"/>
      <c r="I20" s="2"/>
      <c r="J20" s="2"/>
      <c r="K20" s="2"/>
      <c r="L20" s="2"/>
      <c r="M20" s="2"/>
      <c r="N20" s="2"/>
      <c r="O20" s="2"/>
    </row>
    <row r="21" spans="1:15" ht="15" customHeight="1" x14ac:dyDescent="0.2">
      <c r="A21" s="3" t="s">
        <v>665</v>
      </c>
      <c r="B21" s="2"/>
      <c r="C21" s="2"/>
      <c r="D21" s="2"/>
      <c r="E21" s="2"/>
      <c r="F21" s="2"/>
      <c r="G21" s="2"/>
      <c r="H21" s="2"/>
      <c r="I21" s="2"/>
      <c r="J21" s="2"/>
      <c r="K21" s="2"/>
      <c r="L21" s="2"/>
      <c r="M21" s="2"/>
      <c r="N21" s="2"/>
      <c r="O21" s="2"/>
    </row>
    <row r="22" spans="1:15" ht="15" customHeight="1" x14ac:dyDescent="0.2">
      <c r="A22" s="3" t="s">
        <v>666</v>
      </c>
      <c r="B22" s="2"/>
      <c r="C22" s="2"/>
      <c r="D22" s="2"/>
      <c r="E22" s="2"/>
      <c r="F22" s="2"/>
      <c r="G22" s="2"/>
      <c r="H22" s="2"/>
      <c r="I22" s="2"/>
      <c r="J22" s="2"/>
      <c r="K22" s="2"/>
      <c r="L22" s="2"/>
      <c r="M22" s="2"/>
      <c r="N22" s="2"/>
      <c r="O22" s="2"/>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2"/>
  <sheetViews>
    <sheetView zoomScaleNormal="100" workbookViewId="0"/>
  </sheetViews>
  <sheetFormatPr baseColWidth="10" defaultColWidth="8.6640625" defaultRowHeight="15" x14ac:dyDescent="0.2"/>
  <cols>
    <col min="1" max="1" width="44" customWidth="1"/>
    <col min="2" max="2" width="40" customWidth="1"/>
    <col min="3" max="12" width="13" customWidth="1"/>
    <col min="13" max="13" width="44" customWidth="1"/>
  </cols>
  <sheetData>
    <row r="1" spans="1:13" ht="17.25" customHeight="1" x14ac:dyDescent="0.2">
      <c r="A1" s="1" t="s">
        <v>667</v>
      </c>
      <c r="B1" s="2"/>
      <c r="C1" s="2"/>
      <c r="D1" s="2"/>
      <c r="E1" s="2"/>
      <c r="F1" s="2"/>
      <c r="G1" s="2"/>
      <c r="H1" s="2"/>
      <c r="I1" s="2"/>
      <c r="J1" s="2"/>
      <c r="K1" s="2"/>
      <c r="L1" s="2"/>
      <c r="M1" s="2"/>
    </row>
    <row r="2" spans="1:13" ht="15" customHeight="1" x14ac:dyDescent="0.2">
      <c r="A2" s="3" t="s">
        <v>668</v>
      </c>
      <c r="B2" s="2"/>
      <c r="C2" s="2"/>
      <c r="D2" s="2"/>
      <c r="E2" s="2"/>
      <c r="F2" s="2"/>
      <c r="G2" s="2"/>
      <c r="H2" s="2"/>
      <c r="I2" s="2"/>
      <c r="J2" s="2"/>
      <c r="K2" s="2"/>
      <c r="L2" s="2"/>
      <c r="M2" s="2"/>
    </row>
    <row r="3" spans="1:13" ht="15" customHeight="1" x14ac:dyDescent="0.2">
      <c r="A3" s="2"/>
      <c r="B3" s="2"/>
      <c r="C3" s="2"/>
      <c r="D3" s="2"/>
      <c r="E3" s="2"/>
      <c r="F3" s="2"/>
      <c r="G3" s="2"/>
      <c r="H3" s="2"/>
      <c r="I3" s="2"/>
      <c r="J3" s="2"/>
      <c r="K3" s="2"/>
      <c r="L3" s="2"/>
      <c r="M3" s="2"/>
    </row>
    <row r="4" spans="1:13" ht="48" customHeight="1" x14ac:dyDescent="0.2">
      <c r="A4" s="33" t="s">
        <v>669</v>
      </c>
      <c r="B4" s="33" t="s">
        <v>670</v>
      </c>
      <c r="C4" s="33" t="s">
        <v>671</v>
      </c>
      <c r="D4" s="33" t="s">
        <v>672</v>
      </c>
      <c r="E4" s="33" t="s">
        <v>673</v>
      </c>
      <c r="F4" s="33" t="s">
        <v>674</v>
      </c>
      <c r="G4" s="33" t="s">
        <v>675</v>
      </c>
      <c r="H4" s="33" t="s">
        <v>676</v>
      </c>
      <c r="I4" s="33" t="s">
        <v>677</v>
      </c>
      <c r="J4" s="33" t="s">
        <v>646</v>
      </c>
      <c r="K4" s="33" t="s">
        <v>678</v>
      </c>
      <c r="L4" s="33" t="s">
        <v>679</v>
      </c>
      <c r="M4" s="33" t="s">
        <v>680</v>
      </c>
    </row>
    <row r="5" spans="1:13" ht="26.25" customHeight="1" x14ac:dyDescent="0.2">
      <c r="A5" s="17" t="s">
        <v>681</v>
      </c>
      <c r="B5" s="17" t="s">
        <v>682</v>
      </c>
      <c r="C5" s="34">
        <f>Inputs!$C$87</f>
        <v>94</v>
      </c>
      <c r="D5" s="10">
        <f>Inputs!$C$30</f>
        <v>3</v>
      </c>
      <c r="E5" s="36">
        <f>IF(D5=0,0,C5/D5)</f>
        <v>31.333333333333332</v>
      </c>
      <c r="F5" s="36">
        <f>Inputs!$C$92*Inputs!$C$93</f>
        <v>0.15</v>
      </c>
      <c r="G5" s="10">
        <f>Inputs!$C$63</f>
        <v>40</v>
      </c>
      <c r="H5" s="36">
        <f>C5+F5*G5</f>
        <v>100</v>
      </c>
      <c r="I5" s="36">
        <f>Inputs!$C$16</f>
        <v>25</v>
      </c>
      <c r="J5" s="35">
        <f>IF(I5=0,0,H5/I5)</f>
        <v>4</v>
      </c>
      <c r="K5" s="2" t="str">
        <f>IF(J5&gt;=3,"Yes","No")</f>
        <v>Yes</v>
      </c>
      <c r="L5" s="9">
        <f>IF((Inputs!$C$96*Inputs!$C$11)=0,0,E5/(Inputs!$C$96*Inputs!$C$11))</f>
        <v>0.35809523809523808</v>
      </c>
      <c r="M5" s="17" t="s">
        <v>683</v>
      </c>
    </row>
    <row r="6" spans="1:13" ht="15" customHeight="1" x14ac:dyDescent="0.2">
      <c r="A6" s="17" t="s">
        <v>684</v>
      </c>
      <c r="B6" s="17" t="s">
        <v>685</v>
      </c>
      <c r="C6" s="34">
        <f>Inputs!$C$88</f>
        <v>24</v>
      </c>
      <c r="D6" s="10">
        <f>Inputs!$C$31</f>
        <v>1</v>
      </c>
      <c r="E6" s="36">
        <f>IF(D6=0,0,C6/D6)</f>
        <v>24</v>
      </c>
      <c r="F6" s="36">
        <f>Inputs!$C$92*Inputs!$C$94</f>
        <v>0.15</v>
      </c>
      <c r="G6" s="10">
        <f>Inputs!$C$64</f>
        <v>30</v>
      </c>
      <c r="H6" s="36">
        <f>C6+F6*G6</f>
        <v>28.5</v>
      </c>
      <c r="I6" s="36">
        <f>Inputs!$C$17</f>
        <v>8</v>
      </c>
      <c r="J6" s="35">
        <f>IF(I6=0,0,H6/I6)</f>
        <v>3.5625</v>
      </c>
      <c r="K6" s="2" t="str">
        <f>IF(J6&gt;=3,"Yes","No")</f>
        <v>Yes</v>
      </c>
      <c r="L6" s="9">
        <f>IF((Inputs!$C$96*Inputs!$C$11)=0,0,E6/(Inputs!$C$96*Inputs!$C$11))</f>
        <v>0.2742857142857143</v>
      </c>
      <c r="M6" s="17" t="s">
        <v>686</v>
      </c>
    </row>
    <row r="7" spans="1:13" ht="26.25" customHeight="1" x14ac:dyDescent="0.2">
      <c r="A7" s="17" t="s">
        <v>687</v>
      </c>
      <c r="B7" s="17" t="s">
        <v>688</v>
      </c>
      <c r="C7" s="34">
        <f>Inputs!$C$89</f>
        <v>45</v>
      </c>
      <c r="D7" s="10">
        <f>Inputs!$C$32</f>
        <v>1</v>
      </c>
      <c r="E7" s="36">
        <f>IF(D7=0,0,C7/D7)</f>
        <v>45</v>
      </c>
      <c r="F7" s="36">
        <f>Inputs!$C$92*Inputs!$C$95</f>
        <v>0.15</v>
      </c>
      <c r="G7" s="10">
        <f>Inputs!$C$65</f>
        <v>40</v>
      </c>
      <c r="H7" s="36">
        <f>C7+F7*G7</f>
        <v>51</v>
      </c>
      <c r="I7" s="36">
        <f>Inputs!$C$18</f>
        <v>12</v>
      </c>
      <c r="J7" s="35">
        <f>IF(I7=0,0,H7/I7)</f>
        <v>4.25</v>
      </c>
      <c r="K7" s="2" t="str">
        <f>IF(J7&gt;=3,"Yes","No")</f>
        <v>Yes</v>
      </c>
      <c r="L7" s="9">
        <f>IF((Inputs!$C$96*Inputs!$C$11)=0,0,E7/(Inputs!$C$96*Inputs!$C$11))</f>
        <v>0.51428571428571423</v>
      </c>
      <c r="M7" s="17" t="s">
        <v>689</v>
      </c>
    </row>
    <row r="8" spans="1:13" ht="26.25" customHeight="1" x14ac:dyDescent="0.2">
      <c r="A8" s="17" t="s">
        <v>690</v>
      </c>
      <c r="B8" s="17" t="s">
        <v>691</v>
      </c>
      <c r="C8" s="34">
        <f>Inputs!$C$90</f>
        <v>55</v>
      </c>
      <c r="D8" s="10">
        <f>Inputs!$C$32</f>
        <v>1</v>
      </c>
      <c r="E8" s="36">
        <f>IF(D8=0,0,C8/D8)</f>
        <v>55</v>
      </c>
      <c r="F8" s="36">
        <f>Inputs!$C$92*Inputs!$C$95</f>
        <v>0.15</v>
      </c>
      <c r="G8" s="10">
        <f>Inputs!$C$65</f>
        <v>40</v>
      </c>
      <c r="H8" s="36">
        <f>C8+F8*G8</f>
        <v>61</v>
      </c>
      <c r="I8" s="36">
        <f>Inputs!$C$18</f>
        <v>12</v>
      </c>
      <c r="J8" s="35">
        <f>IF(I8=0,0,H8/I8)</f>
        <v>5.083333333333333</v>
      </c>
      <c r="K8" s="2" t="str">
        <f>IF(J8&gt;=3,"Yes","No")</f>
        <v>Yes</v>
      </c>
      <c r="L8" s="9">
        <f>IF((Inputs!$C$96*Inputs!$C$11)=0,0,E8/(Inputs!$C$96*Inputs!$C$11))</f>
        <v>0.62857142857142856</v>
      </c>
      <c r="M8" s="17" t="s">
        <v>692</v>
      </c>
    </row>
    <row r="9" spans="1:13" ht="15" customHeight="1" x14ac:dyDescent="0.2">
      <c r="A9" s="2" t="s">
        <v>693</v>
      </c>
      <c r="B9" s="2" t="s">
        <v>694</v>
      </c>
      <c r="C9" s="2"/>
      <c r="D9" s="2"/>
      <c r="E9" s="8">
        <f>(Inputs!$C$96*Inputs!$C$11)</f>
        <v>87.5</v>
      </c>
      <c r="F9" s="2"/>
      <c r="G9" s="2"/>
      <c r="H9" s="2"/>
      <c r="I9" s="2"/>
      <c r="J9" s="2"/>
      <c r="K9" s="2"/>
      <c r="L9" s="2"/>
      <c r="M9" s="2"/>
    </row>
    <row r="10" spans="1:13" ht="15" customHeight="1" x14ac:dyDescent="0.2">
      <c r="A10" s="2"/>
      <c r="B10" s="2"/>
      <c r="C10" s="2"/>
      <c r="D10" s="2"/>
      <c r="E10" s="2"/>
      <c r="F10" s="2"/>
      <c r="G10" s="2"/>
      <c r="H10" s="2"/>
      <c r="I10" s="2"/>
      <c r="J10" s="2"/>
      <c r="K10" s="2"/>
      <c r="L10" s="2"/>
      <c r="M10" s="2"/>
    </row>
    <row r="11" spans="1:13" ht="15" customHeight="1" x14ac:dyDescent="0.2">
      <c r="A11" s="6" t="s">
        <v>695</v>
      </c>
      <c r="B11" s="7"/>
      <c r="C11" s="7"/>
      <c r="D11" s="7"/>
      <c r="E11" s="7"/>
      <c r="F11" s="7"/>
      <c r="G11" s="7"/>
      <c r="H11" s="7"/>
      <c r="I11" s="7"/>
      <c r="J11" s="7"/>
      <c r="K11" s="7"/>
      <c r="L11" s="7"/>
      <c r="M11" s="7"/>
    </row>
    <row r="12" spans="1:13" ht="15" customHeight="1" x14ac:dyDescent="0.2">
      <c r="A12" s="5" t="s">
        <v>696</v>
      </c>
      <c r="B12" s="5" t="s">
        <v>697</v>
      </c>
      <c r="C12" s="5" t="s">
        <v>93</v>
      </c>
      <c r="D12" s="5"/>
      <c r="E12" s="5" t="s">
        <v>698</v>
      </c>
      <c r="F12" s="2"/>
      <c r="G12" s="2"/>
      <c r="H12" s="2"/>
      <c r="I12" s="2"/>
      <c r="J12" s="2"/>
      <c r="K12" s="2"/>
      <c r="L12" s="2"/>
      <c r="M12" s="2"/>
    </row>
    <row r="13" spans="1:13" ht="15" customHeight="1" x14ac:dyDescent="0.2">
      <c r="A13" s="2" t="s">
        <v>699</v>
      </c>
      <c r="B13" s="2" t="s">
        <v>700</v>
      </c>
      <c r="C13" s="8">
        <f>C7</f>
        <v>45</v>
      </c>
      <c r="D13" s="2"/>
      <c r="E13" s="8">
        <f>C8</f>
        <v>55</v>
      </c>
      <c r="F13" s="2"/>
      <c r="G13" s="2"/>
      <c r="H13" s="2"/>
      <c r="I13" s="2"/>
      <c r="J13" s="2"/>
      <c r="K13" s="2"/>
      <c r="L13" s="2"/>
      <c r="M13" s="2"/>
    </row>
    <row r="14" spans="1:13" ht="15" customHeight="1" x14ac:dyDescent="0.2">
      <c r="A14" s="2" t="s">
        <v>701</v>
      </c>
      <c r="B14" s="2" t="s">
        <v>702</v>
      </c>
      <c r="C14" s="8">
        <f>H7</f>
        <v>51</v>
      </c>
      <c r="D14" s="2"/>
      <c r="E14" s="8">
        <f>H8</f>
        <v>61</v>
      </c>
      <c r="F14" s="2"/>
      <c r="G14" s="2"/>
      <c r="H14" s="2"/>
      <c r="I14" s="2"/>
      <c r="J14" s="2"/>
      <c r="K14" s="2"/>
      <c r="L14" s="2"/>
      <c r="M14" s="2"/>
    </row>
    <row r="15" spans="1:13" ht="15" customHeight="1" x14ac:dyDescent="0.2">
      <c r="A15" s="2" t="s">
        <v>703</v>
      </c>
      <c r="B15" s="2" t="s">
        <v>704</v>
      </c>
      <c r="C15" s="8">
        <f>H7*(1+Inputs!$C$97)</f>
        <v>66.3</v>
      </c>
      <c r="D15" s="2"/>
      <c r="E15" s="8">
        <f>H8*(1+Inputs!$C$97)</f>
        <v>79.3</v>
      </c>
      <c r="F15" s="2"/>
      <c r="G15" s="2"/>
      <c r="H15" s="2"/>
      <c r="I15" s="2"/>
      <c r="J15" s="2"/>
      <c r="K15" s="2"/>
      <c r="L15" s="2"/>
      <c r="M15" s="2"/>
    </row>
    <row r="16" spans="1:13" ht="15" customHeight="1" x14ac:dyDescent="0.2">
      <c r="A16" s="2"/>
      <c r="B16" s="2"/>
      <c r="C16" s="2"/>
      <c r="D16" s="2"/>
      <c r="E16" s="2"/>
      <c r="F16" s="2"/>
      <c r="G16" s="2"/>
      <c r="H16" s="2"/>
      <c r="I16" s="2"/>
      <c r="J16" s="2"/>
      <c r="K16" s="2"/>
      <c r="L16" s="2"/>
      <c r="M16" s="2"/>
    </row>
    <row r="17" spans="1:13" ht="15" customHeight="1" x14ac:dyDescent="0.2">
      <c r="A17" s="6" t="s">
        <v>705</v>
      </c>
      <c r="B17" s="7"/>
      <c r="C17" s="7"/>
      <c r="D17" s="7"/>
      <c r="E17" s="7"/>
      <c r="F17" s="7"/>
      <c r="G17" s="7"/>
      <c r="H17" s="7"/>
      <c r="I17" s="7"/>
      <c r="J17" s="7"/>
      <c r="K17" s="7"/>
      <c r="L17" s="7"/>
      <c r="M17" s="7"/>
    </row>
    <row r="18" spans="1:13" ht="15" customHeight="1" x14ac:dyDescent="0.2">
      <c r="A18" s="5" t="s">
        <v>639</v>
      </c>
      <c r="B18" s="5" t="s">
        <v>706</v>
      </c>
      <c r="C18" s="5" t="s">
        <v>707</v>
      </c>
      <c r="D18" s="5" t="s">
        <v>708</v>
      </c>
      <c r="E18" s="5" t="s">
        <v>709</v>
      </c>
      <c r="F18" s="2"/>
      <c r="G18" s="2"/>
      <c r="H18" s="2"/>
      <c r="I18" s="2"/>
      <c r="J18" s="2"/>
      <c r="K18" s="2"/>
      <c r="L18" s="2"/>
      <c r="M18" s="2"/>
    </row>
    <row r="19" spans="1:13" ht="15" customHeight="1" x14ac:dyDescent="0.2">
      <c r="A19" s="2" t="s">
        <v>710</v>
      </c>
      <c r="B19" s="8">
        <f>Inputs!$C$9-Inputs!$C$16</f>
        <v>60</v>
      </c>
      <c r="C19" s="8">
        <f>H5-I5-Inputs!$C$93*G5*Inputs!$C$62</f>
        <v>72</v>
      </c>
      <c r="D19" s="9">
        <f>IF(C19&lt;=0,0,1-B19/C19)</f>
        <v>0.16666666666666663</v>
      </c>
      <c r="E19" s="2" t="str">
        <f>"Lose fewer than "&amp;TEXT(D19,"0%")&amp;" of these events and profit still goes up."</f>
        <v>Lose fewer than 17% of these events and profit still goes up.</v>
      </c>
      <c r="F19" s="2"/>
      <c r="G19" s="2"/>
      <c r="H19" s="2"/>
      <c r="I19" s="2"/>
      <c r="J19" s="2"/>
      <c r="K19" s="2"/>
      <c r="L19" s="2"/>
      <c r="M19" s="2"/>
    </row>
    <row r="20" spans="1:13" ht="15" customHeight="1" x14ac:dyDescent="0.2">
      <c r="A20" s="2" t="s">
        <v>711</v>
      </c>
      <c r="B20" s="8">
        <f>Inputs!$C$10-Inputs!$C$17</f>
        <v>12</v>
      </c>
      <c r="C20" s="8">
        <f>H6-I6-Inputs!$C$94*G6*Inputs!$C$62</f>
        <v>18.25</v>
      </c>
      <c r="D20" s="9">
        <f>IF(C20&lt;=0,0,1-B20/C20)</f>
        <v>0.34246575342465757</v>
      </c>
      <c r="E20" s="2" t="str">
        <f>"Lose fewer than "&amp;TEXT(D20,"0%")&amp;" of these events and profit still goes up."</f>
        <v>Lose fewer than 34% of these events and profit still goes up.</v>
      </c>
      <c r="F20" s="2"/>
      <c r="G20" s="2"/>
      <c r="H20" s="2"/>
      <c r="I20" s="2"/>
      <c r="J20" s="2"/>
      <c r="K20" s="2"/>
      <c r="L20" s="2"/>
      <c r="M20" s="2"/>
    </row>
    <row r="21" spans="1:13" ht="15" customHeight="1" x14ac:dyDescent="0.2">
      <c r="A21" s="2" t="s">
        <v>712</v>
      </c>
      <c r="B21" s="8">
        <f>Inputs!$C$11-Inputs!$C$18</f>
        <v>23</v>
      </c>
      <c r="C21" s="8">
        <f>H7-I7-Inputs!$C$95*G7*Inputs!$C$62</f>
        <v>36</v>
      </c>
      <c r="D21" s="9">
        <f>IF(C21&lt;=0,0,1-B21/C21)</f>
        <v>0.36111111111111116</v>
      </c>
      <c r="E21" s="2" t="str">
        <f>"Lose fewer than "&amp;TEXT(D21,"0%")&amp;" of these events and profit still goes up."</f>
        <v>Lose fewer than 36% of these events and profit still goes up.</v>
      </c>
      <c r="F21" s="2"/>
      <c r="G21" s="2"/>
      <c r="H21" s="2"/>
      <c r="I21" s="2"/>
      <c r="J21" s="2"/>
      <c r="K21" s="2"/>
      <c r="L21" s="2"/>
      <c r="M21" s="2"/>
    </row>
    <row r="22" spans="1:13" ht="15" customHeight="1" x14ac:dyDescent="0.2">
      <c r="A22" s="2" t="s">
        <v>713</v>
      </c>
      <c r="B22" s="8">
        <f>Inputs!$C$11-Inputs!$C$18</f>
        <v>23</v>
      </c>
      <c r="C22" s="8">
        <f>H8-I8-Inputs!$C$95*G8*Inputs!$C$62</f>
        <v>46</v>
      </c>
      <c r="D22" s="9">
        <f>IF(C22&lt;=0,0,1-B22/C22)</f>
        <v>0.5</v>
      </c>
      <c r="E22" s="2" t="str">
        <f>"Lose fewer than "&amp;TEXT(D22,"0%")&amp;" of these events and profit still goes up."</f>
        <v>Lose fewer than 50% of these events and profit still goes up.</v>
      </c>
      <c r="F22" s="2"/>
      <c r="G22" s="2"/>
      <c r="H22" s="2"/>
      <c r="I22" s="2"/>
      <c r="J22" s="2"/>
      <c r="K22" s="2"/>
      <c r="L22" s="2"/>
      <c r="M22" s="2"/>
    </row>
    <row r="23" spans="1:13" ht="15" customHeight="1" x14ac:dyDescent="0.2">
      <c r="A23" s="2"/>
      <c r="B23" s="2"/>
      <c r="C23" s="2"/>
      <c r="D23" s="2"/>
      <c r="E23" s="2"/>
      <c r="F23" s="2"/>
      <c r="G23" s="2"/>
      <c r="H23" s="2"/>
      <c r="I23" s="2"/>
      <c r="J23" s="2"/>
      <c r="K23" s="2"/>
      <c r="L23" s="2"/>
      <c r="M23" s="2"/>
    </row>
    <row r="24" spans="1:13" ht="15" customHeight="1" x14ac:dyDescent="0.2">
      <c r="A24" s="6" t="s">
        <v>714</v>
      </c>
      <c r="B24" s="7"/>
      <c r="C24" s="7"/>
      <c r="D24" s="7"/>
      <c r="E24" s="7"/>
      <c r="F24" s="7"/>
      <c r="G24" s="7"/>
      <c r="H24" s="7"/>
      <c r="I24" s="7"/>
      <c r="J24" s="7"/>
      <c r="K24" s="7"/>
      <c r="L24" s="7"/>
      <c r="M24" s="7"/>
    </row>
    <row r="25" spans="1:13" ht="15" customHeight="1" x14ac:dyDescent="0.2">
      <c r="A25" s="2" t="s">
        <v>715</v>
      </c>
      <c r="B25" s="2"/>
      <c r="C25" s="2"/>
      <c r="D25" s="2"/>
      <c r="E25" s="2"/>
      <c r="F25" s="2"/>
      <c r="G25" s="2"/>
      <c r="H25" s="2"/>
      <c r="I25" s="2"/>
      <c r="J25" s="2"/>
      <c r="K25" s="2"/>
      <c r="L25" s="2"/>
      <c r="M25" s="2"/>
    </row>
    <row r="26" spans="1:13" ht="15" customHeight="1" x14ac:dyDescent="0.2">
      <c r="A26" s="2" t="s">
        <v>716</v>
      </c>
      <c r="B26" s="2"/>
      <c r="C26" s="2"/>
      <c r="D26" s="2"/>
      <c r="E26" s="2"/>
      <c r="F26" s="2"/>
      <c r="G26" s="2"/>
      <c r="H26" s="2"/>
      <c r="I26" s="2"/>
      <c r="J26" s="2"/>
      <c r="K26" s="2"/>
      <c r="L26" s="2"/>
      <c r="M26" s="2"/>
    </row>
    <row r="27" spans="1:13" ht="15" customHeight="1" x14ac:dyDescent="0.2">
      <c r="A27" s="2" t="s">
        <v>717</v>
      </c>
      <c r="B27" s="2"/>
      <c r="C27" s="2"/>
      <c r="D27" s="2"/>
      <c r="E27" s="2"/>
      <c r="F27" s="2"/>
      <c r="G27" s="2"/>
      <c r="H27" s="2"/>
      <c r="I27" s="2"/>
      <c r="J27" s="2"/>
      <c r="K27" s="2"/>
      <c r="L27" s="2"/>
      <c r="M27" s="2"/>
    </row>
    <row r="28" spans="1:13" ht="15" customHeight="1" x14ac:dyDescent="0.2">
      <c r="A28" s="2" t="s">
        <v>718</v>
      </c>
      <c r="B28" s="2"/>
      <c r="C28" s="2"/>
      <c r="D28" s="2"/>
      <c r="E28" s="2"/>
      <c r="F28" s="2"/>
      <c r="G28" s="2"/>
      <c r="H28" s="2"/>
      <c r="I28" s="2"/>
      <c r="J28" s="2"/>
      <c r="K28" s="2"/>
      <c r="L28" s="2"/>
      <c r="M28" s="2"/>
    </row>
    <row r="29" spans="1:13" ht="15" customHeight="1" x14ac:dyDescent="0.2">
      <c r="A29" s="2" t="s">
        <v>719</v>
      </c>
      <c r="B29" s="2"/>
      <c r="C29" s="2"/>
      <c r="D29" s="2"/>
      <c r="E29" s="2"/>
      <c r="F29" s="2"/>
      <c r="G29" s="2"/>
      <c r="H29" s="2"/>
      <c r="I29" s="2"/>
      <c r="J29" s="2"/>
      <c r="K29" s="2"/>
      <c r="L29" s="2"/>
      <c r="M29" s="2"/>
    </row>
    <row r="30" spans="1:13" ht="15" customHeight="1" x14ac:dyDescent="0.2">
      <c r="A30" s="2" t="s">
        <v>720</v>
      </c>
      <c r="B30" s="2"/>
      <c r="C30" s="2"/>
      <c r="D30" s="2"/>
      <c r="E30" s="2"/>
      <c r="F30" s="2"/>
      <c r="G30" s="2"/>
      <c r="H30" s="2"/>
      <c r="I30" s="2"/>
      <c r="J30" s="2"/>
      <c r="K30" s="2"/>
      <c r="L30" s="2"/>
      <c r="M30" s="2"/>
    </row>
    <row r="31" spans="1:13" ht="15" customHeight="1" x14ac:dyDescent="0.2">
      <c r="A31" s="2" t="s">
        <v>721</v>
      </c>
      <c r="B31" s="2"/>
      <c r="C31" s="2"/>
      <c r="D31" s="2"/>
      <c r="E31" s="2"/>
      <c r="F31" s="2"/>
      <c r="G31" s="2"/>
      <c r="H31" s="2"/>
      <c r="I31" s="2"/>
      <c r="J31" s="2"/>
      <c r="K31" s="2"/>
      <c r="L31" s="2"/>
      <c r="M31" s="2"/>
    </row>
    <row r="32" spans="1:13" ht="15" customHeight="1" x14ac:dyDescent="0.2">
      <c r="A32" s="2" t="s">
        <v>722</v>
      </c>
      <c r="B32" s="2"/>
      <c r="C32" s="2"/>
      <c r="D32" s="2"/>
      <c r="E32" s="2"/>
      <c r="F32" s="2"/>
      <c r="G32" s="2"/>
      <c r="H32" s="2"/>
      <c r="I32" s="2"/>
      <c r="J32" s="2"/>
      <c r="K32" s="2"/>
      <c r="L32" s="2"/>
      <c r="M32" s="2"/>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47"/>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723</v>
      </c>
      <c r="B1" s="2"/>
      <c r="C1" s="2"/>
      <c r="D1" s="2"/>
      <c r="E1" s="2"/>
      <c r="F1" s="2"/>
      <c r="G1" s="2"/>
      <c r="H1" s="2"/>
      <c r="I1" s="2"/>
      <c r="J1" s="2"/>
      <c r="K1" s="2"/>
      <c r="L1" s="2"/>
      <c r="M1" s="2"/>
      <c r="N1" s="2"/>
      <c r="O1" s="2"/>
      <c r="P1" s="2"/>
      <c r="Q1" s="2"/>
      <c r="R1" s="2"/>
      <c r="S1" s="2"/>
    </row>
    <row r="2" spans="1:19" ht="15" customHeight="1" x14ac:dyDescent="0.2">
      <c r="A2" s="3" t="s">
        <v>603</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180</v>
      </c>
      <c r="B4" s="27" t="s">
        <v>6</v>
      </c>
      <c r="C4" s="27" t="s">
        <v>162</v>
      </c>
      <c r="D4" s="27" t="s">
        <v>181</v>
      </c>
      <c r="E4" s="27" t="s">
        <v>66</v>
      </c>
      <c r="F4" s="27" t="s">
        <v>604</v>
      </c>
      <c r="G4" s="27" t="s">
        <v>605</v>
      </c>
      <c r="H4" s="27" t="s">
        <v>359</v>
      </c>
      <c r="I4" s="27" t="s">
        <v>68</v>
      </c>
      <c r="J4" s="27" t="s">
        <v>496</v>
      </c>
      <c r="K4" s="27" t="s">
        <v>67</v>
      </c>
      <c r="L4" s="27" t="s">
        <v>606</v>
      </c>
      <c r="M4" s="27" t="s">
        <v>607</v>
      </c>
      <c r="N4" s="27" t="s">
        <v>513</v>
      </c>
      <c r="O4" s="27" t="s">
        <v>608</v>
      </c>
      <c r="P4" s="27" t="s">
        <v>609</v>
      </c>
      <c r="Q4" s="27" t="s">
        <v>523</v>
      </c>
      <c r="R4" s="27" t="s">
        <v>610</v>
      </c>
      <c r="S4" s="27" t="s">
        <v>611</v>
      </c>
    </row>
    <row r="5" spans="1:19" ht="15" customHeight="1" x14ac:dyDescent="0.2">
      <c r="A5" s="6" t="s">
        <v>724</v>
      </c>
      <c r="B5" s="7"/>
      <c r="C5" s="7"/>
      <c r="D5" s="7"/>
      <c r="E5" s="7"/>
      <c r="F5" s="7"/>
      <c r="G5" s="7"/>
      <c r="H5" s="7"/>
      <c r="I5" s="7"/>
      <c r="J5" s="7"/>
      <c r="K5" s="7"/>
      <c r="L5" s="7"/>
      <c r="M5" s="7"/>
      <c r="N5" s="7"/>
      <c r="O5" s="7"/>
      <c r="P5" s="7"/>
      <c r="Q5" s="7"/>
      <c r="R5" s="7"/>
      <c r="S5" s="7"/>
    </row>
    <row r="6" spans="1:19" ht="15" customHeight="1" x14ac:dyDescent="0.2">
      <c r="A6" s="28" t="s">
        <v>725</v>
      </c>
      <c r="B6" s="3" t="s">
        <v>726</v>
      </c>
      <c r="C6" s="31">
        <f>SUM(E6:G6)</f>
        <v>0</v>
      </c>
      <c r="D6" s="31">
        <f>SUM(H6:S6)</f>
        <v>76</v>
      </c>
      <c r="E6" s="8">
        <f>Volume!E23*Inputs!$C$26+Volume!E24*Inputs!$C$27+Volume!E25*Inputs!$C$28+Volume!E27*Inputs!$C$29</f>
        <v>0</v>
      </c>
      <c r="F6" s="8">
        <f>Volume!F23*Inputs!$C$26+Volume!F24*Inputs!$C$27+Volume!F25*Inputs!$C$28+Volume!F27*Inputs!$C$29</f>
        <v>0</v>
      </c>
      <c r="G6" s="8">
        <f>Volume!G23*Inputs!$C$26+Volume!G24*Inputs!$C$27+Volume!G25*Inputs!$C$28+Volume!G27*Inputs!$C$29</f>
        <v>0</v>
      </c>
      <c r="H6" s="8">
        <f>Volume!H23*Inputs!$C$26+Volume!H24*Inputs!$C$27+Volume!H25*Inputs!$C$28+Volume!H27*Inputs!$C$29</f>
        <v>0</v>
      </c>
      <c r="I6" s="8">
        <f>Volume!I23*Inputs!$C$26+Volume!I24*Inputs!$C$27+Volume!I25*Inputs!$C$28+Volume!I27*Inputs!$C$29</f>
        <v>2</v>
      </c>
      <c r="J6" s="8">
        <f>Volume!J23*Inputs!$C$26+Volume!J24*Inputs!$C$27+Volume!J25*Inputs!$C$28+Volume!J27*Inputs!$C$29</f>
        <v>6</v>
      </c>
      <c r="K6" s="8">
        <f>Volume!K23*Inputs!$C$26+Volume!K24*Inputs!$C$27+Volume!K25*Inputs!$C$28+Volume!K27*Inputs!$C$29</f>
        <v>2</v>
      </c>
      <c r="L6" s="8">
        <f>Volume!L23*Inputs!$C$26+Volume!L24*Inputs!$C$27+Volume!L25*Inputs!$C$28+Volume!L27*Inputs!$C$29</f>
        <v>6</v>
      </c>
      <c r="M6" s="8">
        <f>Volume!M23*Inputs!$C$26+Volume!M24*Inputs!$C$27+Volume!M25*Inputs!$C$28+Volume!M27*Inputs!$C$29</f>
        <v>2</v>
      </c>
      <c r="N6" s="8">
        <f>Volume!N23*Inputs!$C$26+Volume!N24*Inputs!$C$27+Volume!N25*Inputs!$C$28+Volume!N27*Inputs!$C$29</f>
        <v>8</v>
      </c>
      <c r="O6" s="8">
        <f>Volume!O23*Inputs!$C$26+Volume!O24*Inputs!$C$27+Volume!O25*Inputs!$C$28+Volume!O27*Inputs!$C$29</f>
        <v>2</v>
      </c>
      <c r="P6" s="8">
        <f>Volume!P23*Inputs!$C$26+Volume!P24*Inputs!$C$27+Volume!P25*Inputs!$C$28+Volume!P27*Inputs!$C$29</f>
        <v>8</v>
      </c>
      <c r="Q6" s="8">
        <f>Volume!Q23*Inputs!$C$26+Volume!Q24*Inputs!$C$27+Volume!Q25*Inputs!$C$28+Volume!Q27*Inputs!$C$29</f>
        <v>10</v>
      </c>
      <c r="R6" s="8">
        <f>Volume!R23*Inputs!$C$26+Volume!R24*Inputs!$C$27+Volume!R25*Inputs!$C$28+Volume!R27*Inputs!$C$29</f>
        <v>16</v>
      </c>
      <c r="S6" s="8">
        <f>Volume!S23*Inputs!$C$26+Volume!S24*Inputs!$C$27+Volume!S25*Inputs!$C$28+Volume!S27*Inputs!$C$29</f>
        <v>14</v>
      </c>
    </row>
    <row r="7" spans="1:19" ht="15" customHeight="1" x14ac:dyDescent="0.2">
      <c r="A7" s="28" t="s">
        <v>727</v>
      </c>
      <c r="B7" s="3" t="s">
        <v>305</v>
      </c>
      <c r="C7" s="31">
        <f>SUM(E7:G7)</f>
        <v>0</v>
      </c>
      <c r="D7" s="31">
        <f>SUM(H7:S7)</f>
        <v>116</v>
      </c>
      <c r="E7" s="8">
        <f>Volume!E23*Inputs!$C$26*Inputs!$C$30+Volume!E24*Inputs!$C$27*Inputs!$C$31+Volume!E25*Inputs!$C$28*Inputs!$C$32+Volume!E27*Inputs!$C$29*Inputs!$C$33</f>
        <v>0</v>
      </c>
      <c r="F7" s="8">
        <f>Volume!F23*Inputs!$C$26*Inputs!$C$30+Volume!F24*Inputs!$C$27*Inputs!$C$31+Volume!F25*Inputs!$C$28*Inputs!$C$32+Volume!F27*Inputs!$C$29*Inputs!$C$33</f>
        <v>0</v>
      </c>
      <c r="G7" s="8">
        <f>Volume!G23*Inputs!$C$26*Inputs!$C$30+Volume!G24*Inputs!$C$27*Inputs!$C$31+Volume!G25*Inputs!$C$28*Inputs!$C$32+Volume!G27*Inputs!$C$29*Inputs!$C$33</f>
        <v>0</v>
      </c>
      <c r="H7" s="8">
        <f>Volume!H23*Inputs!$C$26*Inputs!$C$30+Volume!H24*Inputs!$C$27*Inputs!$C$31+Volume!H25*Inputs!$C$28*Inputs!$C$32+Volume!H27*Inputs!$C$29*Inputs!$C$33</f>
        <v>0</v>
      </c>
      <c r="I7" s="8">
        <f>Volume!I23*Inputs!$C$26*Inputs!$C$30+Volume!I24*Inputs!$C$27*Inputs!$C$31+Volume!I25*Inputs!$C$28*Inputs!$C$32+Volume!I27*Inputs!$C$29*Inputs!$C$33</f>
        <v>2</v>
      </c>
      <c r="J7" s="8">
        <f>Volume!J23*Inputs!$C$26*Inputs!$C$30+Volume!J24*Inputs!$C$27*Inputs!$C$31+Volume!J25*Inputs!$C$28*Inputs!$C$32+Volume!J27*Inputs!$C$29*Inputs!$C$33</f>
        <v>14</v>
      </c>
      <c r="K7" s="8">
        <f>Volume!K23*Inputs!$C$26*Inputs!$C$30+Volume!K24*Inputs!$C$27*Inputs!$C$31+Volume!K25*Inputs!$C$28*Inputs!$C$32+Volume!K27*Inputs!$C$29*Inputs!$C$33</f>
        <v>2</v>
      </c>
      <c r="L7" s="8">
        <f>Volume!L23*Inputs!$C$26*Inputs!$C$30+Volume!L24*Inputs!$C$27*Inputs!$C$31+Volume!L25*Inputs!$C$28*Inputs!$C$32+Volume!L27*Inputs!$C$29*Inputs!$C$33</f>
        <v>14</v>
      </c>
      <c r="M7" s="8">
        <f>Volume!M23*Inputs!$C$26*Inputs!$C$30+Volume!M24*Inputs!$C$27*Inputs!$C$31+Volume!M25*Inputs!$C$28*Inputs!$C$32+Volume!M27*Inputs!$C$29*Inputs!$C$33</f>
        <v>2</v>
      </c>
      <c r="N7" s="8">
        <f>Volume!N23*Inputs!$C$26*Inputs!$C$30+Volume!N24*Inputs!$C$27*Inputs!$C$31+Volume!N25*Inputs!$C$28*Inputs!$C$32+Volume!N27*Inputs!$C$29*Inputs!$C$33</f>
        <v>16</v>
      </c>
      <c r="O7" s="8">
        <f>Volume!O23*Inputs!$C$26*Inputs!$C$30+Volume!O24*Inputs!$C$27*Inputs!$C$31+Volume!O25*Inputs!$C$28*Inputs!$C$32+Volume!O27*Inputs!$C$29*Inputs!$C$33</f>
        <v>2</v>
      </c>
      <c r="P7" s="8">
        <f>Volume!P23*Inputs!$C$26*Inputs!$C$30+Volume!P24*Inputs!$C$27*Inputs!$C$31+Volume!P25*Inputs!$C$28*Inputs!$C$32+Volume!P27*Inputs!$C$29*Inputs!$C$33</f>
        <v>16</v>
      </c>
      <c r="Q7" s="8">
        <f>Volume!Q23*Inputs!$C$26*Inputs!$C$30+Volume!Q24*Inputs!$C$27*Inputs!$C$31+Volume!Q25*Inputs!$C$28*Inputs!$C$32+Volume!Q27*Inputs!$C$29*Inputs!$C$33</f>
        <v>10</v>
      </c>
      <c r="R7" s="8">
        <f>Volume!R23*Inputs!$C$26*Inputs!$C$30+Volume!R24*Inputs!$C$27*Inputs!$C$31+Volume!R25*Inputs!$C$28*Inputs!$C$32+Volume!R27*Inputs!$C$29*Inputs!$C$33</f>
        <v>24</v>
      </c>
      <c r="S7" s="8">
        <f>Volume!S23*Inputs!$C$26*Inputs!$C$30+Volume!S24*Inputs!$C$27*Inputs!$C$31+Volume!S25*Inputs!$C$28*Inputs!$C$32+Volume!S27*Inputs!$C$29*Inputs!$C$33</f>
        <v>14</v>
      </c>
    </row>
    <row r="8" spans="1:19" ht="15" customHeight="1" x14ac:dyDescent="0.2">
      <c r="A8" s="28" t="s">
        <v>728</v>
      </c>
      <c r="B8" s="3" t="s">
        <v>43</v>
      </c>
      <c r="C8" s="29">
        <f>MAX(E8:G8)</f>
        <v>0</v>
      </c>
      <c r="D8" s="29">
        <f>MAX(H8:S8)</f>
        <v>8</v>
      </c>
      <c r="E8" s="10">
        <f>ROUNDUP(E6/Inputs!$C$34,0)</f>
        <v>0</v>
      </c>
      <c r="F8" s="10">
        <f>ROUNDUP(F6/Inputs!$C$34,0)</f>
        <v>0</v>
      </c>
      <c r="G8" s="10">
        <f>ROUNDUP(G6/Inputs!$C$34,0)</f>
        <v>0</v>
      </c>
      <c r="H8" s="10">
        <f>ROUNDUP(H6/Inputs!$C$34,0)</f>
        <v>0</v>
      </c>
      <c r="I8" s="10">
        <f>ROUNDUP(I6/Inputs!$C$34,0)</f>
        <v>1</v>
      </c>
      <c r="J8" s="10">
        <f>ROUNDUP(J6/Inputs!$C$34,0)</f>
        <v>3</v>
      </c>
      <c r="K8" s="10">
        <f>ROUNDUP(K6/Inputs!$C$34,0)</f>
        <v>1</v>
      </c>
      <c r="L8" s="10">
        <f>ROUNDUP(L6/Inputs!$C$34,0)</f>
        <v>3</v>
      </c>
      <c r="M8" s="10">
        <f>ROUNDUP(M6/Inputs!$C$34,0)</f>
        <v>1</v>
      </c>
      <c r="N8" s="10">
        <f>ROUNDUP(N6/Inputs!$C$34,0)</f>
        <v>4</v>
      </c>
      <c r="O8" s="10">
        <f>ROUNDUP(O6/Inputs!$C$34,0)</f>
        <v>1</v>
      </c>
      <c r="P8" s="10">
        <f>ROUNDUP(P6/Inputs!$C$34,0)</f>
        <v>4</v>
      </c>
      <c r="Q8" s="10">
        <f>ROUNDUP(Q6/Inputs!$C$34,0)</f>
        <v>5</v>
      </c>
      <c r="R8" s="10">
        <f>ROUNDUP(R6/Inputs!$C$34,0)</f>
        <v>8</v>
      </c>
      <c r="S8" s="10">
        <f>ROUNDUP(S6/Inputs!$C$34,0)</f>
        <v>7</v>
      </c>
    </row>
    <row r="9" spans="1:19" ht="15" customHeight="1" x14ac:dyDescent="0.2">
      <c r="A9" s="28" t="s">
        <v>729</v>
      </c>
      <c r="B9" s="3" t="s">
        <v>43</v>
      </c>
      <c r="C9" s="29">
        <f>G9</f>
        <v>2</v>
      </c>
      <c r="D9" s="29">
        <f>S9</f>
        <v>8</v>
      </c>
      <c r="E9" s="10">
        <f>MAX(Inputs!$C$35,E8)</f>
        <v>2</v>
      </c>
      <c r="F9" s="10">
        <f t="shared" ref="F9:S9" si="0">MAX(E9,F8)</f>
        <v>2</v>
      </c>
      <c r="G9" s="10">
        <f t="shared" si="0"/>
        <v>2</v>
      </c>
      <c r="H9" s="10">
        <f t="shared" si="0"/>
        <v>2</v>
      </c>
      <c r="I9" s="10">
        <f t="shared" si="0"/>
        <v>2</v>
      </c>
      <c r="J9" s="10">
        <f t="shared" si="0"/>
        <v>3</v>
      </c>
      <c r="K9" s="10">
        <f t="shared" si="0"/>
        <v>3</v>
      </c>
      <c r="L9" s="10">
        <f t="shared" si="0"/>
        <v>3</v>
      </c>
      <c r="M9" s="10">
        <f t="shared" si="0"/>
        <v>3</v>
      </c>
      <c r="N9" s="10">
        <f t="shared" si="0"/>
        <v>4</v>
      </c>
      <c r="O9" s="10">
        <f t="shared" si="0"/>
        <v>4</v>
      </c>
      <c r="P9" s="10">
        <f t="shared" si="0"/>
        <v>4</v>
      </c>
      <c r="Q9" s="10">
        <f t="shared" si="0"/>
        <v>5</v>
      </c>
      <c r="R9" s="10">
        <f t="shared" si="0"/>
        <v>8</v>
      </c>
      <c r="S9" s="10">
        <f t="shared" si="0"/>
        <v>8</v>
      </c>
    </row>
    <row r="10" spans="1:19" ht="15" customHeight="1" x14ac:dyDescent="0.2">
      <c r="A10" s="28" t="s">
        <v>730</v>
      </c>
      <c r="B10" s="3" t="s">
        <v>43</v>
      </c>
      <c r="C10" s="29">
        <f>SUM(E10:G10)</f>
        <v>0</v>
      </c>
      <c r="D10" s="29">
        <f>SUM(H10:S10)</f>
        <v>6</v>
      </c>
      <c r="E10" s="10">
        <f>E9-Inputs!$C$35</f>
        <v>0</v>
      </c>
      <c r="F10" s="10">
        <f t="shared" ref="F10:S10" si="1">F9-E9</f>
        <v>0</v>
      </c>
      <c r="G10" s="10">
        <f t="shared" si="1"/>
        <v>0</v>
      </c>
      <c r="H10" s="10">
        <f t="shared" si="1"/>
        <v>0</v>
      </c>
      <c r="I10" s="10">
        <f t="shared" si="1"/>
        <v>0</v>
      </c>
      <c r="J10" s="10">
        <f t="shared" si="1"/>
        <v>1</v>
      </c>
      <c r="K10" s="10">
        <f t="shared" si="1"/>
        <v>0</v>
      </c>
      <c r="L10" s="10">
        <f t="shared" si="1"/>
        <v>0</v>
      </c>
      <c r="M10" s="10">
        <f t="shared" si="1"/>
        <v>0</v>
      </c>
      <c r="N10" s="10">
        <f t="shared" si="1"/>
        <v>1</v>
      </c>
      <c r="O10" s="10">
        <f t="shared" si="1"/>
        <v>0</v>
      </c>
      <c r="P10" s="10">
        <f t="shared" si="1"/>
        <v>0</v>
      </c>
      <c r="Q10" s="10">
        <f t="shared" si="1"/>
        <v>1</v>
      </c>
      <c r="R10" s="10">
        <f t="shared" si="1"/>
        <v>3</v>
      </c>
      <c r="S10" s="10">
        <f t="shared" si="1"/>
        <v>0</v>
      </c>
    </row>
    <row r="11" spans="1:19" ht="15" customHeight="1" x14ac:dyDescent="0.2">
      <c r="A11" s="28" t="s">
        <v>731</v>
      </c>
      <c r="B11" s="3" t="s">
        <v>43</v>
      </c>
      <c r="C11" s="29">
        <f>MIN(E11:G11)</f>
        <v>11</v>
      </c>
      <c r="D11" s="29">
        <f>MIN(H11:S11)</f>
        <v>3</v>
      </c>
      <c r="E11" s="10">
        <f>Inputs!$C$36-E8</f>
        <v>11</v>
      </c>
      <c r="F11" s="10">
        <f>Inputs!$C$36-F8</f>
        <v>11</v>
      </c>
      <c r="G11" s="10">
        <f>Inputs!$C$36-G8</f>
        <v>11</v>
      </c>
      <c r="H11" s="10">
        <f>Inputs!$C$36-H8</f>
        <v>11</v>
      </c>
      <c r="I11" s="10">
        <f>Inputs!$C$36-I8</f>
        <v>10</v>
      </c>
      <c r="J11" s="10">
        <f>Inputs!$C$36-J8</f>
        <v>8</v>
      </c>
      <c r="K11" s="10">
        <f>Inputs!$C$36-K8</f>
        <v>10</v>
      </c>
      <c r="L11" s="10">
        <f>Inputs!$C$36-L8</f>
        <v>8</v>
      </c>
      <c r="M11" s="10">
        <f>Inputs!$C$36-M8</f>
        <v>10</v>
      </c>
      <c r="N11" s="10">
        <f>Inputs!$C$36-N8</f>
        <v>7</v>
      </c>
      <c r="O11" s="10">
        <f>Inputs!$C$36-O8</f>
        <v>10</v>
      </c>
      <c r="P11" s="10">
        <f>Inputs!$C$36-P8</f>
        <v>7</v>
      </c>
      <c r="Q11" s="10">
        <f>Inputs!$C$36-Q8</f>
        <v>6</v>
      </c>
      <c r="R11" s="10">
        <f>Inputs!$C$36-R8</f>
        <v>3</v>
      </c>
      <c r="S11" s="10">
        <f>Inputs!$C$36-S8</f>
        <v>4</v>
      </c>
    </row>
    <row r="12" spans="1:19" ht="15" customHeight="1" x14ac:dyDescent="0.2">
      <c r="A12" s="2"/>
      <c r="B12" s="2"/>
      <c r="C12" s="2"/>
      <c r="D12" s="2"/>
      <c r="E12" s="2"/>
      <c r="F12" s="2"/>
      <c r="G12" s="2"/>
      <c r="H12" s="2"/>
      <c r="I12" s="2"/>
      <c r="J12" s="2"/>
      <c r="K12" s="2"/>
      <c r="L12" s="2"/>
      <c r="M12" s="2"/>
      <c r="N12" s="2"/>
      <c r="O12" s="2"/>
      <c r="P12" s="2"/>
      <c r="Q12" s="2"/>
      <c r="R12" s="2"/>
      <c r="S12" s="2"/>
    </row>
    <row r="13" spans="1:19" ht="15" customHeight="1" x14ac:dyDescent="0.2">
      <c r="A13" s="6" t="s">
        <v>732</v>
      </c>
      <c r="B13" s="7"/>
      <c r="C13" s="7"/>
      <c r="D13" s="7"/>
      <c r="E13" s="7"/>
      <c r="F13" s="7"/>
      <c r="G13" s="7"/>
      <c r="H13" s="7"/>
      <c r="I13" s="7"/>
      <c r="J13" s="7"/>
      <c r="K13" s="7"/>
      <c r="L13" s="7"/>
      <c r="M13" s="7"/>
      <c r="N13" s="7"/>
      <c r="O13" s="7"/>
      <c r="P13" s="7"/>
      <c r="Q13" s="7"/>
      <c r="R13" s="7"/>
      <c r="S13" s="7"/>
    </row>
    <row r="14" spans="1:19" ht="15" customHeight="1" x14ac:dyDescent="0.2">
      <c r="A14" s="28" t="s">
        <v>733</v>
      </c>
      <c r="B14" s="3" t="s">
        <v>26</v>
      </c>
      <c r="C14" s="31">
        <f>MAX(E14:G14)</f>
        <v>0</v>
      </c>
      <c r="D14" s="31">
        <f>MAX(H14:S14)</f>
        <v>5.333333333333333</v>
      </c>
      <c r="E14" s="8">
        <f>AVERAGE(Volume!E29:E29)</f>
        <v>0</v>
      </c>
      <c r="F14" s="8">
        <f>AVERAGE(Volume!E29:F29)</f>
        <v>0</v>
      </c>
      <c r="G14" s="8">
        <f>AVERAGE(Volume!E29:G29)</f>
        <v>0</v>
      </c>
      <c r="H14" s="8">
        <f>AVERAGE(Volume!F29:H29)</f>
        <v>0</v>
      </c>
      <c r="I14" s="8">
        <f>AVERAGE(Volume!G29:I29)</f>
        <v>0</v>
      </c>
      <c r="J14" s="8">
        <f>AVERAGE(Volume!H29:J29)</f>
        <v>0.66666666666666663</v>
      </c>
      <c r="K14" s="8">
        <f>AVERAGE(Volume!I29:K29)</f>
        <v>1</v>
      </c>
      <c r="L14" s="8">
        <f>AVERAGE(Volume!J29:L29)</f>
        <v>1.6666666666666667</v>
      </c>
      <c r="M14" s="8">
        <f>AVERAGE(Volume!K29:M29)</f>
        <v>1.3333333333333333</v>
      </c>
      <c r="N14" s="8">
        <f>AVERAGE(Volume!L29:N29)</f>
        <v>2</v>
      </c>
      <c r="O14" s="8">
        <f>AVERAGE(Volume!M29:O29)</f>
        <v>1.6666666666666667</v>
      </c>
      <c r="P14" s="8">
        <f>AVERAGE(Volume!N29:P29)</f>
        <v>2.3333333333333335</v>
      </c>
      <c r="Q14" s="8">
        <f>AVERAGE(Volume!O29:Q29)</f>
        <v>2.6666666666666665</v>
      </c>
      <c r="R14" s="8">
        <f>AVERAGE(Volume!P29:R29)</f>
        <v>4.333333333333333</v>
      </c>
      <c r="S14" s="8">
        <f>AVERAGE(Volume!Q29:S29)</f>
        <v>5.333333333333333</v>
      </c>
    </row>
    <row r="15" spans="1:19" ht="15" customHeight="1" x14ac:dyDescent="0.2">
      <c r="A15" s="28" t="s">
        <v>734</v>
      </c>
      <c r="B15" s="3" t="s">
        <v>216</v>
      </c>
      <c r="C15" s="29">
        <f>G15</f>
        <v>0</v>
      </c>
      <c r="D15" s="29">
        <f>S15</f>
        <v>1</v>
      </c>
      <c r="E15" s="10">
        <f>0</f>
        <v>0</v>
      </c>
      <c r="F15" s="10">
        <f>IF(OR(E15=1,E14&gt;=Inputs!$C$57),1,0)</f>
        <v>0</v>
      </c>
      <c r="G15" s="10">
        <f>IF(OR(F15=1,F14&gt;=Inputs!$C$57),1,0)</f>
        <v>0</v>
      </c>
      <c r="H15" s="10">
        <f>IF(OR(G15=1,G14&gt;=Inputs!$C$57),1,0)</f>
        <v>0</v>
      </c>
      <c r="I15" s="10">
        <f>IF(OR(H15=1,H14&gt;=Inputs!$C$57),1,0)</f>
        <v>0</v>
      </c>
      <c r="J15" s="10">
        <f>IF(OR(I15=1,I14&gt;=Inputs!$C$57),1,0)</f>
        <v>0</v>
      </c>
      <c r="K15" s="10">
        <f>IF(OR(J15=1,J14&gt;=Inputs!$C$57),1,0)</f>
        <v>0</v>
      </c>
      <c r="L15" s="10">
        <f>IF(OR(K15=1,K14&gt;=Inputs!$C$57),1,0)</f>
        <v>0</v>
      </c>
      <c r="M15" s="10">
        <f>IF(OR(L15=1,L14&gt;=Inputs!$C$57),1,0)</f>
        <v>0</v>
      </c>
      <c r="N15" s="10">
        <f>IF(OR(M15=1,M14&gt;=Inputs!$C$57),1,0)</f>
        <v>0</v>
      </c>
      <c r="O15" s="10">
        <f>IF(OR(N15=1,N14&gt;=Inputs!$C$57),1,0)</f>
        <v>0</v>
      </c>
      <c r="P15" s="10">
        <f>IF(OR(O15=1,O14&gt;=Inputs!$C$57),1,0)</f>
        <v>0</v>
      </c>
      <c r="Q15" s="10">
        <f>IF(OR(P15=1,P14&gt;=Inputs!$C$57),1,0)</f>
        <v>0</v>
      </c>
      <c r="R15" s="10">
        <f>IF(OR(Q15=1,Q14&gt;=Inputs!$C$57),1,0)</f>
        <v>0</v>
      </c>
      <c r="S15" s="10">
        <f>IF(OR(R15=1,R14&gt;=Inputs!$C$57),1,0)</f>
        <v>1</v>
      </c>
    </row>
    <row r="16" spans="1:19" ht="15" customHeight="1" x14ac:dyDescent="0.2">
      <c r="A16" s="28" t="s">
        <v>735</v>
      </c>
      <c r="B16" s="3" t="s">
        <v>216</v>
      </c>
      <c r="C16" s="29">
        <f>G16</f>
        <v>0</v>
      </c>
      <c r="D16" s="29">
        <f>S16</f>
        <v>0</v>
      </c>
      <c r="E16" s="10">
        <f>IF(AND(Inputs!$C$52=1,Volume!E6&gt;=IFERROR(MATCH(Inputs!$C$54,Volume!$E$4:$S$4,0),99)),1,0)</f>
        <v>0</v>
      </c>
      <c r="F16" s="10">
        <f>IF(AND(Inputs!$C$52=1,Volume!F6&gt;=IFERROR(MATCH(Inputs!$C$54,Volume!$E$4:$S$4,0),99)),1,0)</f>
        <v>0</v>
      </c>
      <c r="G16" s="10">
        <f>IF(AND(Inputs!$C$52=1,Volume!G6&gt;=IFERROR(MATCH(Inputs!$C$54,Volume!$E$4:$S$4,0),99)),1,0)</f>
        <v>0</v>
      </c>
      <c r="H16" s="10">
        <f>IF(AND(Inputs!$C$52=1,Volume!H6&gt;=IFERROR(MATCH(Inputs!$C$54,Volume!$E$4:$S$4,0),99)),1,0)</f>
        <v>0</v>
      </c>
      <c r="I16" s="10">
        <f>IF(AND(Inputs!$C$52=1,Volume!I6&gt;=IFERROR(MATCH(Inputs!$C$54,Volume!$E$4:$S$4,0),99)),1,0)</f>
        <v>0</v>
      </c>
      <c r="J16" s="10">
        <f>IF(AND(Inputs!$C$52=1,Volume!J6&gt;=IFERROR(MATCH(Inputs!$C$54,Volume!$E$4:$S$4,0),99)),1,0)</f>
        <v>0</v>
      </c>
      <c r="K16" s="10">
        <f>IF(AND(Inputs!$C$52=1,Volume!K6&gt;=IFERROR(MATCH(Inputs!$C$54,Volume!$E$4:$S$4,0),99)),1,0)</f>
        <v>0</v>
      </c>
      <c r="L16" s="10">
        <f>IF(AND(Inputs!$C$52=1,Volume!L6&gt;=IFERROR(MATCH(Inputs!$C$54,Volume!$E$4:$S$4,0),99)),1,0)</f>
        <v>0</v>
      </c>
      <c r="M16" s="10">
        <f>IF(AND(Inputs!$C$52=1,Volume!M6&gt;=IFERROR(MATCH(Inputs!$C$54,Volume!$E$4:$S$4,0),99)),1,0)</f>
        <v>0</v>
      </c>
      <c r="N16" s="10">
        <f>IF(AND(Inputs!$C$52=1,Volume!N6&gt;=IFERROR(MATCH(Inputs!$C$54,Volume!$E$4:$S$4,0),99)),1,0)</f>
        <v>0</v>
      </c>
      <c r="O16" s="10">
        <f>IF(AND(Inputs!$C$52=1,Volume!O6&gt;=IFERROR(MATCH(Inputs!$C$54,Volume!$E$4:$S$4,0),99)),1,0)</f>
        <v>0</v>
      </c>
      <c r="P16" s="10">
        <f>IF(AND(Inputs!$C$52=1,Volume!P6&gt;=IFERROR(MATCH(Inputs!$C$54,Volume!$E$4:$S$4,0),99)),1,0)</f>
        <v>0</v>
      </c>
      <c r="Q16" s="10">
        <f>IF(AND(Inputs!$C$52=1,Volume!Q6&gt;=IFERROR(MATCH(Inputs!$C$54,Volume!$E$4:$S$4,0),99)),1,0)</f>
        <v>0</v>
      </c>
      <c r="R16" s="10">
        <f>IF(AND(Inputs!$C$52=1,Volume!R6&gt;=IFERROR(MATCH(Inputs!$C$54,Volume!$E$4:$S$4,0),99)),1,0)</f>
        <v>0</v>
      </c>
      <c r="S16" s="10">
        <f>IF(AND(Inputs!$C$52=1,Volume!S6&gt;=IFERROR(MATCH(Inputs!$C$54,Volume!$E$4:$S$4,0),99)),1,0)</f>
        <v>0</v>
      </c>
    </row>
    <row r="17" spans="1:19" ht="15" customHeight="1" x14ac:dyDescent="0.2">
      <c r="A17" s="28" t="s">
        <v>736</v>
      </c>
      <c r="B17" s="3" t="s">
        <v>216</v>
      </c>
      <c r="C17" s="29">
        <f>G17</f>
        <v>0</v>
      </c>
      <c r="D17" s="29">
        <f>S17</f>
        <v>1</v>
      </c>
      <c r="E17" s="10">
        <f>IF(Volume!E6&gt;=IFERROR(MATCH(Inputs!$C$51,Volume!$E$4:$S$4,0),99),1,0)</f>
        <v>0</v>
      </c>
      <c r="F17" s="10">
        <f>IF(Volume!F6&gt;=IFERROR(MATCH(Inputs!$C$51,Volume!$E$4:$S$4,0),99),1,0)</f>
        <v>0</v>
      </c>
      <c r="G17" s="10">
        <f>IF(Volume!G6&gt;=IFERROR(MATCH(Inputs!$C$51,Volume!$E$4:$S$4,0),99),1,0)</f>
        <v>0</v>
      </c>
      <c r="H17" s="10">
        <f>IF(Volume!H6&gt;=IFERROR(MATCH(Inputs!$C$51,Volume!$E$4:$S$4,0),99),1,0)</f>
        <v>1</v>
      </c>
      <c r="I17" s="10">
        <f>IF(Volume!I6&gt;=IFERROR(MATCH(Inputs!$C$51,Volume!$E$4:$S$4,0),99),1,0)</f>
        <v>1</v>
      </c>
      <c r="J17" s="10">
        <f>IF(Volume!J6&gt;=IFERROR(MATCH(Inputs!$C$51,Volume!$E$4:$S$4,0),99),1,0)</f>
        <v>1</v>
      </c>
      <c r="K17" s="10">
        <f>IF(Volume!K6&gt;=IFERROR(MATCH(Inputs!$C$51,Volume!$E$4:$S$4,0),99),1,0)</f>
        <v>1</v>
      </c>
      <c r="L17" s="10">
        <f>IF(Volume!L6&gt;=IFERROR(MATCH(Inputs!$C$51,Volume!$E$4:$S$4,0),99),1,0)</f>
        <v>1</v>
      </c>
      <c r="M17" s="10">
        <f>IF(Volume!M6&gt;=IFERROR(MATCH(Inputs!$C$51,Volume!$E$4:$S$4,0),99),1,0)</f>
        <v>1</v>
      </c>
      <c r="N17" s="10">
        <f>IF(Volume!N6&gt;=IFERROR(MATCH(Inputs!$C$51,Volume!$E$4:$S$4,0),99),1,0)</f>
        <v>1</v>
      </c>
      <c r="O17" s="10">
        <f>IF(Volume!O6&gt;=IFERROR(MATCH(Inputs!$C$51,Volume!$E$4:$S$4,0),99),1,0)</f>
        <v>1</v>
      </c>
      <c r="P17" s="10">
        <f>IF(Volume!P6&gt;=IFERROR(MATCH(Inputs!$C$51,Volume!$E$4:$S$4,0),99),1,0)</f>
        <v>1</v>
      </c>
      <c r="Q17" s="10">
        <f>IF(Volume!Q6&gt;=IFERROR(MATCH(Inputs!$C$51,Volume!$E$4:$S$4,0),99),1,0)</f>
        <v>1</v>
      </c>
      <c r="R17" s="10">
        <f>IF(Volume!R6&gt;=IFERROR(MATCH(Inputs!$C$51,Volume!$E$4:$S$4,0),99),1,0)</f>
        <v>1</v>
      </c>
      <c r="S17" s="10">
        <f>IF(Volume!S6&gt;=IFERROR(MATCH(Inputs!$C$51,Volume!$E$4:$S$4,0),99),1,0)</f>
        <v>1</v>
      </c>
    </row>
    <row r="18" spans="1:19" ht="15" customHeight="1" x14ac:dyDescent="0.2">
      <c r="A18" s="28" t="s">
        <v>737</v>
      </c>
      <c r="B18" s="3" t="s">
        <v>382</v>
      </c>
      <c r="C18" s="31">
        <f>MAX(E18:G18)</f>
        <v>2.33</v>
      </c>
      <c r="D18" s="31">
        <f>MAX(H18:S18)</f>
        <v>11.33</v>
      </c>
      <c r="E18" s="8">
        <f>Volume!E23+Volume!E24+Volume!E25+Volume!E26+Volume!E27+Inputs!$C$59</f>
        <v>2.33</v>
      </c>
      <c r="F18" s="8">
        <f>Volume!F23+Volume!F24+Volume!F25+Volume!F26+Volume!F27+Inputs!$C$59</f>
        <v>2.33</v>
      </c>
      <c r="G18" s="8">
        <f>Volume!G23+Volume!G24+Volume!G25+Volume!G26+Volume!G27+Inputs!$C$59</f>
        <v>2.33</v>
      </c>
      <c r="H18" s="8">
        <f>Volume!H23+Volume!H24+Volume!H25+Volume!H26+Volume!H27+Inputs!$C$59</f>
        <v>2.33</v>
      </c>
      <c r="I18" s="8">
        <f>Volume!I23+Volume!I24+Volume!I25+Volume!I26+Volume!I27+Inputs!$C$59</f>
        <v>4.33</v>
      </c>
      <c r="J18" s="8">
        <f>Volume!J23+Volume!J24+Volume!J25+Volume!J26+Volume!J27+Inputs!$C$59</f>
        <v>5.33</v>
      </c>
      <c r="K18" s="8">
        <f>Volume!K23+Volume!K24+Volume!K25+Volume!K26+Volume!K27+Inputs!$C$59</f>
        <v>4.33</v>
      </c>
      <c r="L18" s="8">
        <f>Volume!L23+Volume!L24+Volume!L25+Volume!L26+Volume!L27+Inputs!$C$59</f>
        <v>5.33</v>
      </c>
      <c r="M18" s="8">
        <f>Volume!M23+Volume!M24+Volume!M25+Volume!M26+Volume!M27+Inputs!$C$59</f>
        <v>4.33</v>
      </c>
      <c r="N18" s="8">
        <f>Volume!N23+Volume!N24+Volume!N25+Volume!N26+Volume!N27+Inputs!$C$59</f>
        <v>7.33</v>
      </c>
      <c r="O18" s="8">
        <f>Volume!O23+Volume!O24+Volume!O25+Volume!O26+Volume!O27+Inputs!$C$59</f>
        <v>5.33</v>
      </c>
      <c r="P18" s="8">
        <f>Volume!P23+Volume!P24+Volume!P25+Volume!P26+Volume!P27+Inputs!$C$59</f>
        <v>7.33</v>
      </c>
      <c r="Q18" s="8">
        <f>Volume!Q23+Volume!Q24+Volume!Q25+Volume!Q26+Volume!Q27+Inputs!$C$59</f>
        <v>9.33</v>
      </c>
      <c r="R18" s="8">
        <f>Volume!R23+Volume!R24+Volume!R25+Volume!R26+Volume!R27+Inputs!$C$59</f>
        <v>11.33</v>
      </c>
      <c r="S18" s="8">
        <f>Volume!S23+Volume!S24+Volume!S25+Volume!S26+Volume!S27+Inputs!$C$59</f>
        <v>11.33</v>
      </c>
    </row>
    <row r="19" spans="1:19" ht="15" customHeight="1" x14ac:dyDescent="0.2">
      <c r="A19" s="28" t="s">
        <v>738</v>
      </c>
      <c r="B19" s="3" t="s">
        <v>216</v>
      </c>
      <c r="C19" s="29">
        <f>G19</f>
        <v>0</v>
      </c>
      <c r="D19" s="29">
        <f>S19</f>
        <v>0</v>
      </c>
      <c r="E19" s="10">
        <f>IF(E18&gt;Inputs!$C$58,1,0)</f>
        <v>0</v>
      </c>
      <c r="F19" s="10">
        <f>IF(OR(E19=1,F18&gt;Inputs!$C$58),1,0)</f>
        <v>0</v>
      </c>
      <c r="G19" s="10">
        <f>IF(OR(F19=1,G18&gt;Inputs!$C$58),1,0)</f>
        <v>0</v>
      </c>
      <c r="H19" s="10">
        <f>IF(OR(G19=1,H18&gt;Inputs!$C$58),1,0)</f>
        <v>0</v>
      </c>
      <c r="I19" s="10">
        <f>IF(OR(H19=1,I18&gt;Inputs!$C$58),1,0)</f>
        <v>0</v>
      </c>
      <c r="J19" s="10">
        <f>IF(OR(I19=1,J18&gt;Inputs!$C$58),1,0)</f>
        <v>0</v>
      </c>
      <c r="K19" s="10">
        <f>IF(OR(J19=1,K18&gt;Inputs!$C$58),1,0)</f>
        <v>0</v>
      </c>
      <c r="L19" s="10">
        <f>IF(OR(K19=1,L18&gt;Inputs!$C$58),1,0)</f>
        <v>0</v>
      </c>
      <c r="M19" s="10">
        <f>IF(OR(L19=1,M18&gt;Inputs!$C$58),1,0)</f>
        <v>0</v>
      </c>
      <c r="N19" s="10">
        <f>IF(OR(M19=1,N18&gt;Inputs!$C$58),1,0)</f>
        <v>0</v>
      </c>
      <c r="O19" s="10">
        <f>IF(OR(N19=1,O18&gt;Inputs!$C$58),1,0)</f>
        <v>0</v>
      </c>
      <c r="P19" s="10">
        <f>IF(OR(O19=1,P18&gt;Inputs!$C$58),1,0)</f>
        <v>0</v>
      </c>
      <c r="Q19" s="10">
        <f>IF(OR(P19=1,Q18&gt;Inputs!$C$58),1,0)</f>
        <v>0</v>
      </c>
      <c r="R19" s="10">
        <f>IF(OR(Q19=1,R18&gt;Inputs!$C$58),1,0)</f>
        <v>0</v>
      </c>
      <c r="S19" s="10">
        <f>IF(OR(R19=1,S18&gt;Inputs!$C$58),1,0)</f>
        <v>0</v>
      </c>
    </row>
    <row r="20" spans="1:19" ht="15" customHeight="1" x14ac:dyDescent="0.2">
      <c r="A20" s="2"/>
      <c r="B20" s="2"/>
      <c r="C20" s="2"/>
      <c r="D20" s="2"/>
      <c r="E20" s="2"/>
      <c r="F20" s="2"/>
      <c r="G20" s="2"/>
      <c r="H20" s="2"/>
      <c r="I20" s="2"/>
      <c r="J20" s="2"/>
      <c r="K20" s="2"/>
      <c r="L20" s="2"/>
      <c r="M20" s="2"/>
      <c r="N20" s="2"/>
      <c r="O20" s="2"/>
      <c r="P20" s="2"/>
      <c r="Q20" s="2"/>
      <c r="R20" s="2"/>
      <c r="S20" s="2"/>
    </row>
    <row r="21" spans="1:19" ht="15" customHeight="1" x14ac:dyDescent="0.2">
      <c r="A21" s="6" t="s">
        <v>739</v>
      </c>
      <c r="B21" s="7"/>
      <c r="C21" s="7"/>
      <c r="D21" s="7"/>
      <c r="E21" s="7"/>
      <c r="F21" s="7"/>
      <c r="G21" s="7"/>
      <c r="H21" s="7"/>
      <c r="I21" s="7"/>
      <c r="J21" s="7"/>
      <c r="K21" s="7"/>
      <c r="L21" s="7"/>
      <c r="M21" s="7"/>
      <c r="N21" s="7"/>
      <c r="O21" s="7"/>
      <c r="P21" s="7"/>
      <c r="Q21" s="7"/>
      <c r="R21" s="7"/>
      <c r="S21" s="7"/>
    </row>
    <row r="22" spans="1:19" ht="15" customHeight="1" x14ac:dyDescent="0.2">
      <c r="A22" s="28" t="s">
        <v>740</v>
      </c>
      <c r="B22" s="3" t="s">
        <v>10</v>
      </c>
      <c r="C22" s="31">
        <f t="shared" ref="C22:C32" si="2">SUM(E22:G22)</f>
        <v>33.900000000000006</v>
      </c>
      <c r="D22" s="31">
        <f t="shared" ref="D22:D32" si="3">SUM(H22:S22)</f>
        <v>135.6</v>
      </c>
      <c r="E22" s="8">
        <f>Inputs!$C$39+Inputs!$C$40+Inputs!$C$41+Inputs!$C$42+Inputs!$C$43+Inputs!$C$44</f>
        <v>11.3</v>
      </c>
      <c r="F22" s="8">
        <f>Inputs!$C$39+Inputs!$C$40+Inputs!$C$41+Inputs!$C$42+Inputs!$C$43+Inputs!$C$44</f>
        <v>11.3</v>
      </c>
      <c r="G22" s="8">
        <f>Inputs!$C$39+Inputs!$C$40+Inputs!$C$41+Inputs!$C$42+Inputs!$C$43+Inputs!$C$44</f>
        <v>11.3</v>
      </c>
      <c r="H22" s="8">
        <f>Inputs!$C$39+Inputs!$C$40+Inputs!$C$41+Inputs!$C$42+Inputs!$C$43+Inputs!$C$44</f>
        <v>11.3</v>
      </c>
      <c r="I22" s="8">
        <f>Inputs!$C$39+Inputs!$C$40+Inputs!$C$41+Inputs!$C$42+Inputs!$C$43+Inputs!$C$44</f>
        <v>11.3</v>
      </c>
      <c r="J22" s="8">
        <f>Inputs!$C$39+Inputs!$C$40+Inputs!$C$41+Inputs!$C$42+Inputs!$C$43+Inputs!$C$44</f>
        <v>11.3</v>
      </c>
      <c r="K22" s="8">
        <f>Inputs!$C$39+Inputs!$C$40+Inputs!$C$41+Inputs!$C$42+Inputs!$C$43+Inputs!$C$44</f>
        <v>11.3</v>
      </c>
      <c r="L22" s="8">
        <f>Inputs!$C$39+Inputs!$C$40+Inputs!$C$41+Inputs!$C$42+Inputs!$C$43+Inputs!$C$44</f>
        <v>11.3</v>
      </c>
      <c r="M22" s="8">
        <f>Inputs!$C$39+Inputs!$C$40+Inputs!$C$41+Inputs!$C$42+Inputs!$C$43+Inputs!$C$44</f>
        <v>11.3</v>
      </c>
      <c r="N22" s="8">
        <f>Inputs!$C$39+Inputs!$C$40+Inputs!$C$41+Inputs!$C$42+Inputs!$C$43+Inputs!$C$44</f>
        <v>11.3</v>
      </c>
      <c r="O22" s="8">
        <f>Inputs!$C$39+Inputs!$C$40+Inputs!$C$41+Inputs!$C$42+Inputs!$C$43+Inputs!$C$44</f>
        <v>11.3</v>
      </c>
      <c r="P22" s="8">
        <f>Inputs!$C$39+Inputs!$C$40+Inputs!$C$41+Inputs!$C$42+Inputs!$C$43+Inputs!$C$44</f>
        <v>11.3</v>
      </c>
      <c r="Q22" s="8">
        <f>Inputs!$C$39+Inputs!$C$40+Inputs!$C$41+Inputs!$C$42+Inputs!$C$43+Inputs!$C$44</f>
        <v>11.3</v>
      </c>
      <c r="R22" s="8">
        <f>Inputs!$C$39+Inputs!$C$40+Inputs!$C$41+Inputs!$C$42+Inputs!$C$43+Inputs!$C$44</f>
        <v>11.3</v>
      </c>
      <c r="S22" s="8">
        <f>Inputs!$C$39+Inputs!$C$40+Inputs!$C$41+Inputs!$C$42+Inputs!$C$43+Inputs!$C$44</f>
        <v>11.3</v>
      </c>
    </row>
    <row r="23" spans="1:19" ht="15" customHeight="1" x14ac:dyDescent="0.2">
      <c r="A23" s="28" t="s">
        <v>741</v>
      </c>
      <c r="B23" s="3" t="s">
        <v>10</v>
      </c>
      <c r="C23" s="31">
        <f t="shared" si="2"/>
        <v>6.2397500000000106</v>
      </c>
      <c r="D23" s="31">
        <f t="shared" si="3"/>
        <v>24.959000000000035</v>
      </c>
      <c r="E23" s="8">
        <f>Inputs!$C$45</f>
        <v>2.0799166666666702</v>
      </c>
      <c r="F23" s="8">
        <f>Inputs!$C$45</f>
        <v>2.0799166666666702</v>
      </c>
      <c r="G23" s="8">
        <f>Inputs!$C$45</f>
        <v>2.0799166666666702</v>
      </c>
      <c r="H23" s="8">
        <f>Inputs!$C$45</f>
        <v>2.0799166666666702</v>
      </c>
      <c r="I23" s="8">
        <f>Inputs!$C$45</f>
        <v>2.0799166666666702</v>
      </c>
      <c r="J23" s="8">
        <f>Inputs!$C$45</f>
        <v>2.0799166666666702</v>
      </c>
      <c r="K23" s="8">
        <f>Inputs!$C$45</f>
        <v>2.0799166666666702</v>
      </c>
      <c r="L23" s="8">
        <f>Inputs!$C$45</f>
        <v>2.0799166666666702</v>
      </c>
      <c r="M23" s="8">
        <f>Inputs!$C$45</f>
        <v>2.0799166666666702</v>
      </c>
      <c r="N23" s="8">
        <f>Inputs!$C$45</f>
        <v>2.0799166666666702</v>
      </c>
      <c r="O23" s="8">
        <f>Inputs!$C$45</f>
        <v>2.0799166666666702</v>
      </c>
      <c r="P23" s="8">
        <f>Inputs!$C$45</f>
        <v>2.0799166666666702</v>
      </c>
      <c r="Q23" s="8">
        <f>Inputs!$C$45</f>
        <v>2.0799166666666702</v>
      </c>
      <c r="R23" s="8">
        <f>Inputs!$C$45</f>
        <v>2.0799166666666702</v>
      </c>
      <c r="S23" s="8">
        <f>Inputs!$C$45</f>
        <v>2.0799166666666702</v>
      </c>
    </row>
    <row r="24" spans="1:19" ht="15" customHeight="1" x14ac:dyDescent="0.2">
      <c r="A24" s="28" t="s">
        <v>742</v>
      </c>
      <c r="B24" s="3" t="s">
        <v>10</v>
      </c>
      <c r="C24" s="31">
        <f t="shared" si="2"/>
        <v>17.399999999999999</v>
      </c>
      <c r="D24" s="31">
        <f t="shared" si="3"/>
        <v>69.59999999999998</v>
      </c>
      <c r="E24" s="8">
        <f>Inputs!$C$46</f>
        <v>5.8</v>
      </c>
      <c r="F24" s="8">
        <f>Inputs!$C$46</f>
        <v>5.8</v>
      </c>
      <c r="G24" s="8">
        <f>Inputs!$C$46</f>
        <v>5.8</v>
      </c>
      <c r="H24" s="8">
        <f>Inputs!$C$46</f>
        <v>5.8</v>
      </c>
      <c r="I24" s="8">
        <f>Inputs!$C$46</f>
        <v>5.8</v>
      </c>
      <c r="J24" s="8">
        <f>Inputs!$C$46</f>
        <v>5.8</v>
      </c>
      <c r="K24" s="8">
        <f>Inputs!$C$46</f>
        <v>5.8</v>
      </c>
      <c r="L24" s="8">
        <f>Inputs!$C$46</f>
        <v>5.8</v>
      </c>
      <c r="M24" s="8">
        <f>Inputs!$C$46</f>
        <v>5.8</v>
      </c>
      <c r="N24" s="8">
        <f>Inputs!$C$46</f>
        <v>5.8</v>
      </c>
      <c r="O24" s="8">
        <f>Inputs!$C$46</f>
        <v>5.8</v>
      </c>
      <c r="P24" s="8">
        <f>Inputs!$C$46</f>
        <v>5.8</v>
      </c>
      <c r="Q24" s="8">
        <f>Inputs!$C$46</f>
        <v>5.8</v>
      </c>
      <c r="R24" s="8">
        <f>Inputs!$C$46</f>
        <v>5.8</v>
      </c>
      <c r="S24" s="8">
        <f>Inputs!$C$46</f>
        <v>5.8</v>
      </c>
    </row>
    <row r="25" spans="1:19" ht="15" customHeight="1" x14ac:dyDescent="0.2">
      <c r="A25" s="28" t="s">
        <v>743</v>
      </c>
      <c r="B25" s="3" t="s">
        <v>10</v>
      </c>
      <c r="C25" s="31">
        <f t="shared" si="2"/>
        <v>4.5</v>
      </c>
      <c r="D25" s="31">
        <f t="shared" si="3"/>
        <v>18</v>
      </c>
      <c r="E25" s="8">
        <f>Inputs!$C$47</f>
        <v>1.5</v>
      </c>
      <c r="F25" s="8">
        <f>Inputs!$C$47</f>
        <v>1.5</v>
      </c>
      <c r="G25" s="8">
        <f>Inputs!$C$47</f>
        <v>1.5</v>
      </c>
      <c r="H25" s="8">
        <f>Inputs!$C$47</f>
        <v>1.5</v>
      </c>
      <c r="I25" s="8">
        <f>Inputs!$C$47</f>
        <v>1.5</v>
      </c>
      <c r="J25" s="8">
        <f>Inputs!$C$47</f>
        <v>1.5</v>
      </c>
      <c r="K25" s="8">
        <f>Inputs!$C$47</f>
        <v>1.5</v>
      </c>
      <c r="L25" s="8">
        <f>Inputs!$C$47</f>
        <v>1.5</v>
      </c>
      <c r="M25" s="8">
        <f>Inputs!$C$47</f>
        <v>1.5</v>
      </c>
      <c r="N25" s="8">
        <f>Inputs!$C$47</f>
        <v>1.5</v>
      </c>
      <c r="O25" s="8">
        <f>Inputs!$C$47</f>
        <v>1.5</v>
      </c>
      <c r="P25" s="8">
        <f>Inputs!$C$47</f>
        <v>1.5</v>
      </c>
      <c r="Q25" s="8">
        <f>Inputs!$C$47</f>
        <v>1.5</v>
      </c>
      <c r="R25" s="8">
        <f>Inputs!$C$47</f>
        <v>1.5</v>
      </c>
      <c r="S25" s="8">
        <f>Inputs!$C$47</f>
        <v>1.5</v>
      </c>
    </row>
    <row r="26" spans="1:19" ht="15" customHeight="1" x14ac:dyDescent="0.2">
      <c r="A26" s="28" t="s">
        <v>744</v>
      </c>
      <c r="B26" s="3" t="s">
        <v>10</v>
      </c>
      <c r="C26" s="31">
        <f t="shared" si="2"/>
        <v>30</v>
      </c>
      <c r="D26" s="31">
        <f t="shared" si="3"/>
        <v>270</v>
      </c>
      <c r="E26" s="8">
        <f>IF(Inputs!$C$105=1,Pay_Plan!E11,E17*(Inputs!$C$49+Inputs!$C$50))</f>
        <v>10</v>
      </c>
      <c r="F26" s="8">
        <f>IF(Inputs!$C$105=1,Pay_Plan!F11,F17*(Inputs!$C$49+Inputs!$C$50))</f>
        <v>10</v>
      </c>
      <c r="G26" s="8">
        <f>IF(Inputs!$C$105=1,Pay_Plan!G11,G17*(Inputs!$C$49+Inputs!$C$50))</f>
        <v>10</v>
      </c>
      <c r="H26" s="8">
        <f>IF(Inputs!$C$105=1,Pay_Plan!H11,H17*(Inputs!$C$49+Inputs!$C$50))</f>
        <v>10</v>
      </c>
      <c r="I26" s="8">
        <f>IF(Inputs!$C$105=1,Pay_Plan!I11,I17*(Inputs!$C$49+Inputs!$C$50))</f>
        <v>10</v>
      </c>
      <c r="J26" s="8">
        <f>IF(Inputs!$C$105=1,Pay_Plan!J11,J17*(Inputs!$C$49+Inputs!$C$50))</f>
        <v>25</v>
      </c>
      <c r="K26" s="8">
        <f>IF(Inputs!$C$105=1,Pay_Plan!K11,K17*(Inputs!$C$49+Inputs!$C$50))</f>
        <v>25</v>
      </c>
      <c r="L26" s="8">
        <f>IF(Inputs!$C$105=1,Pay_Plan!L11,L17*(Inputs!$C$49+Inputs!$C$50))</f>
        <v>25</v>
      </c>
      <c r="M26" s="8">
        <f>IF(Inputs!$C$105=1,Pay_Plan!M11,M17*(Inputs!$C$49+Inputs!$C$50))</f>
        <v>25</v>
      </c>
      <c r="N26" s="8">
        <f>IF(Inputs!$C$105=1,Pay_Plan!N11,N17*(Inputs!$C$49+Inputs!$C$50))</f>
        <v>25</v>
      </c>
      <c r="O26" s="8">
        <f>IF(Inputs!$C$105=1,Pay_Plan!O11,O17*(Inputs!$C$49+Inputs!$C$50))</f>
        <v>25</v>
      </c>
      <c r="P26" s="8">
        <f>IF(Inputs!$C$105=1,Pay_Plan!P11,P17*(Inputs!$C$49+Inputs!$C$50))</f>
        <v>25</v>
      </c>
      <c r="Q26" s="8">
        <f>IF(Inputs!$C$105=1,Pay_Plan!Q11,Q17*(Inputs!$C$49+Inputs!$C$50))</f>
        <v>25</v>
      </c>
      <c r="R26" s="8">
        <f>IF(Inputs!$C$105=1,Pay_Plan!R11,R17*(Inputs!$C$49+Inputs!$C$50))</f>
        <v>25</v>
      </c>
      <c r="S26" s="8">
        <f>IF(Inputs!$C$105=1,Pay_Plan!S11,S17*(Inputs!$C$49+Inputs!$C$50))</f>
        <v>25</v>
      </c>
    </row>
    <row r="27" spans="1:19" ht="15" customHeight="1" x14ac:dyDescent="0.2">
      <c r="A27" s="28" t="s">
        <v>745</v>
      </c>
      <c r="B27" s="3" t="s">
        <v>10</v>
      </c>
      <c r="C27" s="31">
        <f t="shared" si="2"/>
        <v>0</v>
      </c>
      <c r="D27" s="31">
        <f t="shared" si="3"/>
        <v>0</v>
      </c>
      <c r="E27" s="8">
        <f>E16*Inputs!$C$53</f>
        <v>0</v>
      </c>
      <c r="F27" s="8">
        <f>F16*Inputs!$C$53</f>
        <v>0</v>
      </c>
      <c r="G27" s="8">
        <f>G16*Inputs!$C$53</f>
        <v>0</v>
      </c>
      <c r="H27" s="8">
        <f>H16*Inputs!$C$53</f>
        <v>0</v>
      </c>
      <c r="I27" s="8">
        <f>I16*Inputs!$C$53</f>
        <v>0</v>
      </c>
      <c r="J27" s="8">
        <f>J16*Inputs!$C$53</f>
        <v>0</v>
      </c>
      <c r="K27" s="8">
        <f>K16*Inputs!$C$53</f>
        <v>0</v>
      </c>
      <c r="L27" s="8">
        <f>L16*Inputs!$C$53</f>
        <v>0</v>
      </c>
      <c r="M27" s="8">
        <f>M16*Inputs!$C$53</f>
        <v>0</v>
      </c>
      <c r="N27" s="8">
        <f>N16*Inputs!$C$53</f>
        <v>0</v>
      </c>
      <c r="O27" s="8">
        <f>O16*Inputs!$C$53</f>
        <v>0</v>
      </c>
      <c r="P27" s="8">
        <f>P16*Inputs!$C$53</f>
        <v>0</v>
      </c>
      <c r="Q27" s="8">
        <f>Q16*Inputs!$C$53</f>
        <v>0</v>
      </c>
      <c r="R27" s="8">
        <f>R16*Inputs!$C$53</f>
        <v>0</v>
      </c>
      <c r="S27" s="8">
        <f>S16*Inputs!$C$53</f>
        <v>0</v>
      </c>
    </row>
    <row r="28" spans="1:19" ht="15" customHeight="1" x14ac:dyDescent="0.2">
      <c r="A28" s="28" t="s">
        <v>746</v>
      </c>
      <c r="B28" s="3" t="s">
        <v>10</v>
      </c>
      <c r="C28" s="31">
        <f t="shared" si="2"/>
        <v>6</v>
      </c>
      <c r="D28" s="31">
        <f t="shared" si="3"/>
        <v>24</v>
      </c>
      <c r="E28" s="8">
        <f>IF(Inputs!$C$105=1,Inputs!$C$55,IF(Volume!E6&gt;=IFERROR(MATCH(Inputs!$C$54,Volume!$E$4:$S$4,0),99),Inputs!$C$55,0))</f>
        <v>2</v>
      </c>
      <c r="F28" s="8">
        <f>IF(Inputs!$C$105=1,Inputs!$C$55,IF(Volume!F6&gt;=IFERROR(MATCH(Inputs!$C$54,Volume!$E$4:$S$4,0),99),Inputs!$C$55,0))</f>
        <v>2</v>
      </c>
      <c r="G28" s="8">
        <f>IF(Inputs!$C$105=1,Inputs!$C$55,IF(Volume!G6&gt;=IFERROR(MATCH(Inputs!$C$54,Volume!$E$4:$S$4,0),99),Inputs!$C$55,0))</f>
        <v>2</v>
      </c>
      <c r="H28" s="8">
        <f>IF(Inputs!$C$105=1,Inputs!$C$55,IF(Volume!H6&gt;=IFERROR(MATCH(Inputs!$C$54,Volume!$E$4:$S$4,0),99),Inputs!$C$55,0))</f>
        <v>2</v>
      </c>
      <c r="I28" s="8">
        <f>IF(Inputs!$C$105=1,Inputs!$C$55,IF(Volume!I6&gt;=IFERROR(MATCH(Inputs!$C$54,Volume!$E$4:$S$4,0),99),Inputs!$C$55,0))</f>
        <v>2</v>
      </c>
      <c r="J28" s="8">
        <f>IF(Inputs!$C$105=1,Inputs!$C$55,IF(Volume!J6&gt;=IFERROR(MATCH(Inputs!$C$54,Volume!$E$4:$S$4,0),99),Inputs!$C$55,0))</f>
        <v>2</v>
      </c>
      <c r="K28" s="8">
        <f>IF(Inputs!$C$105=1,Inputs!$C$55,IF(Volume!K6&gt;=IFERROR(MATCH(Inputs!$C$54,Volume!$E$4:$S$4,0),99),Inputs!$C$55,0))</f>
        <v>2</v>
      </c>
      <c r="L28" s="8">
        <f>IF(Inputs!$C$105=1,Inputs!$C$55,IF(Volume!L6&gt;=IFERROR(MATCH(Inputs!$C$54,Volume!$E$4:$S$4,0),99),Inputs!$C$55,0))</f>
        <v>2</v>
      </c>
      <c r="M28" s="8">
        <f>IF(Inputs!$C$105=1,Inputs!$C$55,IF(Volume!M6&gt;=IFERROR(MATCH(Inputs!$C$54,Volume!$E$4:$S$4,0),99),Inputs!$C$55,0))</f>
        <v>2</v>
      </c>
      <c r="N28" s="8">
        <f>IF(Inputs!$C$105=1,Inputs!$C$55,IF(Volume!N6&gt;=IFERROR(MATCH(Inputs!$C$54,Volume!$E$4:$S$4,0),99),Inputs!$C$55,0))</f>
        <v>2</v>
      </c>
      <c r="O28" s="8">
        <f>IF(Inputs!$C$105=1,Inputs!$C$55,IF(Volume!O6&gt;=IFERROR(MATCH(Inputs!$C$54,Volume!$E$4:$S$4,0),99),Inputs!$C$55,0))</f>
        <v>2</v>
      </c>
      <c r="P28" s="8">
        <f>IF(Inputs!$C$105=1,Inputs!$C$55,IF(Volume!P6&gt;=IFERROR(MATCH(Inputs!$C$54,Volume!$E$4:$S$4,0),99),Inputs!$C$55,0))</f>
        <v>2</v>
      </c>
      <c r="Q28" s="8">
        <f>IF(Inputs!$C$105=1,Inputs!$C$55,IF(Volume!Q6&gt;=IFERROR(MATCH(Inputs!$C$54,Volume!$E$4:$S$4,0),99),Inputs!$C$55,0))</f>
        <v>2</v>
      </c>
      <c r="R28" s="8">
        <f>IF(Inputs!$C$105=1,Inputs!$C$55,IF(Volume!R6&gt;=IFERROR(MATCH(Inputs!$C$54,Volume!$E$4:$S$4,0),99),Inputs!$C$55,0))</f>
        <v>2</v>
      </c>
      <c r="S28" s="8">
        <f>IF(Inputs!$C$105=1,Inputs!$C$55,IF(Volume!S6&gt;=IFERROR(MATCH(Inputs!$C$54,Volume!$E$4:$S$4,0),99),Inputs!$C$55,0))</f>
        <v>2</v>
      </c>
    </row>
    <row r="29" spans="1:19" ht="15" customHeight="1" x14ac:dyDescent="0.2">
      <c r="A29" s="28" t="s">
        <v>747</v>
      </c>
      <c r="B29" s="3" t="s">
        <v>10</v>
      </c>
      <c r="C29" s="31">
        <f t="shared" si="2"/>
        <v>0</v>
      </c>
      <c r="D29" s="31">
        <f t="shared" si="3"/>
        <v>58</v>
      </c>
      <c r="E29" s="8">
        <f>IF(Inputs!$C$105=1,Inputs!$C$114*E43,E15*Inputs!$C$56)</f>
        <v>0</v>
      </c>
      <c r="F29" s="8">
        <f>IF(Inputs!$C$105=1,Inputs!$C$114*F43,F15*Inputs!$C$56)</f>
        <v>0</v>
      </c>
      <c r="G29" s="8">
        <f>IF(Inputs!$C$105=1,Inputs!$C$114*G43,G15*Inputs!$C$56)</f>
        <v>0</v>
      </c>
      <c r="H29" s="8">
        <f>IF(Inputs!$C$105=1,Inputs!$C$114*H43,H15*Inputs!$C$56)</f>
        <v>0</v>
      </c>
      <c r="I29" s="8">
        <f>IF(Inputs!$C$105=1,Inputs!$C$114*I43,I15*Inputs!$C$56)</f>
        <v>0</v>
      </c>
      <c r="J29" s="8">
        <f>IF(Inputs!$C$105=1,Inputs!$C$114*J43,J15*Inputs!$C$56)</f>
        <v>4</v>
      </c>
      <c r="K29" s="8">
        <f>IF(Inputs!$C$105=1,Inputs!$C$114*K43,K15*Inputs!$C$56)</f>
        <v>2</v>
      </c>
      <c r="L29" s="8">
        <f>IF(Inputs!$C$105=1,Inputs!$C$114*L43,L15*Inputs!$C$56)</f>
        <v>4</v>
      </c>
      <c r="M29" s="8">
        <f>IF(Inputs!$C$105=1,Inputs!$C$114*M43,M15*Inputs!$C$56)</f>
        <v>2</v>
      </c>
      <c r="N29" s="8">
        <f>IF(Inputs!$C$105=1,Inputs!$C$114*N43,N15*Inputs!$C$56)</f>
        <v>6</v>
      </c>
      <c r="O29" s="8">
        <f>IF(Inputs!$C$105=1,Inputs!$C$114*O43,O15*Inputs!$C$56)</f>
        <v>2</v>
      </c>
      <c r="P29" s="8">
        <f>IF(Inputs!$C$105=1,Inputs!$C$114*P43,P15*Inputs!$C$56)</f>
        <v>6</v>
      </c>
      <c r="Q29" s="8">
        <f>IF(Inputs!$C$105=1,Inputs!$C$114*Q43,Q15*Inputs!$C$56)</f>
        <v>8</v>
      </c>
      <c r="R29" s="8">
        <f>IF(Inputs!$C$105=1,Inputs!$C$114*R43,R15*Inputs!$C$56)</f>
        <v>12</v>
      </c>
      <c r="S29" s="8">
        <f>IF(Inputs!$C$105=1,Inputs!$C$114*S43,S15*Inputs!$C$56)</f>
        <v>12</v>
      </c>
    </row>
    <row r="30" spans="1:19" ht="15" customHeight="1" x14ac:dyDescent="0.2">
      <c r="A30" s="28" t="s">
        <v>748</v>
      </c>
      <c r="B30" s="3" t="s">
        <v>10</v>
      </c>
      <c r="C30" s="31">
        <f t="shared" si="2"/>
        <v>0</v>
      </c>
      <c r="D30" s="31">
        <f t="shared" si="3"/>
        <v>0</v>
      </c>
      <c r="E30" s="8">
        <f>E19*Inputs!$C$43</f>
        <v>0</v>
      </c>
      <c r="F30" s="8">
        <f>F19*Inputs!$C$43</f>
        <v>0</v>
      </c>
      <c r="G30" s="8">
        <f>G19*Inputs!$C$43</f>
        <v>0</v>
      </c>
      <c r="H30" s="8">
        <f>H19*Inputs!$C$43</f>
        <v>0</v>
      </c>
      <c r="I30" s="8">
        <f>I19*Inputs!$C$43</f>
        <v>0</v>
      </c>
      <c r="J30" s="8">
        <f>J19*Inputs!$C$43</f>
        <v>0</v>
      </c>
      <c r="K30" s="8">
        <f>K19*Inputs!$C$43</f>
        <v>0</v>
      </c>
      <c r="L30" s="8">
        <f>L19*Inputs!$C$43</f>
        <v>0</v>
      </c>
      <c r="M30" s="8">
        <f>M19*Inputs!$C$43</f>
        <v>0</v>
      </c>
      <c r="N30" s="8">
        <f>N19*Inputs!$C$43</f>
        <v>0</v>
      </c>
      <c r="O30" s="8">
        <f>O19*Inputs!$C$43</f>
        <v>0</v>
      </c>
      <c r="P30" s="8">
        <f>P19*Inputs!$C$43</f>
        <v>0</v>
      </c>
      <c r="Q30" s="8">
        <f>Q19*Inputs!$C$43</f>
        <v>0</v>
      </c>
      <c r="R30" s="8">
        <f>R19*Inputs!$C$43</f>
        <v>0</v>
      </c>
      <c r="S30" s="8">
        <f>S19*Inputs!$C$43</f>
        <v>0</v>
      </c>
    </row>
    <row r="31" spans="1:19" ht="15" customHeight="1" x14ac:dyDescent="0.2">
      <c r="A31" s="28" t="s">
        <v>749</v>
      </c>
      <c r="B31" s="3" t="s">
        <v>10</v>
      </c>
      <c r="C31" s="31">
        <f t="shared" si="2"/>
        <v>0</v>
      </c>
      <c r="D31" s="31">
        <f t="shared" si="3"/>
        <v>15</v>
      </c>
      <c r="E31" s="8">
        <f>E47*Inputs!$C$37</f>
        <v>0</v>
      </c>
      <c r="F31" s="8">
        <f>F47*Inputs!$C$37</f>
        <v>0</v>
      </c>
      <c r="G31" s="8">
        <f>G47*Inputs!$C$37</f>
        <v>0</v>
      </c>
      <c r="H31" s="8">
        <f>H47*Inputs!$C$37</f>
        <v>2.5</v>
      </c>
      <c r="I31" s="8">
        <f>I47*Inputs!$C$37</f>
        <v>0</v>
      </c>
      <c r="J31" s="8">
        <f>J47*Inputs!$C$37</f>
        <v>0</v>
      </c>
      <c r="K31" s="8">
        <f>K47*Inputs!$C$37</f>
        <v>0</v>
      </c>
      <c r="L31" s="8">
        <f>L47*Inputs!$C$37</f>
        <v>2.5</v>
      </c>
      <c r="M31" s="8">
        <f>M47*Inputs!$C$37</f>
        <v>0</v>
      </c>
      <c r="N31" s="8">
        <f>N47*Inputs!$C$37</f>
        <v>0</v>
      </c>
      <c r="O31" s="8">
        <f>O47*Inputs!$C$37</f>
        <v>2.5</v>
      </c>
      <c r="P31" s="8">
        <f>P47*Inputs!$C$37</f>
        <v>7.5</v>
      </c>
      <c r="Q31" s="8">
        <f>Q47*Inputs!$C$37</f>
        <v>0</v>
      </c>
      <c r="R31" s="8">
        <f>R47*Inputs!$C$37</f>
        <v>0</v>
      </c>
      <c r="S31" s="8">
        <f>S47*Inputs!$C$37</f>
        <v>0</v>
      </c>
    </row>
    <row r="32" spans="1:19" ht="15" customHeight="1" x14ac:dyDescent="0.2">
      <c r="A32" s="11" t="s">
        <v>750</v>
      </c>
      <c r="B32" s="3" t="s">
        <v>10</v>
      </c>
      <c r="C32" s="31">
        <f t="shared" si="2"/>
        <v>95.061490268335419</v>
      </c>
      <c r="D32" s="31">
        <f t="shared" si="3"/>
        <v>834.92566854430686</v>
      </c>
      <c r="E32" s="32">
        <f t="shared" ref="E32:S32" si="4">SUM(E22:E31)+E40</f>
        <v>31.685442289787972</v>
      </c>
      <c r="F32" s="32">
        <f t="shared" si="4"/>
        <v>31.687136490880771</v>
      </c>
      <c r="G32" s="32">
        <f t="shared" si="4"/>
        <v>31.688911487666669</v>
      </c>
      <c r="H32" s="32">
        <f t="shared" si="4"/>
        <v>41.953175658608515</v>
      </c>
      <c r="I32" s="32">
        <f t="shared" si="4"/>
        <v>40.39314827871825</v>
      </c>
      <c r="J32" s="32">
        <f t="shared" si="4"/>
        <v>59.40152107991667</v>
      </c>
      <c r="K32" s="32">
        <f t="shared" si="4"/>
        <v>57.59345805199748</v>
      </c>
      <c r="L32" s="32">
        <f t="shared" si="4"/>
        <v>65.653055940969978</v>
      </c>
      <c r="M32" s="32">
        <f t="shared" si="4"/>
        <v>61.174334682999998</v>
      </c>
      <c r="N32" s="32">
        <f t="shared" si="4"/>
        <v>73.615164396553809</v>
      </c>
      <c r="O32" s="32">
        <f t="shared" si="4"/>
        <v>76.862601378073762</v>
      </c>
      <c r="P32" s="32">
        <f t="shared" si="4"/>
        <v>85.885182530196076</v>
      </c>
      <c r="Q32" s="32">
        <f t="shared" si="4"/>
        <v>87.614398083903211</v>
      </c>
      <c r="R32" s="32">
        <f t="shared" si="4"/>
        <v>91.646740762102311</v>
      </c>
      <c r="S32" s="32">
        <f t="shared" si="4"/>
        <v>93.132887700266664</v>
      </c>
    </row>
    <row r="34" spans="1:19" x14ac:dyDescent="0.2">
      <c r="A34" s="6" t="s">
        <v>751</v>
      </c>
    </row>
    <row r="35" spans="1:19" x14ac:dyDescent="0.2">
      <c r="A35" s="28" t="s">
        <v>752</v>
      </c>
      <c r="B35" s="3" t="s">
        <v>216</v>
      </c>
      <c r="C35" s="29">
        <f>MAX(E35:G35)</f>
        <v>1</v>
      </c>
      <c r="D35" s="29">
        <f>MAX(H35:S35)</f>
        <v>1</v>
      </c>
      <c r="E35" s="10">
        <f>Inputs!$C$105</f>
        <v>1</v>
      </c>
      <c r="F35" s="10">
        <f>Inputs!$C$105</f>
        <v>1</v>
      </c>
      <c r="G35" s="10">
        <f>Inputs!$C$105</f>
        <v>1</v>
      </c>
      <c r="H35" s="10">
        <f>Inputs!$C$105</f>
        <v>1</v>
      </c>
      <c r="I35" s="10">
        <f>Inputs!$C$105</f>
        <v>1</v>
      </c>
      <c r="J35" s="10">
        <f>Inputs!$C$105</f>
        <v>1</v>
      </c>
      <c r="K35" s="10">
        <f>Inputs!$C$105</f>
        <v>1</v>
      </c>
      <c r="L35" s="10">
        <f>Inputs!$C$105</f>
        <v>1</v>
      </c>
      <c r="M35" s="10">
        <f>Inputs!$C$105</f>
        <v>1</v>
      </c>
      <c r="N35" s="10">
        <f>Inputs!$C$105</f>
        <v>1</v>
      </c>
      <c r="O35" s="10">
        <f>Inputs!$C$105</f>
        <v>1</v>
      </c>
      <c r="P35" s="10">
        <f>Inputs!$C$105</f>
        <v>1</v>
      </c>
      <c r="Q35" s="10">
        <f>Inputs!$C$105</f>
        <v>1</v>
      </c>
      <c r="R35" s="10">
        <f>Inputs!$C$105</f>
        <v>1</v>
      </c>
      <c r="S35" s="10">
        <f>Inputs!$C$105</f>
        <v>1</v>
      </c>
    </row>
    <row r="36" spans="1:19" x14ac:dyDescent="0.2">
      <c r="A36" s="28" t="s">
        <v>753</v>
      </c>
      <c r="B36" s="3" t="s">
        <v>216</v>
      </c>
      <c r="C36" s="29">
        <f>MAX(E36:G36)</f>
        <v>0</v>
      </c>
      <c r="D36" s="29">
        <f>MAX(H36:S36)</f>
        <v>1</v>
      </c>
      <c r="E36" s="10">
        <f>E35*Pay_Plan!E14</f>
        <v>0</v>
      </c>
      <c r="F36" s="10">
        <f>F35*Pay_Plan!F14</f>
        <v>0</v>
      </c>
      <c r="G36" s="10">
        <f>G35*Pay_Plan!G14</f>
        <v>0</v>
      </c>
      <c r="H36" s="10">
        <f>H35*Pay_Plan!H14</f>
        <v>1</v>
      </c>
      <c r="I36" s="10">
        <f>I35*Pay_Plan!I14</f>
        <v>1</v>
      </c>
      <c r="J36" s="10">
        <f>J35*Pay_Plan!J14</f>
        <v>1</v>
      </c>
      <c r="K36" s="10">
        <f>K35*Pay_Plan!K14</f>
        <v>1</v>
      </c>
      <c r="L36" s="10">
        <f>L35*Pay_Plan!L14</f>
        <v>1</v>
      </c>
      <c r="M36" s="10">
        <f>M35*Pay_Plan!M14</f>
        <v>1</v>
      </c>
      <c r="N36" s="10">
        <f>N35*Pay_Plan!N14</f>
        <v>1</v>
      </c>
      <c r="O36" s="10">
        <f>O35*Pay_Plan!O14</f>
        <v>1</v>
      </c>
      <c r="P36" s="10">
        <f>P35*Pay_Plan!P14</f>
        <v>1</v>
      </c>
      <c r="Q36" s="10">
        <f>Q35*Pay_Plan!Q14</f>
        <v>1</v>
      </c>
      <c r="R36" s="10">
        <f>R35*Pay_Plan!R14</f>
        <v>1</v>
      </c>
      <c r="S36" s="10">
        <f>S35*Pay_Plan!S14</f>
        <v>1</v>
      </c>
    </row>
    <row r="37" spans="1:19" x14ac:dyDescent="0.2">
      <c r="A37" s="28" t="s">
        <v>754</v>
      </c>
      <c r="B37" s="3" t="s">
        <v>10</v>
      </c>
      <c r="C37" s="31">
        <f>SUM(E37:G37)</f>
        <v>-2.9782597316646005</v>
      </c>
      <c r="D37" s="31">
        <f>SUM(H37:S37)</f>
        <v>127.13772713407357</v>
      </c>
      <c r="E37" s="8">
        <f>E35*(Pay_Plan!E15-E22)</f>
        <v>-0.99447437687869922</v>
      </c>
      <c r="F37" s="8">
        <f>F35*(Pay_Plan!F15-F22)</f>
        <v>-0.99278017578589939</v>
      </c>
      <c r="G37" s="8">
        <f>G35*(Pay_Plan!G15-G22)</f>
        <v>-0.99100517900000185</v>
      </c>
      <c r="H37" s="8">
        <f>H35*(Pay_Plan!H15-H22)</f>
        <v>3.241867801290736</v>
      </c>
      <c r="I37" s="8">
        <f>I35*(Pay_Plan!I15-I22)</f>
        <v>4.1794164770014994</v>
      </c>
      <c r="J37" s="8">
        <f>J35*(Pay_Plan!J15-J22)</f>
        <v>4.1851781632499989</v>
      </c>
      <c r="K37" s="8">
        <f>K35*(Pay_Plan!K15-K22)</f>
        <v>4.3121541927270091</v>
      </c>
      <c r="L37" s="8">
        <f>L35*(Pay_Plan!L15-L22)</f>
        <v>7.8630564016229734</v>
      </c>
      <c r="M37" s="8">
        <f>M35*(Pay_Plan!M15-M22)</f>
        <v>7.8748936607777758</v>
      </c>
      <c r="N37" s="8">
        <f>N35*(Pay_Plan!N15-N22)</f>
        <v>8.1927604374035958</v>
      </c>
      <c r="O37" s="8">
        <f>O35*(Pay_Plan!O15-O22)</f>
        <v>12.919399999999996</v>
      </c>
      <c r="P37" s="8">
        <f>P35*(Pay_Plan!P15-P22)</f>
        <v>12.919399999999996</v>
      </c>
      <c r="Q37" s="8">
        <f>Q35*(Pay_Plan!Q15-Q22)</f>
        <v>19.999399999999994</v>
      </c>
      <c r="R37" s="8">
        <f>R35*(Pay_Plan!R15-R22)</f>
        <v>19.999399999999994</v>
      </c>
      <c r="S37" s="8">
        <f>S35*(Pay_Plan!S15-S22)</f>
        <v>21.450799999999997</v>
      </c>
    </row>
    <row r="38" spans="1:19" x14ac:dyDescent="0.2">
      <c r="A38" s="28" t="s">
        <v>755</v>
      </c>
      <c r="B38" s="3" t="s">
        <v>10</v>
      </c>
      <c r="C38" s="31">
        <f>SUM(E38:G38)</f>
        <v>0</v>
      </c>
      <c r="D38" s="31">
        <f>SUM(H38:S38)</f>
        <v>44.628941410233132</v>
      </c>
      <c r="E38" s="8">
        <f>E35*(Pay_Plan!E12+B2C!E53)</f>
        <v>0</v>
      </c>
      <c r="F38" s="8">
        <f>F35*(Pay_Plan!F12+B2C!F53)</f>
        <v>0</v>
      </c>
      <c r="G38" s="8">
        <f>G35*(Pay_Plan!G12+B2C!G53)</f>
        <v>0</v>
      </c>
      <c r="H38" s="8">
        <f>H35*(Pay_Plan!H12+B2C!H53)</f>
        <v>3.5313911906511097</v>
      </c>
      <c r="I38" s="8">
        <f>I35*(Pay_Plan!I12+B2C!I53)</f>
        <v>3.5338151350500775</v>
      </c>
      <c r="J38" s="8">
        <f>J35*(Pay_Plan!J12+B2C!J53)</f>
        <v>3.5364262499999999</v>
      </c>
      <c r="K38" s="8">
        <f>K35*(Pay_Plan!K12+B2C!K53)</f>
        <v>3.6013871926037977</v>
      </c>
      <c r="L38" s="8">
        <f>L35*(Pay_Plan!L12+B2C!L53)</f>
        <v>3.6100828726803398</v>
      </c>
      <c r="M38" s="8">
        <f>M35*(Pay_Plan!M12+B2C!M53)</f>
        <v>3.6195243555555554</v>
      </c>
      <c r="N38" s="8">
        <f>N35*(Pay_Plan!N12+B2C!N53)</f>
        <v>3.7424872924835468</v>
      </c>
      <c r="O38" s="8">
        <f>O35*(Pay_Plan!O12+B2C!O53)</f>
        <v>3.7632847114070969</v>
      </c>
      <c r="P38" s="8">
        <f>P35*(Pay_Plan!P12+B2C!P53)</f>
        <v>3.7858658635294118</v>
      </c>
      <c r="Q38" s="8">
        <f>Q35*(Pay_Plan!Q12+B2C!Q53)</f>
        <v>3.9350814172365531</v>
      </c>
      <c r="R38" s="8">
        <f>R35*(Pay_Plan!R12+B2C!R53)</f>
        <v>3.9674240954356468</v>
      </c>
      <c r="S38" s="8">
        <f>S35*(Pay_Plan!S12+B2C!S53)</f>
        <v>4.0021710335999998</v>
      </c>
    </row>
    <row r="39" spans="1:19" x14ac:dyDescent="0.2">
      <c r="A39" s="28" t="s">
        <v>134</v>
      </c>
      <c r="B39" s="3" t="s">
        <v>10</v>
      </c>
      <c r="C39" s="31">
        <f>SUM(E39:G39)</f>
        <v>0</v>
      </c>
      <c r="D39" s="31">
        <f>SUM(H39:S39)</f>
        <v>48</v>
      </c>
      <c r="E39" s="8">
        <f>Inputs!$C$105*IF(Volume!E6&gt;=IFERROR(MATCH(Inputs!$C$110,Volume!$E$4:$S$4,0),99),Inputs!$C$109,0)</f>
        <v>0</v>
      </c>
      <c r="F39" s="8">
        <f>Inputs!$C$105*IF(Volume!F6&gt;=IFERROR(MATCH(Inputs!$C$110,Volume!$E$4:$S$4,0),99),Inputs!$C$109,0)</f>
        <v>0</v>
      </c>
      <c r="G39" s="8">
        <f>Inputs!$C$105*IF(Volume!G6&gt;=IFERROR(MATCH(Inputs!$C$110,Volume!$E$4:$S$4,0),99),Inputs!$C$109,0)</f>
        <v>0</v>
      </c>
      <c r="H39" s="8">
        <f>Inputs!$C$105*IF(Volume!H6&gt;=IFERROR(MATCH(Inputs!$C$110,Volume!$E$4:$S$4,0),99),Inputs!$C$109,0)</f>
        <v>0</v>
      </c>
      <c r="I39" s="8">
        <f>Inputs!$C$105*IF(Volume!I6&gt;=IFERROR(MATCH(Inputs!$C$110,Volume!$E$4:$S$4,0),99),Inputs!$C$109,0)</f>
        <v>0</v>
      </c>
      <c r="J39" s="8">
        <f>Inputs!$C$105*IF(Volume!J6&gt;=IFERROR(MATCH(Inputs!$C$110,Volume!$E$4:$S$4,0),99),Inputs!$C$109,0)</f>
        <v>0</v>
      </c>
      <c r="K39" s="8">
        <f>Inputs!$C$105*IF(Volume!K6&gt;=IFERROR(MATCH(Inputs!$C$110,Volume!$E$4:$S$4,0),99),Inputs!$C$109,0)</f>
        <v>0</v>
      </c>
      <c r="L39" s="8">
        <f>Inputs!$C$105*IF(Volume!L6&gt;=IFERROR(MATCH(Inputs!$C$110,Volume!$E$4:$S$4,0),99),Inputs!$C$109,0)</f>
        <v>0</v>
      </c>
      <c r="M39" s="8">
        <f>Inputs!$C$105*IF(Volume!M6&gt;=IFERROR(MATCH(Inputs!$C$110,Volume!$E$4:$S$4,0),99),Inputs!$C$109,0)</f>
        <v>0</v>
      </c>
      <c r="N39" s="8">
        <f>Inputs!$C$105*IF(Volume!N6&gt;=IFERROR(MATCH(Inputs!$C$110,Volume!$E$4:$S$4,0),99),Inputs!$C$109,0)</f>
        <v>8</v>
      </c>
      <c r="O39" s="8">
        <f>Inputs!$C$105*IF(Volume!O6&gt;=IFERROR(MATCH(Inputs!$C$110,Volume!$E$4:$S$4,0),99),Inputs!$C$109,0)</f>
        <v>8</v>
      </c>
      <c r="P39" s="8">
        <f>Inputs!$C$105*IF(Volume!P6&gt;=IFERROR(MATCH(Inputs!$C$110,Volume!$E$4:$S$4,0),99),Inputs!$C$109,0)</f>
        <v>8</v>
      </c>
      <c r="Q39" s="8">
        <f>Inputs!$C$105*IF(Volume!Q6&gt;=IFERROR(MATCH(Inputs!$C$110,Volume!$E$4:$S$4,0),99),Inputs!$C$109,0)</f>
        <v>8</v>
      </c>
      <c r="R39" s="8">
        <f>Inputs!$C$105*IF(Volume!R6&gt;=IFERROR(MATCH(Inputs!$C$110,Volume!$E$4:$S$4,0),99),Inputs!$C$109,0)</f>
        <v>8</v>
      </c>
      <c r="S39" s="8">
        <f>Inputs!$C$105*IF(Volume!S6&gt;=IFERROR(MATCH(Inputs!$C$110,Volume!$E$4:$S$4,0),99),Inputs!$C$109,0)</f>
        <v>8</v>
      </c>
    </row>
    <row r="40" spans="1:19" x14ac:dyDescent="0.2">
      <c r="A40" s="11" t="s">
        <v>756</v>
      </c>
      <c r="B40" s="3" t="s">
        <v>10</v>
      </c>
      <c r="C40" s="31">
        <f>SUM(E40:G40)</f>
        <v>-2.9782597316646005</v>
      </c>
      <c r="D40" s="31">
        <f>SUM(H40:S40)</f>
        <v>219.7666685443067</v>
      </c>
      <c r="E40" s="32">
        <f t="shared" ref="E40:S40" si="5">SUM(E37:E39)</f>
        <v>-0.99447437687869922</v>
      </c>
      <c r="F40" s="32">
        <f t="shared" si="5"/>
        <v>-0.99278017578589939</v>
      </c>
      <c r="G40" s="32">
        <f t="shared" si="5"/>
        <v>-0.99100517900000185</v>
      </c>
      <c r="H40" s="32">
        <f t="shared" si="5"/>
        <v>6.7732589919418462</v>
      </c>
      <c r="I40" s="32">
        <f t="shared" si="5"/>
        <v>7.7132316120515769</v>
      </c>
      <c r="J40" s="32">
        <f t="shared" si="5"/>
        <v>7.7216044132499988</v>
      </c>
      <c r="K40" s="32">
        <f t="shared" si="5"/>
        <v>7.9135413853308068</v>
      </c>
      <c r="L40" s="32">
        <f t="shared" si="5"/>
        <v>11.473139274303314</v>
      </c>
      <c r="M40" s="32">
        <f t="shared" si="5"/>
        <v>11.494418016333331</v>
      </c>
      <c r="N40" s="32">
        <f t="shared" si="5"/>
        <v>19.935247729887145</v>
      </c>
      <c r="O40" s="32">
        <f t="shared" si="5"/>
        <v>24.682684711407092</v>
      </c>
      <c r="P40" s="32">
        <f t="shared" si="5"/>
        <v>24.705265863529409</v>
      </c>
      <c r="Q40" s="32">
        <f t="shared" si="5"/>
        <v>31.934481417236547</v>
      </c>
      <c r="R40" s="32">
        <f t="shared" si="5"/>
        <v>31.966824095435641</v>
      </c>
      <c r="S40" s="32">
        <f t="shared" si="5"/>
        <v>33.452971033599994</v>
      </c>
    </row>
    <row r="42" spans="1:19" x14ac:dyDescent="0.2">
      <c r="A42" s="6" t="s">
        <v>757</v>
      </c>
    </row>
    <row r="43" spans="1:19" x14ac:dyDescent="0.2">
      <c r="A43" s="28" t="s">
        <v>758</v>
      </c>
      <c r="B43" s="3" t="s">
        <v>535</v>
      </c>
      <c r="C43" s="29">
        <f>SUM(E43:G43)</f>
        <v>0</v>
      </c>
      <c r="D43" s="29">
        <f>SUM(H43:S43)</f>
        <v>29</v>
      </c>
      <c r="E43" s="10">
        <f>Volume!E29</f>
        <v>0</v>
      </c>
      <c r="F43" s="10">
        <f>Volume!F29</f>
        <v>0</v>
      </c>
      <c r="G43" s="10">
        <f>Volume!G29</f>
        <v>0</v>
      </c>
      <c r="H43" s="10">
        <f>Volume!H29</f>
        <v>0</v>
      </c>
      <c r="I43" s="10">
        <f>Volume!I29</f>
        <v>0</v>
      </c>
      <c r="J43" s="10">
        <f>Volume!J29</f>
        <v>2</v>
      </c>
      <c r="K43" s="10">
        <f>Volume!K29</f>
        <v>1</v>
      </c>
      <c r="L43" s="10">
        <f>Volume!L29</f>
        <v>2</v>
      </c>
      <c r="M43" s="10">
        <f>Volume!M29</f>
        <v>1</v>
      </c>
      <c r="N43" s="10">
        <f>Volume!N29</f>
        <v>3</v>
      </c>
      <c r="O43" s="10">
        <f>Volume!O29</f>
        <v>1</v>
      </c>
      <c r="P43" s="10">
        <f>Volume!P29</f>
        <v>3</v>
      </c>
      <c r="Q43" s="10">
        <f>Volume!Q29</f>
        <v>4</v>
      </c>
      <c r="R43" s="10">
        <f>Volume!R29</f>
        <v>6</v>
      </c>
      <c r="S43" s="10">
        <f>Volume!S29</f>
        <v>6</v>
      </c>
    </row>
    <row r="44" spans="1:19" x14ac:dyDescent="0.2">
      <c r="A44" s="28" t="s">
        <v>759</v>
      </c>
      <c r="B44" s="3" t="s">
        <v>43</v>
      </c>
      <c r="C44" s="29">
        <f>MAX(E44:G44)</f>
        <v>0</v>
      </c>
      <c r="D44" s="29">
        <f>MAX(H44:S44)</f>
        <v>3</v>
      </c>
      <c r="E44" s="10">
        <f>ROUNDUP(E43/Inputs!$C$115,0)</f>
        <v>0</v>
      </c>
      <c r="F44" s="10">
        <f>ROUNDUP(F43/Inputs!$C$115,0)</f>
        <v>0</v>
      </c>
      <c r="G44" s="10">
        <f>ROUNDUP(G43/Inputs!$C$115,0)</f>
        <v>0</v>
      </c>
      <c r="H44" s="10">
        <f>ROUNDUP(H43/Inputs!$C$115,0)</f>
        <v>0</v>
      </c>
      <c r="I44" s="10">
        <f>ROUNDUP(I43/Inputs!$C$115,0)</f>
        <v>0</v>
      </c>
      <c r="J44" s="10">
        <f>ROUNDUP(J43/Inputs!$C$115,0)</f>
        <v>1</v>
      </c>
      <c r="K44" s="10">
        <f>ROUNDUP(K43/Inputs!$C$115,0)</f>
        <v>1</v>
      </c>
      <c r="L44" s="10">
        <f>ROUNDUP(L43/Inputs!$C$115,0)</f>
        <v>1</v>
      </c>
      <c r="M44" s="10">
        <f>ROUNDUP(M43/Inputs!$C$115,0)</f>
        <v>1</v>
      </c>
      <c r="N44" s="10">
        <f>ROUNDUP(N43/Inputs!$C$115,0)</f>
        <v>2</v>
      </c>
      <c r="O44" s="10">
        <f>ROUNDUP(O43/Inputs!$C$115,0)</f>
        <v>1</v>
      </c>
      <c r="P44" s="10">
        <f>ROUNDUP(P43/Inputs!$C$115,0)</f>
        <v>2</v>
      </c>
      <c r="Q44" s="10">
        <f>ROUNDUP(Q43/Inputs!$C$115,0)</f>
        <v>2</v>
      </c>
      <c r="R44" s="10">
        <f>ROUNDUP(R43/Inputs!$C$115,0)</f>
        <v>3</v>
      </c>
      <c r="S44" s="10">
        <f>ROUNDUP(S43/Inputs!$C$115,0)</f>
        <v>3</v>
      </c>
    </row>
    <row r="45" spans="1:19" x14ac:dyDescent="0.2">
      <c r="A45" s="28" t="s">
        <v>760</v>
      </c>
      <c r="B45" s="3" t="s">
        <v>21</v>
      </c>
      <c r="C45" s="72">
        <f>MAX(E45:G45)</f>
        <v>0</v>
      </c>
      <c r="D45" s="72">
        <f>MAX(H45:S45)</f>
        <v>3</v>
      </c>
      <c r="E45" s="73">
        <f>E43/Inputs!$C$115</f>
        <v>0</v>
      </c>
      <c r="F45" s="73">
        <f>F43/Inputs!$C$115</f>
        <v>0</v>
      </c>
      <c r="G45" s="73">
        <f>G43/Inputs!$C$115</f>
        <v>0</v>
      </c>
      <c r="H45" s="73">
        <f>H43/Inputs!$C$115</f>
        <v>0</v>
      </c>
      <c r="I45" s="73">
        <f>I43/Inputs!$C$115</f>
        <v>0</v>
      </c>
      <c r="J45" s="73">
        <f>J43/Inputs!$C$115</f>
        <v>1</v>
      </c>
      <c r="K45" s="73">
        <f>K43/Inputs!$C$115</f>
        <v>0.5</v>
      </c>
      <c r="L45" s="73">
        <f>L43/Inputs!$C$115</f>
        <v>1</v>
      </c>
      <c r="M45" s="73">
        <f>M43/Inputs!$C$115</f>
        <v>0.5</v>
      </c>
      <c r="N45" s="73">
        <f>N43/Inputs!$C$115</f>
        <v>1.5</v>
      </c>
      <c r="O45" s="73">
        <f>O43/Inputs!$C$115</f>
        <v>0.5</v>
      </c>
      <c r="P45" s="73">
        <f>P43/Inputs!$C$115</f>
        <v>1.5</v>
      </c>
      <c r="Q45" s="73">
        <f>Q43/Inputs!$C$115</f>
        <v>2</v>
      </c>
      <c r="R45" s="73">
        <f>R43/Inputs!$C$115</f>
        <v>3</v>
      </c>
      <c r="S45" s="73">
        <f>S43/Inputs!$C$115</f>
        <v>3</v>
      </c>
    </row>
    <row r="46" spans="1:19" x14ac:dyDescent="0.2">
      <c r="A46" s="28" t="s">
        <v>761</v>
      </c>
      <c r="B46" s="3" t="s">
        <v>21</v>
      </c>
      <c r="C46" s="72">
        <f>MAX(E46:G46)</f>
        <v>0</v>
      </c>
      <c r="D46" s="72">
        <f>MAX(H46:S46)</f>
        <v>1</v>
      </c>
      <c r="E46" s="73">
        <f>IF(E9=0,0,E6/(E9*Inputs!$C$34))</f>
        <v>0</v>
      </c>
      <c r="F46" s="73">
        <f>IF(F9=0,0,F6/(F9*Inputs!$C$34))</f>
        <v>0</v>
      </c>
      <c r="G46" s="73">
        <f>IF(G9=0,0,G6/(G9*Inputs!$C$34))</f>
        <v>0</v>
      </c>
      <c r="H46" s="73">
        <f>IF(H9=0,0,H6/(H9*Inputs!$C$34))</f>
        <v>0</v>
      </c>
      <c r="I46" s="73">
        <f>IF(I9=0,0,I6/(I9*Inputs!$C$34))</f>
        <v>0.5</v>
      </c>
      <c r="J46" s="73">
        <f>IF(J9=0,0,J6/(J9*Inputs!$C$34))</f>
        <v>1</v>
      </c>
      <c r="K46" s="73">
        <f>IF(K9=0,0,K6/(K9*Inputs!$C$34))</f>
        <v>0.33333333333333331</v>
      </c>
      <c r="L46" s="73">
        <f>IF(L9=0,0,L6/(L9*Inputs!$C$34))</f>
        <v>1</v>
      </c>
      <c r="M46" s="73">
        <f>IF(M9=0,0,M6/(M9*Inputs!$C$34))</f>
        <v>0.33333333333333331</v>
      </c>
      <c r="N46" s="73">
        <f>IF(N9=0,0,N6/(N9*Inputs!$C$34))</f>
        <v>1</v>
      </c>
      <c r="O46" s="73">
        <f>IF(O9=0,0,O6/(O9*Inputs!$C$34))</f>
        <v>0.25</v>
      </c>
      <c r="P46" s="73">
        <f>IF(P9=0,0,P6/(P9*Inputs!$C$34))</f>
        <v>1</v>
      </c>
      <c r="Q46" s="73">
        <f>IF(Q9=0,0,Q6/(Q9*Inputs!$C$34))</f>
        <v>1</v>
      </c>
      <c r="R46" s="73">
        <f>IF(R9=0,0,R6/(R9*Inputs!$C$34))</f>
        <v>1</v>
      </c>
      <c r="S46" s="73">
        <f>IF(S9=0,0,S6/(S9*Inputs!$C$34))</f>
        <v>0.875</v>
      </c>
    </row>
    <row r="47" spans="1:19" x14ac:dyDescent="0.2">
      <c r="A47" s="28" t="s">
        <v>762</v>
      </c>
      <c r="B47" s="3" t="s">
        <v>43</v>
      </c>
      <c r="C47" s="29">
        <f>SUM(E47:G47)</f>
        <v>0</v>
      </c>
      <c r="D47" s="29">
        <f>SUM(H47:S47)</f>
        <v>6</v>
      </c>
      <c r="E47" s="10">
        <f>IF(Inputs!$C$105=1,IFERROR(INDEX($E$10:$S$10,Volume!E6+Inputs!$C$116),0),E10)</f>
        <v>0</v>
      </c>
      <c r="F47" s="10">
        <f>IF(Inputs!$C$105=1,IFERROR(INDEX($E$10:$S$10,Volume!F6+Inputs!$C$116),0),F10)</f>
        <v>0</v>
      </c>
      <c r="G47" s="10">
        <f>IF(Inputs!$C$105=1,IFERROR(INDEX($E$10:$S$10,Volume!G6+Inputs!$C$116),0),G10)</f>
        <v>0</v>
      </c>
      <c r="H47" s="10">
        <f>IF(Inputs!$C$105=1,IFERROR(INDEX($E$10:$S$10,Volume!H6+Inputs!$C$116),0),H10)</f>
        <v>1</v>
      </c>
      <c r="I47" s="10">
        <f>IF(Inputs!$C$105=1,IFERROR(INDEX($E$10:$S$10,Volume!I6+Inputs!$C$116),0),I10)</f>
        <v>0</v>
      </c>
      <c r="J47" s="10">
        <f>IF(Inputs!$C$105=1,IFERROR(INDEX($E$10:$S$10,Volume!J6+Inputs!$C$116),0),J10)</f>
        <v>0</v>
      </c>
      <c r="K47" s="10">
        <f>IF(Inputs!$C$105=1,IFERROR(INDEX($E$10:$S$10,Volume!K6+Inputs!$C$116),0),K10)</f>
        <v>0</v>
      </c>
      <c r="L47" s="10">
        <f>IF(Inputs!$C$105=1,IFERROR(INDEX($E$10:$S$10,Volume!L6+Inputs!$C$116),0),L10)</f>
        <v>1</v>
      </c>
      <c r="M47" s="10">
        <f>IF(Inputs!$C$105=1,IFERROR(INDEX($E$10:$S$10,Volume!M6+Inputs!$C$116),0),M10)</f>
        <v>0</v>
      </c>
      <c r="N47" s="10">
        <f>IF(Inputs!$C$105=1,IFERROR(INDEX($E$10:$S$10,Volume!N6+Inputs!$C$116),0),N10)</f>
        <v>0</v>
      </c>
      <c r="O47" s="10">
        <f>IF(Inputs!$C$105=1,IFERROR(INDEX($E$10:$S$10,Volume!O6+Inputs!$C$116),0),O10)</f>
        <v>1</v>
      </c>
      <c r="P47" s="10">
        <f>IF(Inputs!$C$105=1,IFERROR(INDEX($E$10:$S$10,Volume!P6+Inputs!$C$116),0),P10)</f>
        <v>3</v>
      </c>
      <c r="Q47" s="10">
        <f>IF(Inputs!$C$105=1,IFERROR(INDEX($E$10:$S$10,Volume!Q6+Inputs!$C$116),0),Q10)</f>
        <v>0</v>
      </c>
      <c r="R47" s="10">
        <f>IF(Inputs!$C$105=1,IFERROR(INDEX($E$10:$S$10,Volume!R6+Inputs!$C$116),0),R10)</f>
        <v>0</v>
      </c>
      <c r="S47" s="10">
        <f>IF(Inputs!$C$105=1,IFERROR(INDEX($E$10:$S$10,Volume!S6+Inputs!$C$116),0),S10)</f>
        <v>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44"/>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763</v>
      </c>
      <c r="B1" s="2"/>
      <c r="C1" s="2"/>
      <c r="D1" s="2"/>
      <c r="E1" s="2"/>
      <c r="F1" s="2"/>
      <c r="G1" s="2"/>
      <c r="H1" s="2"/>
      <c r="I1" s="2"/>
      <c r="J1" s="2"/>
      <c r="K1" s="2"/>
      <c r="L1" s="2"/>
      <c r="M1" s="2"/>
      <c r="N1" s="2"/>
      <c r="O1" s="2"/>
      <c r="P1" s="2"/>
      <c r="Q1" s="2"/>
      <c r="R1" s="2"/>
      <c r="S1" s="2"/>
    </row>
    <row r="2" spans="1:19" ht="15" customHeight="1" x14ac:dyDescent="0.2">
      <c r="A2" s="3" t="s">
        <v>603</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180</v>
      </c>
      <c r="B4" s="27" t="s">
        <v>6</v>
      </c>
      <c r="C4" s="27" t="s">
        <v>162</v>
      </c>
      <c r="D4" s="27" t="s">
        <v>181</v>
      </c>
      <c r="E4" s="27" t="s">
        <v>66</v>
      </c>
      <c r="F4" s="27" t="s">
        <v>604</v>
      </c>
      <c r="G4" s="27" t="s">
        <v>605</v>
      </c>
      <c r="H4" s="27" t="s">
        <v>359</v>
      </c>
      <c r="I4" s="27" t="s">
        <v>68</v>
      </c>
      <c r="J4" s="27" t="s">
        <v>496</v>
      </c>
      <c r="K4" s="27" t="s">
        <v>67</v>
      </c>
      <c r="L4" s="27" t="s">
        <v>606</v>
      </c>
      <c r="M4" s="27" t="s">
        <v>607</v>
      </c>
      <c r="N4" s="27" t="s">
        <v>513</v>
      </c>
      <c r="O4" s="27" t="s">
        <v>608</v>
      </c>
      <c r="P4" s="27" t="s">
        <v>609</v>
      </c>
      <c r="Q4" s="27" t="s">
        <v>523</v>
      </c>
      <c r="R4" s="27" t="s">
        <v>610</v>
      </c>
      <c r="S4" s="27" t="s">
        <v>611</v>
      </c>
    </row>
    <row r="5" spans="1:19" ht="15" customHeight="1" x14ac:dyDescent="0.2">
      <c r="A5" s="6" t="s">
        <v>194</v>
      </c>
      <c r="B5" s="7"/>
      <c r="C5" s="7"/>
      <c r="D5" s="7"/>
      <c r="E5" s="7"/>
      <c r="F5" s="7"/>
      <c r="G5" s="7"/>
      <c r="H5" s="7"/>
      <c r="I5" s="7"/>
      <c r="J5" s="7"/>
      <c r="K5" s="7"/>
      <c r="L5" s="7"/>
      <c r="M5" s="7"/>
      <c r="N5" s="7"/>
      <c r="O5" s="7"/>
      <c r="P5" s="7"/>
      <c r="Q5" s="7"/>
      <c r="R5" s="7"/>
      <c r="S5" s="7"/>
    </row>
    <row r="6" spans="1:19" ht="15" customHeight="1" x14ac:dyDescent="0.2">
      <c r="A6" s="28" t="s">
        <v>621</v>
      </c>
      <c r="B6" s="3" t="s">
        <v>10</v>
      </c>
      <c r="C6" s="31">
        <f t="shared" ref="C6:C12" si="0">SUM(E6:G6)</f>
        <v>0</v>
      </c>
      <c r="D6" s="31">
        <f t="shared" ref="D6:D12" si="1">SUM(H6:S6)</f>
        <v>500</v>
      </c>
      <c r="E6" s="8">
        <f>Volume!E23*IF(Volume!E11=1,Unit_Economics!$B$4,Unit_Economics!$N$4)</f>
        <v>0</v>
      </c>
      <c r="F6" s="8">
        <f>Volume!F23*IF(Volume!F11=1,Unit_Economics!$B$4,Unit_Economics!$N$4)</f>
        <v>0</v>
      </c>
      <c r="G6" s="8">
        <f>Volume!G23*IF(Volume!G11=1,Unit_Economics!$B$4,Unit_Economics!$N$4)</f>
        <v>0</v>
      </c>
      <c r="H6" s="8">
        <f>Volume!H23*IF(Volume!H11=1,Unit_Economics!$B$4,Unit_Economics!$N$4)</f>
        <v>0</v>
      </c>
      <c r="I6" s="8">
        <f>Volume!I23*IF(Volume!I11=1,Unit_Economics!$B$4,Unit_Economics!$N$4)</f>
        <v>0</v>
      </c>
      <c r="J6" s="8">
        <f>Volume!J23*IF(Volume!J11=1,Unit_Economics!$B$4,Unit_Economics!$N$4)</f>
        <v>100</v>
      </c>
      <c r="K6" s="8">
        <f>Volume!K23*IF(Volume!K11=1,Unit_Economics!$B$4,Unit_Economics!$N$4)</f>
        <v>0</v>
      </c>
      <c r="L6" s="8">
        <f>Volume!L23*IF(Volume!L11=1,Unit_Economics!$B$4,Unit_Economics!$N$4)</f>
        <v>100</v>
      </c>
      <c r="M6" s="8">
        <f>Volume!M23*IF(Volume!M11=1,Unit_Economics!$B$4,Unit_Economics!$N$4)</f>
        <v>0</v>
      </c>
      <c r="N6" s="8">
        <f>Volume!N23*IF(Volume!N11=1,Unit_Economics!$B$4,Unit_Economics!$N$4)</f>
        <v>100</v>
      </c>
      <c r="O6" s="8">
        <f>Volume!O23*IF(Volume!O11=1,Unit_Economics!$B$4,Unit_Economics!$N$4)</f>
        <v>0</v>
      </c>
      <c r="P6" s="8">
        <f>Volume!P23*IF(Volume!P11=1,Unit_Economics!$B$4,Unit_Economics!$N$4)</f>
        <v>100</v>
      </c>
      <c r="Q6" s="8">
        <f>Volume!Q23*IF(Volume!Q11=1,Unit_Economics!$B$4,Unit_Economics!$N$4)</f>
        <v>0</v>
      </c>
      <c r="R6" s="8">
        <f>Volume!R23*IF(Volume!R11=1,Unit_Economics!$B$4,Unit_Economics!$N$4)</f>
        <v>100</v>
      </c>
      <c r="S6" s="8">
        <f>Volume!S23*IF(Volume!S11=1,Unit_Economics!$B$4,Unit_Economics!$N$4)</f>
        <v>0</v>
      </c>
    </row>
    <row r="7" spans="1:19" ht="15" customHeight="1" x14ac:dyDescent="0.2">
      <c r="A7" s="28" t="s">
        <v>622</v>
      </c>
      <c r="B7" s="3" t="s">
        <v>10</v>
      </c>
      <c r="C7" s="31">
        <f t="shared" si="0"/>
        <v>0</v>
      </c>
      <c r="D7" s="31">
        <f t="shared" si="1"/>
        <v>484.5</v>
      </c>
      <c r="E7" s="8">
        <f>Volume!E24*IF(Volume!E11=1,Unit_Economics!$B$5,Unit_Economics!$N$5)</f>
        <v>0</v>
      </c>
      <c r="F7" s="8">
        <f>Volume!F24*IF(Volume!F11=1,Unit_Economics!$B$5,Unit_Economics!$N$5)</f>
        <v>0</v>
      </c>
      <c r="G7" s="8">
        <f>Volume!G24*IF(Volume!G11=1,Unit_Economics!$B$5,Unit_Economics!$N$5)</f>
        <v>0</v>
      </c>
      <c r="H7" s="8">
        <f>Volume!H24*IF(Volume!H11=1,Unit_Economics!$B$5,Unit_Economics!$N$5)</f>
        <v>0</v>
      </c>
      <c r="I7" s="8">
        <f>Volume!I24*IF(Volume!I11=1,Unit_Economics!$B$5,Unit_Economics!$N$5)</f>
        <v>0</v>
      </c>
      <c r="J7" s="8">
        <f>Volume!J24*IF(Volume!J11=1,Unit_Economics!$B$5,Unit_Economics!$N$5)</f>
        <v>28.5</v>
      </c>
      <c r="K7" s="8">
        <f>Volume!K24*IF(Volume!K11=1,Unit_Economics!$B$5,Unit_Economics!$N$5)</f>
        <v>0</v>
      </c>
      <c r="L7" s="8">
        <f>Volume!L24*IF(Volume!L11=1,Unit_Economics!$B$5,Unit_Economics!$N$5)</f>
        <v>28.5</v>
      </c>
      <c r="M7" s="8">
        <f>Volume!M24*IF(Volume!M11=1,Unit_Economics!$B$5,Unit_Economics!$N$5)</f>
        <v>28.5</v>
      </c>
      <c r="N7" s="8">
        <f>Volume!N24*IF(Volume!N11=1,Unit_Economics!$B$5,Unit_Economics!$N$5)</f>
        <v>28.5</v>
      </c>
      <c r="O7" s="8">
        <f>Volume!O24*IF(Volume!O11=1,Unit_Economics!$B$5,Unit_Economics!$N$5)</f>
        <v>28.5</v>
      </c>
      <c r="P7" s="8">
        <f>Volume!P24*IF(Volume!P11=1,Unit_Economics!$B$5,Unit_Economics!$N$5)</f>
        <v>57</v>
      </c>
      <c r="Q7" s="8">
        <f>Volume!Q24*IF(Volume!Q11=1,Unit_Economics!$B$5,Unit_Economics!$N$5)</f>
        <v>57</v>
      </c>
      <c r="R7" s="8">
        <f>Volume!R24*IF(Volume!R11=1,Unit_Economics!$B$5,Unit_Economics!$N$5)</f>
        <v>85.5</v>
      </c>
      <c r="S7" s="8">
        <f>Volume!S24*IF(Volume!S11=1,Unit_Economics!$B$5,Unit_Economics!$N$5)</f>
        <v>142.5</v>
      </c>
    </row>
    <row r="8" spans="1:19" ht="15" customHeight="1" x14ac:dyDescent="0.2">
      <c r="A8" s="28" t="s">
        <v>623</v>
      </c>
      <c r="B8" s="3" t="s">
        <v>10</v>
      </c>
      <c r="C8" s="31">
        <f t="shared" si="0"/>
        <v>0</v>
      </c>
      <c r="D8" s="31">
        <f t="shared" si="1"/>
        <v>374.5</v>
      </c>
      <c r="E8" s="8">
        <f>Volume!E25*IF(Volume!E11=1,Unit_Economics!$B$6,Unit_Economics!$N$6)</f>
        <v>0</v>
      </c>
      <c r="F8" s="8">
        <f>Volume!F25*IF(Volume!F11=1,Unit_Economics!$B$6,Unit_Economics!$N$6)</f>
        <v>0</v>
      </c>
      <c r="G8" s="8">
        <f>Volume!G25*IF(Volume!G11=1,Unit_Economics!$B$6,Unit_Economics!$N$6)</f>
        <v>0</v>
      </c>
      <c r="H8" s="8">
        <f>Volume!H25*IF(Volume!H11=1,Unit_Economics!$B$6,Unit_Economics!$N$6)</f>
        <v>0</v>
      </c>
      <c r="I8" s="8">
        <f>Volume!I25*IF(Volume!I11=1,Unit_Economics!$B$6,Unit_Economics!$N$6)</f>
        <v>0</v>
      </c>
      <c r="J8" s="8">
        <f>Volume!J25*IF(Volume!J11=1,Unit_Economics!$B$6,Unit_Economics!$N$6)</f>
        <v>0</v>
      </c>
      <c r="K8" s="8">
        <f>Volume!K25*IF(Volume!K11=1,Unit_Economics!$B$6,Unit_Economics!$N$6)</f>
        <v>53.5</v>
      </c>
      <c r="L8" s="8">
        <f>Volume!L25*IF(Volume!L11=1,Unit_Economics!$B$6,Unit_Economics!$N$6)</f>
        <v>0</v>
      </c>
      <c r="M8" s="8">
        <f>Volume!M25*IF(Volume!M11=1,Unit_Economics!$B$6,Unit_Economics!$N$6)</f>
        <v>0</v>
      </c>
      <c r="N8" s="8">
        <f>Volume!N25*IF(Volume!N11=1,Unit_Economics!$B$6,Unit_Economics!$N$6)</f>
        <v>53.5</v>
      </c>
      <c r="O8" s="8">
        <f>Volume!O25*IF(Volume!O11=1,Unit_Economics!$B$6,Unit_Economics!$N$6)</f>
        <v>0</v>
      </c>
      <c r="P8" s="8">
        <f>Volume!P25*IF(Volume!P11=1,Unit_Economics!$B$6,Unit_Economics!$N$6)</f>
        <v>0</v>
      </c>
      <c r="Q8" s="8">
        <f>Volume!Q25*IF(Volume!Q11=1,Unit_Economics!$B$6,Unit_Economics!$N$6)</f>
        <v>107</v>
      </c>
      <c r="R8" s="8">
        <f>Volume!R25*IF(Volume!R11=1,Unit_Economics!$B$6,Unit_Economics!$N$6)</f>
        <v>107</v>
      </c>
      <c r="S8" s="8">
        <f>Volume!S25*IF(Volume!S11=1,Unit_Economics!$B$6,Unit_Economics!$N$6)</f>
        <v>53.5</v>
      </c>
    </row>
    <row r="9" spans="1:19" ht="15" customHeight="1" x14ac:dyDescent="0.2">
      <c r="A9" s="28" t="s">
        <v>764</v>
      </c>
      <c r="B9" s="3" t="s">
        <v>10</v>
      </c>
      <c r="C9" s="31">
        <f t="shared" si="0"/>
        <v>45</v>
      </c>
      <c r="D9" s="31">
        <f t="shared" si="1"/>
        <v>435</v>
      </c>
      <c r="E9" s="8">
        <f>Volume!E26*IF(Volume!E11=1,Unit_Economics!$B$7,Unit_Economics!$N$7)</f>
        <v>15</v>
      </c>
      <c r="F9" s="8">
        <f>Volume!F26*IF(Volume!F11=1,Unit_Economics!$B$7,Unit_Economics!$N$7)</f>
        <v>15</v>
      </c>
      <c r="G9" s="8">
        <f>Volume!G26*IF(Volume!G11=1,Unit_Economics!$B$7,Unit_Economics!$N$7)</f>
        <v>15</v>
      </c>
      <c r="H9" s="8">
        <f>Volume!H26*IF(Volume!H11=1,Unit_Economics!$B$7,Unit_Economics!$N$7)</f>
        <v>15</v>
      </c>
      <c r="I9" s="8">
        <f>Volume!I26*IF(Volume!I11=1,Unit_Economics!$B$7,Unit_Economics!$N$7)</f>
        <v>30</v>
      </c>
      <c r="J9" s="8">
        <f>Volume!J26*IF(Volume!J11=1,Unit_Economics!$B$7,Unit_Economics!$N$7)</f>
        <v>30</v>
      </c>
      <c r="K9" s="8">
        <f>Volume!K26*IF(Volume!K11=1,Unit_Economics!$B$7,Unit_Economics!$N$7)</f>
        <v>30</v>
      </c>
      <c r="L9" s="8">
        <f>Volume!L26*IF(Volume!L11=1,Unit_Economics!$B$7,Unit_Economics!$N$7)</f>
        <v>30</v>
      </c>
      <c r="M9" s="8">
        <f>Volume!M26*IF(Volume!M11=1,Unit_Economics!$B$7,Unit_Economics!$N$7)</f>
        <v>30</v>
      </c>
      <c r="N9" s="8">
        <f>Volume!N26*IF(Volume!N11=1,Unit_Economics!$B$7,Unit_Economics!$N$7)</f>
        <v>45</v>
      </c>
      <c r="O9" s="8">
        <f>Volume!O26*IF(Volume!O11=1,Unit_Economics!$B$7,Unit_Economics!$N$7)</f>
        <v>45</v>
      </c>
      <c r="P9" s="8">
        <f>Volume!P26*IF(Volume!P11=1,Unit_Economics!$B$7,Unit_Economics!$N$7)</f>
        <v>45</v>
      </c>
      <c r="Q9" s="8">
        <f>Volume!Q26*IF(Volume!Q11=1,Unit_Economics!$B$7,Unit_Economics!$N$7)</f>
        <v>45</v>
      </c>
      <c r="R9" s="8">
        <f>Volume!R26*IF(Volume!R11=1,Unit_Economics!$B$7,Unit_Economics!$N$7)</f>
        <v>45</v>
      </c>
      <c r="S9" s="8">
        <f>Volume!S26*IF(Volume!S11=1,Unit_Economics!$B$7,Unit_Economics!$N$7)</f>
        <v>45</v>
      </c>
    </row>
    <row r="10" spans="1:19" ht="15" customHeight="1" x14ac:dyDescent="0.2">
      <c r="A10" s="28" t="s">
        <v>626</v>
      </c>
      <c r="B10" s="3" t="s">
        <v>10</v>
      </c>
      <c r="C10" s="31">
        <f t="shared" si="0"/>
        <v>0</v>
      </c>
      <c r="D10" s="31">
        <f t="shared" si="1"/>
        <v>80</v>
      </c>
      <c r="E10" s="8">
        <f>Volume!E27*IF(Volume!E11=1,Unit_Economics!$B$8,Unit_Economics!$N$8)</f>
        <v>0</v>
      </c>
      <c r="F10" s="8">
        <f>Volume!F27*IF(Volume!F11=1,Unit_Economics!$B$8,Unit_Economics!$N$8)</f>
        <v>0</v>
      </c>
      <c r="G10" s="8">
        <f>Volume!G27*IF(Volume!G11=1,Unit_Economics!$B$8,Unit_Economics!$N$8)</f>
        <v>0</v>
      </c>
      <c r="H10" s="8">
        <f>Volume!H27*IF(Volume!H11=1,Unit_Economics!$B$8,Unit_Economics!$N$8)</f>
        <v>0</v>
      </c>
      <c r="I10" s="8">
        <f>Volume!I27*IF(Volume!I11=1,Unit_Economics!$B$8,Unit_Economics!$N$8)</f>
        <v>20</v>
      </c>
      <c r="J10" s="8">
        <f>Volume!J27*IF(Volume!J11=1,Unit_Economics!$B$8,Unit_Economics!$N$8)</f>
        <v>0</v>
      </c>
      <c r="K10" s="8">
        <f>Volume!K27*IF(Volume!K11=1,Unit_Economics!$B$8,Unit_Economics!$N$8)</f>
        <v>0</v>
      </c>
      <c r="L10" s="8">
        <f>Volume!L27*IF(Volume!L11=1,Unit_Economics!$B$8,Unit_Economics!$N$8)</f>
        <v>0</v>
      </c>
      <c r="M10" s="8">
        <f>Volume!M27*IF(Volume!M11=1,Unit_Economics!$B$8,Unit_Economics!$N$8)</f>
        <v>0</v>
      </c>
      <c r="N10" s="8">
        <f>Volume!N27*IF(Volume!N11=1,Unit_Economics!$B$8,Unit_Economics!$N$8)</f>
        <v>0</v>
      </c>
      <c r="O10" s="8">
        <f>Volume!O27*IF(Volume!O11=1,Unit_Economics!$B$8,Unit_Economics!$N$8)</f>
        <v>0</v>
      </c>
      <c r="P10" s="8">
        <f>Volume!P27*IF(Volume!P11=1,Unit_Economics!$B$8,Unit_Economics!$N$8)</f>
        <v>0</v>
      </c>
      <c r="Q10" s="8">
        <f>Volume!Q27*IF(Volume!Q11=1,Unit_Economics!$B$8,Unit_Economics!$N$8)</f>
        <v>20</v>
      </c>
      <c r="R10" s="8">
        <f>Volume!R27*IF(Volume!R11=1,Unit_Economics!$B$8,Unit_Economics!$N$8)</f>
        <v>20</v>
      </c>
      <c r="S10" s="8">
        <f>Volume!S27*IF(Volume!S11=1,Unit_Economics!$B$8,Unit_Economics!$N$8)</f>
        <v>20</v>
      </c>
    </row>
    <row r="11" spans="1:19" ht="15" customHeight="1" x14ac:dyDescent="0.2">
      <c r="A11" s="28" t="s">
        <v>765</v>
      </c>
      <c r="B11" s="3" t="s">
        <v>10</v>
      </c>
      <c r="C11" s="31">
        <f t="shared" si="0"/>
        <v>6.5729569609061844</v>
      </c>
      <c r="D11" s="31">
        <f t="shared" si="1"/>
        <v>165.97351422874098</v>
      </c>
      <c r="E11" s="8">
        <f>Volume!E28*Inputs!$C$14</f>
        <v>2.0897425365472309</v>
      </c>
      <c r="F11" s="8">
        <f>Volume!F28*Inputs!$C$14</f>
        <v>2.189401424358953</v>
      </c>
      <c r="G11" s="8">
        <f>Volume!G28*Inputs!$C$14</f>
        <v>2.2938129999999997</v>
      </c>
      <c r="H11" s="8">
        <f>Volume!H28*Inputs!$C$14</f>
        <v>3.4530309716220522</v>
      </c>
      <c r="I11" s="8">
        <f>Volume!I28*Inputs!$C$14</f>
        <v>3.7196648555085252</v>
      </c>
      <c r="J11" s="8">
        <f>Volume!J28*Inputs!$C$14</f>
        <v>4.0068875000000004</v>
      </c>
      <c r="K11" s="8">
        <f>Volume!K28*Inputs!$C$14</f>
        <v>10.336699537737367</v>
      </c>
      <c r="L11" s="8">
        <f>Volume!L28*Inputs!$C$14</f>
        <v>10.880179542521246</v>
      </c>
      <c r="M11" s="8">
        <f>Volume!M28*Inputs!$C$14</f>
        <v>11.470272222222222</v>
      </c>
      <c r="N11" s="8">
        <f>Volume!N28*Inputs!$C$14</f>
        <v>17.316073649232194</v>
      </c>
      <c r="O11" s="8">
        <f>Volume!O28*Inputs!$C$14</f>
        <v>18.286619865664512</v>
      </c>
      <c r="P11" s="8">
        <f>Volume!P28*Inputs!$C$14</f>
        <v>19.340406964705874</v>
      </c>
      <c r="Q11" s="8">
        <f>Volume!Q28*Inputs!$C$14</f>
        <v>21.227849603279349</v>
      </c>
      <c r="R11" s="8">
        <f>Volume!R28*Inputs!$C$14</f>
        <v>22.359843340247629</v>
      </c>
      <c r="S11" s="8">
        <f>Volume!S28*Inputs!$C$14</f>
        <v>23.575986175999986</v>
      </c>
    </row>
    <row r="12" spans="1:19" ht="15" customHeight="1" x14ac:dyDescent="0.2">
      <c r="A12" s="11" t="s">
        <v>766</v>
      </c>
      <c r="B12" s="3" t="s">
        <v>10</v>
      </c>
      <c r="C12" s="31">
        <f t="shared" si="0"/>
        <v>51.572956960906183</v>
      </c>
      <c r="D12" s="31">
        <f t="shared" si="1"/>
        <v>2039.9735142287409</v>
      </c>
      <c r="E12" s="32">
        <f t="shared" ref="E12:S12" si="2">SUM(E6:E11)</f>
        <v>17.089742536547231</v>
      </c>
      <c r="F12" s="32">
        <f t="shared" si="2"/>
        <v>17.189401424358952</v>
      </c>
      <c r="G12" s="32">
        <f t="shared" si="2"/>
        <v>17.293813</v>
      </c>
      <c r="H12" s="32">
        <f t="shared" si="2"/>
        <v>18.453030971622052</v>
      </c>
      <c r="I12" s="32">
        <f t="shared" si="2"/>
        <v>53.719664855508526</v>
      </c>
      <c r="J12" s="32">
        <f t="shared" si="2"/>
        <v>162.5068875</v>
      </c>
      <c r="K12" s="32">
        <f t="shared" si="2"/>
        <v>93.83669953773736</v>
      </c>
      <c r="L12" s="32">
        <f t="shared" si="2"/>
        <v>169.38017954252123</v>
      </c>
      <c r="M12" s="32">
        <f t="shared" si="2"/>
        <v>69.970272222222221</v>
      </c>
      <c r="N12" s="32">
        <f t="shared" si="2"/>
        <v>244.31607364923218</v>
      </c>
      <c r="O12" s="32">
        <f t="shared" si="2"/>
        <v>91.786619865664505</v>
      </c>
      <c r="P12" s="32">
        <f t="shared" si="2"/>
        <v>221.34040696470586</v>
      </c>
      <c r="Q12" s="32">
        <f t="shared" si="2"/>
        <v>250.22784960327934</v>
      </c>
      <c r="R12" s="32">
        <f t="shared" si="2"/>
        <v>379.85984334024761</v>
      </c>
      <c r="S12" s="32">
        <f t="shared" si="2"/>
        <v>284.57598617600001</v>
      </c>
    </row>
    <row r="13" spans="1:19" ht="15" customHeight="1" x14ac:dyDescent="0.2">
      <c r="A13" s="2"/>
      <c r="B13" s="2"/>
      <c r="C13" s="2"/>
      <c r="D13" s="2"/>
      <c r="E13" s="2"/>
      <c r="F13" s="2"/>
      <c r="G13" s="2"/>
      <c r="H13" s="2"/>
      <c r="I13" s="2"/>
      <c r="J13" s="2"/>
      <c r="K13" s="2"/>
      <c r="L13" s="2"/>
      <c r="M13" s="2"/>
      <c r="N13" s="2"/>
      <c r="O13" s="2"/>
      <c r="P13" s="2"/>
      <c r="Q13" s="2"/>
      <c r="R13" s="2"/>
      <c r="S13" s="2"/>
    </row>
    <row r="14" spans="1:19" ht="15" customHeight="1" x14ac:dyDescent="0.2">
      <c r="A14" s="6" t="s">
        <v>73</v>
      </c>
      <c r="B14" s="7"/>
      <c r="C14" s="7"/>
      <c r="D14" s="7"/>
      <c r="E14" s="7"/>
      <c r="F14" s="7"/>
      <c r="G14" s="7"/>
      <c r="H14" s="7"/>
      <c r="I14" s="7"/>
      <c r="J14" s="7"/>
      <c r="K14" s="7"/>
      <c r="L14" s="7"/>
      <c r="M14" s="7"/>
      <c r="N14" s="7"/>
      <c r="O14" s="7"/>
      <c r="P14" s="7"/>
      <c r="Q14" s="7"/>
      <c r="R14" s="7"/>
      <c r="S14" s="7"/>
    </row>
    <row r="15" spans="1:19" ht="15" customHeight="1" x14ac:dyDescent="0.2">
      <c r="A15" s="28" t="s">
        <v>767</v>
      </c>
      <c r="B15" s="3" t="s">
        <v>10</v>
      </c>
      <c r="C15" s="31">
        <f t="shared" ref="C15:C21" si="3">SUM(E15:G15)</f>
        <v>0</v>
      </c>
      <c r="D15" s="31">
        <f t="shared" ref="D15:D21" si="4">SUM(H15:S15)</f>
        <v>140</v>
      </c>
      <c r="E15" s="8">
        <f>Volume!E23*IF(Volume!E11=1,Unit_Economics!$F$4,Unit_Economics!$O$4)</f>
        <v>0</v>
      </c>
      <c r="F15" s="8">
        <f>Volume!F23*IF(Volume!F11=1,Unit_Economics!$F$4,Unit_Economics!$O$4)</f>
        <v>0</v>
      </c>
      <c r="G15" s="8">
        <f>Volume!G23*IF(Volume!G11=1,Unit_Economics!$F$4,Unit_Economics!$O$4)</f>
        <v>0</v>
      </c>
      <c r="H15" s="8">
        <f>Volume!H23*IF(Volume!H11=1,Unit_Economics!$F$4,Unit_Economics!$O$4)</f>
        <v>0</v>
      </c>
      <c r="I15" s="8">
        <f>Volume!I23*IF(Volume!I11=1,Unit_Economics!$F$4,Unit_Economics!$O$4)</f>
        <v>0</v>
      </c>
      <c r="J15" s="8">
        <f>Volume!J23*IF(Volume!J11=1,Unit_Economics!$F$4,Unit_Economics!$O$4)</f>
        <v>28</v>
      </c>
      <c r="K15" s="8">
        <f>Volume!K23*IF(Volume!K11=1,Unit_Economics!$F$4,Unit_Economics!$O$4)</f>
        <v>0</v>
      </c>
      <c r="L15" s="8">
        <f>Volume!L23*IF(Volume!L11=1,Unit_Economics!$F$4,Unit_Economics!$O$4)</f>
        <v>28</v>
      </c>
      <c r="M15" s="8">
        <f>Volume!M23*IF(Volume!M11=1,Unit_Economics!$F$4,Unit_Economics!$O$4)</f>
        <v>0</v>
      </c>
      <c r="N15" s="8">
        <f>Volume!N23*IF(Volume!N11=1,Unit_Economics!$F$4,Unit_Economics!$O$4)</f>
        <v>28</v>
      </c>
      <c r="O15" s="8">
        <f>Volume!O23*IF(Volume!O11=1,Unit_Economics!$F$4,Unit_Economics!$O$4)</f>
        <v>0</v>
      </c>
      <c r="P15" s="8">
        <f>Volume!P23*IF(Volume!P11=1,Unit_Economics!$F$4,Unit_Economics!$O$4)</f>
        <v>28</v>
      </c>
      <c r="Q15" s="8">
        <f>Volume!Q23*IF(Volume!Q11=1,Unit_Economics!$F$4,Unit_Economics!$O$4)</f>
        <v>0</v>
      </c>
      <c r="R15" s="8">
        <f>Volume!R23*IF(Volume!R11=1,Unit_Economics!$F$4,Unit_Economics!$O$4)</f>
        <v>28</v>
      </c>
      <c r="S15" s="8">
        <f>Volume!S23*IF(Volume!S11=1,Unit_Economics!$F$4,Unit_Economics!$O$4)</f>
        <v>0</v>
      </c>
    </row>
    <row r="16" spans="1:19" ht="15" customHeight="1" x14ac:dyDescent="0.2">
      <c r="A16" s="28" t="s">
        <v>768</v>
      </c>
      <c r="B16" s="3" t="s">
        <v>10</v>
      </c>
      <c r="C16" s="31">
        <f t="shared" si="3"/>
        <v>0</v>
      </c>
      <c r="D16" s="31">
        <f t="shared" si="4"/>
        <v>174.25</v>
      </c>
      <c r="E16" s="8">
        <f>Volume!E24*IF(Volume!E11=1,Unit_Economics!$F$5,Unit_Economics!$O$5)</f>
        <v>0</v>
      </c>
      <c r="F16" s="8">
        <f>Volume!F24*IF(Volume!F11=1,Unit_Economics!$F$5,Unit_Economics!$O$5)</f>
        <v>0</v>
      </c>
      <c r="G16" s="8">
        <f>Volume!G24*IF(Volume!G11=1,Unit_Economics!$F$5,Unit_Economics!$O$5)</f>
        <v>0</v>
      </c>
      <c r="H16" s="8">
        <f>Volume!H24*IF(Volume!H11=1,Unit_Economics!$F$5,Unit_Economics!$O$5)</f>
        <v>0</v>
      </c>
      <c r="I16" s="8">
        <f>Volume!I24*IF(Volume!I11=1,Unit_Economics!$F$5,Unit_Economics!$O$5)</f>
        <v>0</v>
      </c>
      <c r="J16" s="8">
        <f>Volume!J24*IF(Volume!J11=1,Unit_Economics!$F$5,Unit_Economics!$O$5)</f>
        <v>10.25</v>
      </c>
      <c r="K16" s="8">
        <f>Volume!K24*IF(Volume!K11=1,Unit_Economics!$F$5,Unit_Economics!$O$5)</f>
        <v>0</v>
      </c>
      <c r="L16" s="8">
        <f>Volume!L24*IF(Volume!L11=1,Unit_Economics!$F$5,Unit_Economics!$O$5)</f>
        <v>10.25</v>
      </c>
      <c r="M16" s="8">
        <f>Volume!M24*IF(Volume!M11=1,Unit_Economics!$F$5,Unit_Economics!$O$5)</f>
        <v>10.25</v>
      </c>
      <c r="N16" s="8">
        <f>Volume!N24*IF(Volume!N11=1,Unit_Economics!$F$5,Unit_Economics!$O$5)</f>
        <v>10.25</v>
      </c>
      <c r="O16" s="8">
        <f>Volume!O24*IF(Volume!O11=1,Unit_Economics!$F$5,Unit_Economics!$O$5)</f>
        <v>10.25</v>
      </c>
      <c r="P16" s="8">
        <f>Volume!P24*IF(Volume!P11=1,Unit_Economics!$F$5,Unit_Economics!$O$5)</f>
        <v>20.5</v>
      </c>
      <c r="Q16" s="8">
        <f>Volume!Q24*IF(Volume!Q11=1,Unit_Economics!$F$5,Unit_Economics!$O$5)</f>
        <v>20.5</v>
      </c>
      <c r="R16" s="8">
        <f>Volume!R24*IF(Volume!R11=1,Unit_Economics!$F$5,Unit_Economics!$O$5)</f>
        <v>30.75</v>
      </c>
      <c r="S16" s="8">
        <f>Volume!S24*IF(Volume!S11=1,Unit_Economics!$F$5,Unit_Economics!$O$5)</f>
        <v>51.25</v>
      </c>
    </row>
    <row r="17" spans="1:19" ht="15" customHeight="1" x14ac:dyDescent="0.2">
      <c r="A17" s="28" t="s">
        <v>769</v>
      </c>
      <c r="B17" s="3" t="s">
        <v>10</v>
      </c>
      <c r="C17" s="31">
        <f t="shared" si="3"/>
        <v>0</v>
      </c>
      <c r="D17" s="31">
        <f t="shared" si="4"/>
        <v>105</v>
      </c>
      <c r="E17" s="8">
        <f>Volume!E25*IF(Volume!E11=1,Unit_Economics!$F$6,Unit_Economics!$O$6)</f>
        <v>0</v>
      </c>
      <c r="F17" s="8">
        <f>Volume!F25*IF(Volume!F11=1,Unit_Economics!$F$6,Unit_Economics!$O$6)</f>
        <v>0</v>
      </c>
      <c r="G17" s="8">
        <f>Volume!G25*IF(Volume!G11=1,Unit_Economics!$F$6,Unit_Economics!$O$6)</f>
        <v>0</v>
      </c>
      <c r="H17" s="8">
        <f>Volume!H25*IF(Volume!H11=1,Unit_Economics!$F$6,Unit_Economics!$O$6)</f>
        <v>0</v>
      </c>
      <c r="I17" s="8">
        <f>Volume!I25*IF(Volume!I11=1,Unit_Economics!$F$6,Unit_Economics!$O$6)</f>
        <v>0</v>
      </c>
      <c r="J17" s="8">
        <f>Volume!J25*IF(Volume!J11=1,Unit_Economics!$F$6,Unit_Economics!$O$6)</f>
        <v>0</v>
      </c>
      <c r="K17" s="8">
        <f>Volume!K25*IF(Volume!K11=1,Unit_Economics!$F$6,Unit_Economics!$O$6)</f>
        <v>15</v>
      </c>
      <c r="L17" s="8">
        <f>Volume!L25*IF(Volume!L11=1,Unit_Economics!$F$6,Unit_Economics!$O$6)</f>
        <v>0</v>
      </c>
      <c r="M17" s="8">
        <f>Volume!M25*IF(Volume!M11=1,Unit_Economics!$F$6,Unit_Economics!$O$6)</f>
        <v>0</v>
      </c>
      <c r="N17" s="8">
        <f>Volume!N25*IF(Volume!N11=1,Unit_Economics!$F$6,Unit_Economics!$O$6)</f>
        <v>15</v>
      </c>
      <c r="O17" s="8">
        <f>Volume!O25*IF(Volume!O11=1,Unit_Economics!$F$6,Unit_Economics!$O$6)</f>
        <v>0</v>
      </c>
      <c r="P17" s="8">
        <f>Volume!P25*IF(Volume!P11=1,Unit_Economics!$F$6,Unit_Economics!$O$6)</f>
        <v>0</v>
      </c>
      <c r="Q17" s="8">
        <f>Volume!Q25*IF(Volume!Q11=1,Unit_Economics!$F$6,Unit_Economics!$O$6)</f>
        <v>30</v>
      </c>
      <c r="R17" s="8">
        <f>Volume!R25*IF(Volume!R11=1,Unit_Economics!$F$6,Unit_Economics!$O$6)</f>
        <v>30</v>
      </c>
      <c r="S17" s="8">
        <f>Volume!S25*IF(Volume!S11=1,Unit_Economics!$F$6,Unit_Economics!$O$6)</f>
        <v>15</v>
      </c>
    </row>
    <row r="18" spans="1:19" ht="15" customHeight="1" x14ac:dyDescent="0.2">
      <c r="A18" s="28" t="s">
        <v>764</v>
      </c>
      <c r="B18" s="3" t="s">
        <v>10</v>
      </c>
      <c r="C18" s="31">
        <f t="shared" si="3"/>
        <v>15</v>
      </c>
      <c r="D18" s="31">
        <f t="shared" si="4"/>
        <v>145</v>
      </c>
      <c r="E18" s="8">
        <f>Volume!E26*IF(Volume!E11=1,Unit_Economics!$F$7,Unit_Economics!$O$7)</f>
        <v>5</v>
      </c>
      <c r="F18" s="8">
        <f>Volume!F26*IF(Volume!F11=1,Unit_Economics!$F$7,Unit_Economics!$O$7)</f>
        <v>5</v>
      </c>
      <c r="G18" s="8">
        <f>Volume!G26*IF(Volume!G11=1,Unit_Economics!$F$7,Unit_Economics!$O$7)</f>
        <v>5</v>
      </c>
      <c r="H18" s="8">
        <f>Volume!H26*IF(Volume!H11=1,Unit_Economics!$F$7,Unit_Economics!$O$7)</f>
        <v>5</v>
      </c>
      <c r="I18" s="8">
        <f>Volume!I26*IF(Volume!I11=1,Unit_Economics!$F$7,Unit_Economics!$O$7)</f>
        <v>10</v>
      </c>
      <c r="J18" s="8">
        <f>Volume!J26*IF(Volume!J11=1,Unit_Economics!$F$7,Unit_Economics!$O$7)</f>
        <v>10</v>
      </c>
      <c r="K18" s="8">
        <f>Volume!K26*IF(Volume!K11=1,Unit_Economics!$F$7,Unit_Economics!$O$7)</f>
        <v>10</v>
      </c>
      <c r="L18" s="8">
        <f>Volume!L26*IF(Volume!L11=1,Unit_Economics!$F$7,Unit_Economics!$O$7)</f>
        <v>10</v>
      </c>
      <c r="M18" s="8">
        <f>Volume!M26*IF(Volume!M11=1,Unit_Economics!$F$7,Unit_Economics!$O$7)</f>
        <v>10</v>
      </c>
      <c r="N18" s="8">
        <f>Volume!N26*IF(Volume!N11=1,Unit_Economics!$F$7,Unit_Economics!$O$7)</f>
        <v>15</v>
      </c>
      <c r="O18" s="8">
        <f>Volume!O26*IF(Volume!O11=1,Unit_Economics!$F$7,Unit_Economics!$O$7)</f>
        <v>15</v>
      </c>
      <c r="P18" s="8">
        <f>Volume!P26*IF(Volume!P11=1,Unit_Economics!$F$7,Unit_Economics!$O$7)</f>
        <v>15</v>
      </c>
      <c r="Q18" s="8">
        <f>Volume!Q26*IF(Volume!Q11=1,Unit_Economics!$F$7,Unit_Economics!$O$7)</f>
        <v>15</v>
      </c>
      <c r="R18" s="8">
        <f>Volume!R26*IF(Volume!R11=1,Unit_Economics!$F$7,Unit_Economics!$O$7)</f>
        <v>15</v>
      </c>
      <c r="S18" s="8">
        <f>Volume!S26*IF(Volume!S11=1,Unit_Economics!$F$7,Unit_Economics!$O$7)</f>
        <v>15</v>
      </c>
    </row>
    <row r="19" spans="1:19" ht="15" customHeight="1" x14ac:dyDescent="0.2">
      <c r="A19" s="28" t="s">
        <v>770</v>
      </c>
      <c r="B19" s="3" t="s">
        <v>10</v>
      </c>
      <c r="C19" s="31">
        <f t="shared" si="3"/>
        <v>0</v>
      </c>
      <c r="D19" s="31">
        <f t="shared" si="4"/>
        <v>32</v>
      </c>
      <c r="E19" s="8">
        <f>Volume!E27*IF(Volume!E11=1,Unit_Economics!$F$8,Unit_Economics!$O$8)</f>
        <v>0</v>
      </c>
      <c r="F19" s="8">
        <f>Volume!F27*IF(Volume!F11=1,Unit_Economics!$F$8,Unit_Economics!$O$8)</f>
        <v>0</v>
      </c>
      <c r="G19" s="8">
        <f>Volume!G27*IF(Volume!G11=1,Unit_Economics!$F$8,Unit_Economics!$O$8)</f>
        <v>0</v>
      </c>
      <c r="H19" s="8">
        <f>Volume!H27*IF(Volume!H11=1,Unit_Economics!$F$8,Unit_Economics!$O$8)</f>
        <v>0</v>
      </c>
      <c r="I19" s="8">
        <f>Volume!I27*IF(Volume!I11=1,Unit_Economics!$F$8,Unit_Economics!$O$8)</f>
        <v>8</v>
      </c>
      <c r="J19" s="8">
        <f>Volume!J27*IF(Volume!J11=1,Unit_Economics!$F$8,Unit_Economics!$O$8)</f>
        <v>0</v>
      </c>
      <c r="K19" s="8">
        <f>Volume!K27*IF(Volume!K11=1,Unit_Economics!$F$8,Unit_Economics!$O$8)</f>
        <v>0</v>
      </c>
      <c r="L19" s="8">
        <f>Volume!L27*IF(Volume!L11=1,Unit_Economics!$F$8,Unit_Economics!$O$8)</f>
        <v>0</v>
      </c>
      <c r="M19" s="8">
        <f>Volume!M27*IF(Volume!M11=1,Unit_Economics!$F$8,Unit_Economics!$O$8)</f>
        <v>0</v>
      </c>
      <c r="N19" s="8">
        <f>Volume!N27*IF(Volume!N11=1,Unit_Economics!$F$8,Unit_Economics!$O$8)</f>
        <v>0</v>
      </c>
      <c r="O19" s="8">
        <f>Volume!O27*IF(Volume!O11=1,Unit_Economics!$F$8,Unit_Economics!$O$8)</f>
        <v>0</v>
      </c>
      <c r="P19" s="8">
        <f>Volume!P27*IF(Volume!P11=1,Unit_Economics!$F$8,Unit_Economics!$O$8)</f>
        <v>0</v>
      </c>
      <c r="Q19" s="8">
        <f>Volume!Q27*IF(Volume!Q11=1,Unit_Economics!$F$8,Unit_Economics!$O$8)</f>
        <v>8</v>
      </c>
      <c r="R19" s="8">
        <f>Volume!R27*IF(Volume!R11=1,Unit_Economics!$F$8,Unit_Economics!$O$8)</f>
        <v>8</v>
      </c>
      <c r="S19" s="8">
        <f>Volume!S27*IF(Volume!S11=1,Unit_Economics!$F$8,Unit_Economics!$O$8)</f>
        <v>8</v>
      </c>
    </row>
    <row r="20" spans="1:19" ht="15" customHeight="1" x14ac:dyDescent="0.2">
      <c r="A20" s="28" t="s">
        <v>765</v>
      </c>
      <c r="B20" s="3" t="s">
        <v>10</v>
      </c>
      <c r="C20" s="31">
        <f t="shared" si="3"/>
        <v>2.6291827843624738</v>
      </c>
      <c r="D20" s="31">
        <f t="shared" si="4"/>
        <v>66.389405691496393</v>
      </c>
      <c r="E20" s="8">
        <f>E11*Inputs!$C$21</f>
        <v>0.83589701461889243</v>
      </c>
      <c r="F20" s="8">
        <f>F11*Inputs!$C$21</f>
        <v>0.8757605697435813</v>
      </c>
      <c r="G20" s="8">
        <f>G11*Inputs!$C$21</f>
        <v>0.91752519999999993</v>
      </c>
      <c r="H20" s="8">
        <f>H11*Inputs!$C$21</f>
        <v>1.381212388648821</v>
      </c>
      <c r="I20" s="8">
        <f>I11*Inputs!$C$21</f>
        <v>1.4878659422034102</v>
      </c>
      <c r="J20" s="8">
        <f>J11*Inputs!$C$21</f>
        <v>1.6027550000000002</v>
      </c>
      <c r="K20" s="8">
        <f>K11*Inputs!$C$21</f>
        <v>4.1346798150949473</v>
      </c>
      <c r="L20" s="8">
        <f>L11*Inputs!$C$21</f>
        <v>4.3520718170084987</v>
      </c>
      <c r="M20" s="8">
        <f>M11*Inputs!$C$21</f>
        <v>4.5881088888888888</v>
      </c>
      <c r="N20" s="8">
        <f>N11*Inputs!$C$21</f>
        <v>6.9264294596928782</v>
      </c>
      <c r="O20" s="8">
        <f>O11*Inputs!$C$21</f>
        <v>7.3146479462658052</v>
      </c>
      <c r="P20" s="8">
        <f>P11*Inputs!$C$21</f>
        <v>7.7361627858823496</v>
      </c>
      <c r="Q20" s="8">
        <f>Q11*Inputs!$C$21</f>
        <v>8.4911398413117407</v>
      </c>
      <c r="R20" s="8">
        <f>R11*Inputs!$C$21</f>
        <v>8.9439373360990526</v>
      </c>
      <c r="S20" s="8">
        <f>S11*Inputs!$C$21</f>
        <v>9.4303944703999942</v>
      </c>
    </row>
    <row r="21" spans="1:19" ht="15" customHeight="1" x14ac:dyDescent="0.2">
      <c r="A21" s="11" t="s">
        <v>643</v>
      </c>
      <c r="B21" s="3" t="s">
        <v>10</v>
      </c>
      <c r="C21" s="31">
        <f t="shared" si="3"/>
        <v>17.629182784362474</v>
      </c>
      <c r="D21" s="31">
        <f t="shared" si="4"/>
        <v>662.63940569149634</v>
      </c>
      <c r="E21" s="32">
        <f t="shared" ref="E21:S21" si="5">SUM(E15:E20)</f>
        <v>5.835897014618892</v>
      </c>
      <c r="F21" s="32">
        <f t="shared" si="5"/>
        <v>5.8757605697435817</v>
      </c>
      <c r="G21" s="32">
        <f t="shared" si="5"/>
        <v>5.9175252</v>
      </c>
      <c r="H21" s="32">
        <f t="shared" si="5"/>
        <v>6.3812123886488212</v>
      </c>
      <c r="I21" s="32">
        <f t="shared" si="5"/>
        <v>19.48786594220341</v>
      </c>
      <c r="J21" s="32">
        <f t="shared" si="5"/>
        <v>49.852755000000002</v>
      </c>
      <c r="K21" s="32">
        <f t="shared" si="5"/>
        <v>29.134679815094948</v>
      </c>
      <c r="L21" s="32">
        <f t="shared" si="5"/>
        <v>52.6020718170085</v>
      </c>
      <c r="M21" s="32">
        <f t="shared" si="5"/>
        <v>24.83810888888889</v>
      </c>
      <c r="N21" s="32">
        <f t="shared" si="5"/>
        <v>75.176429459692883</v>
      </c>
      <c r="O21" s="32">
        <f t="shared" si="5"/>
        <v>32.564647946265808</v>
      </c>
      <c r="P21" s="32">
        <f t="shared" si="5"/>
        <v>71.236162785882357</v>
      </c>
      <c r="Q21" s="32">
        <f t="shared" si="5"/>
        <v>81.991139841311735</v>
      </c>
      <c r="R21" s="32">
        <f t="shared" si="5"/>
        <v>120.69393733609905</v>
      </c>
      <c r="S21" s="32">
        <f t="shared" si="5"/>
        <v>98.680394470399989</v>
      </c>
    </row>
    <row r="22" spans="1:19" ht="15" customHeight="1" x14ac:dyDescent="0.2">
      <c r="A22" s="2"/>
      <c r="B22" s="2"/>
      <c r="C22" s="2"/>
      <c r="D22" s="2"/>
      <c r="E22" s="2"/>
      <c r="F22" s="2"/>
      <c r="G22" s="2"/>
      <c r="H22" s="2"/>
      <c r="I22" s="2"/>
      <c r="J22" s="2"/>
      <c r="K22" s="2"/>
      <c r="L22" s="2"/>
      <c r="M22" s="2"/>
      <c r="N22" s="2"/>
      <c r="O22" s="2"/>
      <c r="P22" s="2"/>
      <c r="Q22" s="2"/>
      <c r="R22" s="2"/>
      <c r="S22" s="2"/>
    </row>
    <row r="23" spans="1:19" ht="15" customHeight="1" x14ac:dyDescent="0.2">
      <c r="A23" s="11" t="s">
        <v>771</v>
      </c>
      <c r="B23" s="3" t="s">
        <v>10</v>
      </c>
      <c r="C23" s="31">
        <f>SUM(E23:G23)</f>
        <v>33.943774176543712</v>
      </c>
      <c r="D23" s="31">
        <f>SUM(H23:S23)</f>
        <v>1377.3341085372447</v>
      </c>
      <c r="E23" s="32">
        <f t="shared" ref="E23:S23" si="6">E12-E21</f>
        <v>11.253845521928339</v>
      </c>
      <c r="F23" s="32">
        <f t="shared" si="6"/>
        <v>11.31364085461537</v>
      </c>
      <c r="G23" s="32">
        <f t="shared" si="6"/>
        <v>11.3762878</v>
      </c>
      <c r="H23" s="32">
        <f t="shared" si="6"/>
        <v>12.071818582973231</v>
      </c>
      <c r="I23" s="32">
        <f t="shared" si="6"/>
        <v>34.231798913305113</v>
      </c>
      <c r="J23" s="32">
        <f t="shared" si="6"/>
        <v>112.6541325</v>
      </c>
      <c r="K23" s="32">
        <f t="shared" si="6"/>
        <v>64.702019722642405</v>
      </c>
      <c r="L23" s="32">
        <f t="shared" si="6"/>
        <v>116.77810772551274</v>
      </c>
      <c r="M23" s="32">
        <f t="shared" si="6"/>
        <v>45.132163333333331</v>
      </c>
      <c r="N23" s="32">
        <f t="shared" si="6"/>
        <v>169.1396441895393</v>
      </c>
      <c r="O23" s="32">
        <f t="shared" si="6"/>
        <v>59.221971919398698</v>
      </c>
      <c r="P23" s="32">
        <f t="shared" si="6"/>
        <v>150.10424417882351</v>
      </c>
      <c r="Q23" s="32">
        <f t="shared" si="6"/>
        <v>168.2367097619676</v>
      </c>
      <c r="R23" s="32">
        <f t="shared" si="6"/>
        <v>259.16590600414855</v>
      </c>
      <c r="S23" s="32">
        <f t="shared" si="6"/>
        <v>185.89559170560003</v>
      </c>
    </row>
    <row r="24" spans="1:19" ht="15" customHeight="1" x14ac:dyDescent="0.2">
      <c r="A24" s="28" t="s">
        <v>772</v>
      </c>
      <c r="B24" s="3" t="s">
        <v>21</v>
      </c>
      <c r="C24" s="30">
        <f t="shared" ref="C24:S24" si="7">IF(C12=0,0,C23/C12)</f>
        <v>0.65817002120460322</v>
      </c>
      <c r="D24" s="30">
        <f t="shared" si="7"/>
        <v>0.67517254460922627</v>
      </c>
      <c r="E24" s="9">
        <f t="shared" si="7"/>
        <v>0.65851463226326856</v>
      </c>
      <c r="F24" s="9">
        <f t="shared" si="7"/>
        <v>0.65817538233663608</v>
      </c>
      <c r="G24" s="9">
        <f t="shared" si="7"/>
        <v>0.65782414786143462</v>
      </c>
      <c r="H24" s="9">
        <f t="shared" si="7"/>
        <v>0.65419163938638847</v>
      </c>
      <c r="I24" s="9">
        <f t="shared" si="7"/>
        <v>0.63723031417599985</v>
      </c>
      <c r="J24" s="9">
        <f t="shared" si="7"/>
        <v>0.69322681784795126</v>
      </c>
      <c r="K24" s="9">
        <f t="shared" si="7"/>
        <v>0.68951721492103257</v>
      </c>
      <c r="L24" s="9">
        <f t="shared" si="7"/>
        <v>0.6894437592457312</v>
      </c>
      <c r="M24" s="9">
        <f t="shared" si="7"/>
        <v>0.64501911883372054</v>
      </c>
      <c r="N24" s="9">
        <f t="shared" si="7"/>
        <v>0.69229847084222274</v>
      </c>
      <c r="O24" s="9">
        <f t="shared" si="7"/>
        <v>0.6452135616942184</v>
      </c>
      <c r="P24" s="9">
        <f t="shared" si="7"/>
        <v>0.67816015266818674</v>
      </c>
      <c r="Q24" s="9">
        <f t="shared" si="7"/>
        <v>0.67233407483897745</v>
      </c>
      <c r="R24" s="9">
        <f t="shared" si="7"/>
        <v>0.68226718498382777</v>
      </c>
      <c r="S24" s="9">
        <f t="shared" si="7"/>
        <v>0.65323709917895278</v>
      </c>
    </row>
    <row r="25" spans="1:19" ht="15" customHeight="1" x14ac:dyDescent="0.2">
      <c r="A25" s="2"/>
      <c r="B25" s="2"/>
      <c r="C25" s="2"/>
      <c r="D25" s="2"/>
      <c r="E25" s="2"/>
      <c r="F25" s="2"/>
      <c r="G25" s="2"/>
      <c r="H25" s="2"/>
      <c r="I25" s="2"/>
      <c r="J25" s="2"/>
      <c r="K25" s="2"/>
      <c r="L25" s="2"/>
      <c r="M25" s="2"/>
      <c r="N25" s="2"/>
      <c r="O25" s="2"/>
      <c r="P25" s="2"/>
      <c r="Q25" s="2"/>
      <c r="R25" s="2"/>
      <c r="S25" s="2"/>
    </row>
    <row r="26" spans="1:19" ht="15" customHeight="1" x14ac:dyDescent="0.2">
      <c r="A26" s="6" t="s">
        <v>773</v>
      </c>
      <c r="B26" s="7"/>
      <c r="C26" s="7"/>
      <c r="D26" s="7"/>
      <c r="E26" s="7"/>
      <c r="F26" s="7"/>
      <c r="G26" s="7"/>
      <c r="H26" s="7"/>
      <c r="I26" s="7"/>
      <c r="J26" s="7"/>
      <c r="K26" s="7"/>
      <c r="L26" s="7"/>
      <c r="M26" s="7"/>
      <c r="N26" s="7"/>
      <c r="O26" s="7"/>
      <c r="P26" s="7"/>
      <c r="Q26" s="7"/>
      <c r="R26" s="7"/>
      <c r="S26" s="7"/>
    </row>
    <row r="27" spans="1:19" ht="15" customHeight="1" x14ac:dyDescent="0.2">
      <c r="A27" s="28" t="s">
        <v>774</v>
      </c>
      <c r="B27" s="3" t="s">
        <v>10</v>
      </c>
      <c r="C27" s="31">
        <f>SUM(E27:G27)</f>
        <v>59.061490268335419</v>
      </c>
      <c r="D27" s="31">
        <f>SUM(H27:S27)</f>
        <v>419.92566854430675</v>
      </c>
      <c r="E27" s="34">
        <f>Capacity_OPEX!E22+Capacity_OPEX!E23+Capacity_OPEX!E24+Capacity_OPEX!E25+Capacity_OPEX!E37+Capacity_OPEX!E38</f>
        <v>19.685442289787972</v>
      </c>
      <c r="F27" s="34">
        <f>Capacity_OPEX!F22+Capacity_OPEX!F23+Capacity_OPEX!F24+Capacity_OPEX!F25+Capacity_OPEX!F37+Capacity_OPEX!F38</f>
        <v>19.687136490880771</v>
      </c>
      <c r="G27" s="34">
        <f>Capacity_OPEX!G22+Capacity_OPEX!G23+Capacity_OPEX!G24+Capacity_OPEX!G25+Capacity_OPEX!G37+Capacity_OPEX!G38</f>
        <v>19.688911487666669</v>
      </c>
      <c r="H27" s="34">
        <f>Capacity_OPEX!H22+Capacity_OPEX!H23+Capacity_OPEX!H24+Capacity_OPEX!H25+Capacity_OPEX!H37+Capacity_OPEX!H38</f>
        <v>27.453175658608519</v>
      </c>
      <c r="I27" s="34">
        <f>Capacity_OPEX!I22+Capacity_OPEX!I23+Capacity_OPEX!I24+Capacity_OPEX!I25+Capacity_OPEX!I37+Capacity_OPEX!I38</f>
        <v>28.393148278718247</v>
      </c>
      <c r="J27" s="34">
        <f>Capacity_OPEX!J22+Capacity_OPEX!J23+Capacity_OPEX!J24+Capacity_OPEX!J25+Capacity_OPEX!J37+Capacity_OPEX!J38</f>
        <v>28.40152107991667</v>
      </c>
      <c r="K27" s="34">
        <f>Capacity_OPEX!K22+Capacity_OPEX!K23+Capacity_OPEX!K24+Capacity_OPEX!K25+Capacity_OPEX!K37+Capacity_OPEX!K38</f>
        <v>28.593458051997477</v>
      </c>
      <c r="L27" s="34">
        <f>Capacity_OPEX!L22+Capacity_OPEX!L23+Capacity_OPEX!L24+Capacity_OPEX!L25+Capacity_OPEX!L37+Capacity_OPEX!L38</f>
        <v>32.153055940969985</v>
      </c>
      <c r="M27" s="34">
        <f>Capacity_OPEX!M22+Capacity_OPEX!M23+Capacity_OPEX!M24+Capacity_OPEX!M25+Capacity_OPEX!M37+Capacity_OPEX!M38</f>
        <v>32.174334683000005</v>
      </c>
      <c r="N27" s="34">
        <f>Capacity_OPEX!N22+Capacity_OPEX!N23+Capacity_OPEX!N24+Capacity_OPEX!N25+Capacity_OPEX!N37+Capacity_OPEX!N38</f>
        <v>32.615164396553816</v>
      </c>
      <c r="O27" s="34">
        <f>Capacity_OPEX!O22+Capacity_OPEX!O23+Capacity_OPEX!O24+Capacity_OPEX!O25+Capacity_OPEX!O37+Capacity_OPEX!O38</f>
        <v>37.362601378073762</v>
      </c>
      <c r="P27" s="34">
        <f>Capacity_OPEX!P22+Capacity_OPEX!P23+Capacity_OPEX!P24+Capacity_OPEX!P25+Capacity_OPEX!P37+Capacity_OPEX!P38</f>
        <v>37.385182530196076</v>
      </c>
      <c r="Q27" s="34">
        <f>Capacity_OPEX!Q22+Capacity_OPEX!Q23+Capacity_OPEX!Q24+Capacity_OPEX!Q25+Capacity_OPEX!Q37+Capacity_OPEX!Q38</f>
        <v>44.614398083903218</v>
      </c>
      <c r="R27" s="34">
        <f>Capacity_OPEX!R22+Capacity_OPEX!R23+Capacity_OPEX!R24+Capacity_OPEX!R25+Capacity_OPEX!R37+Capacity_OPEX!R38</f>
        <v>44.646740762102311</v>
      </c>
      <c r="S27" s="34">
        <f>Capacity_OPEX!S22+Capacity_OPEX!S23+Capacity_OPEX!S24+Capacity_OPEX!S25+Capacity_OPEX!S37+Capacity_OPEX!S38</f>
        <v>46.132887700266672</v>
      </c>
    </row>
    <row r="28" spans="1:19" ht="15" customHeight="1" x14ac:dyDescent="0.2">
      <c r="A28" s="28" t="s">
        <v>775</v>
      </c>
      <c r="B28" s="3" t="s">
        <v>10</v>
      </c>
      <c r="C28" s="31">
        <f>SUM(E28:G28)</f>
        <v>30</v>
      </c>
      <c r="D28" s="31">
        <f>SUM(H28:S28)</f>
        <v>270</v>
      </c>
      <c r="E28" s="34">
        <f>Capacity_OPEX!E26</f>
        <v>10</v>
      </c>
      <c r="F28" s="34">
        <f>Capacity_OPEX!F26</f>
        <v>10</v>
      </c>
      <c r="G28" s="34">
        <f>Capacity_OPEX!G26</f>
        <v>10</v>
      </c>
      <c r="H28" s="34">
        <f>Capacity_OPEX!H26</f>
        <v>10</v>
      </c>
      <c r="I28" s="34">
        <f>Capacity_OPEX!I26</f>
        <v>10</v>
      </c>
      <c r="J28" s="34">
        <f>Capacity_OPEX!J26</f>
        <v>25</v>
      </c>
      <c r="K28" s="34">
        <f>Capacity_OPEX!K26</f>
        <v>25</v>
      </c>
      <c r="L28" s="34">
        <f>Capacity_OPEX!L26</f>
        <v>25</v>
      </c>
      <c r="M28" s="34">
        <f>Capacity_OPEX!M26</f>
        <v>25</v>
      </c>
      <c r="N28" s="34">
        <f>Capacity_OPEX!N26</f>
        <v>25</v>
      </c>
      <c r="O28" s="34">
        <f>Capacity_OPEX!O26</f>
        <v>25</v>
      </c>
      <c r="P28" s="34">
        <f>Capacity_OPEX!P26</f>
        <v>25</v>
      </c>
      <c r="Q28" s="34">
        <f>Capacity_OPEX!Q26</f>
        <v>25</v>
      </c>
      <c r="R28" s="34">
        <f>Capacity_OPEX!R26</f>
        <v>25</v>
      </c>
      <c r="S28" s="34">
        <f>Capacity_OPEX!S26</f>
        <v>25</v>
      </c>
    </row>
    <row r="29" spans="1:19" ht="15" customHeight="1" x14ac:dyDescent="0.2">
      <c r="A29" s="28" t="s">
        <v>776</v>
      </c>
      <c r="B29" s="3" t="s">
        <v>10</v>
      </c>
      <c r="C29" s="31">
        <f>SUM(E29:G29)</f>
        <v>6</v>
      </c>
      <c r="D29" s="31">
        <f>SUM(H29:S29)</f>
        <v>72</v>
      </c>
      <c r="E29" s="34">
        <f>Capacity_OPEX!E27+Capacity_OPEX!E28+Capacity_OPEX!E39</f>
        <v>2</v>
      </c>
      <c r="F29" s="34">
        <f>Capacity_OPEX!F27+Capacity_OPEX!F28+Capacity_OPEX!F39</f>
        <v>2</v>
      </c>
      <c r="G29" s="34">
        <f>Capacity_OPEX!G27+Capacity_OPEX!G28+Capacity_OPEX!G39</f>
        <v>2</v>
      </c>
      <c r="H29" s="34">
        <f>Capacity_OPEX!H27+Capacity_OPEX!H28+Capacity_OPEX!H39</f>
        <v>2</v>
      </c>
      <c r="I29" s="34">
        <f>Capacity_OPEX!I27+Capacity_OPEX!I28+Capacity_OPEX!I39</f>
        <v>2</v>
      </c>
      <c r="J29" s="34">
        <f>Capacity_OPEX!J27+Capacity_OPEX!J28+Capacity_OPEX!J39</f>
        <v>2</v>
      </c>
      <c r="K29" s="34">
        <f>Capacity_OPEX!K27+Capacity_OPEX!K28+Capacity_OPEX!K39</f>
        <v>2</v>
      </c>
      <c r="L29" s="34">
        <f>Capacity_OPEX!L27+Capacity_OPEX!L28+Capacity_OPEX!L39</f>
        <v>2</v>
      </c>
      <c r="M29" s="34">
        <f>Capacity_OPEX!M27+Capacity_OPEX!M28+Capacity_OPEX!M39</f>
        <v>2</v>
      </c>
      <c r="N29" s="34">
        <f>Capacity_OPEX!N27+Capacity_OPEX!N28+Capacity_OPEX!N39</f>
        <v>10</v>
      </c>
      <c r="O29" s="34">
        <f>Capacity_OPEX!O27+Capacity_OPEX!O28+Capacity_OPEX!O39</f>
        <v>10</v>
      </c>
      <c r="P29" s="34">
        <f>Capacity_OPEX!P27+Capacity_OPEX!P28+Capacity_OPEX!P39</f>
        <v>10</v>
      </c>
      <c r="Q29" s="34">
        <f>Capacity_OPEX!Q27+Capacity_OPEX!Q28+Capacity_OPEX!Q39</f>
        <v>10</v>
      </c>
      <c r="R29" s="34">
        <f>Capacity_OPEX!R27+Capacity_OPEX!R28+Capacity_OPEX!R39</f>
        <v>10</v>
      </c>
      <c r="S29" s="34">
        <f>Capacity_OPEX!S27+Capacity_OPEX!S28+Capacity_OPEX!S39</f>
        <v>10</v>
      </c>
    </row>
    <row r="30" spans="1:19" ht="15" customHeight="1" x14ac:dyDescent="0.2">
      <c r="A30" s="28" t="s">
        <v>777</v>
      </c>
      <c r="B30" s="3" t="s">
        <v>10</v>
      </c>
      <c r="C30" s="31">
        <f>SUM(E30:G30)</f>
        <v>0</v>
      </c>
      <c r="D30" s="31">
        <f>SUM(H30:S30)</f>
        <v>73</v>
      </c>
      <c r="E30" s="34">
        <f>Capacity_OPEX!E29+Capacity_OPEX!E30+Capacity_OPEX!E31</f>
        <v>0</v>
      </c>
      <c r="F30" s="34">
        <f>Capacity_OPEX!F29+Capacity_OPEX!F30+Capacity_OPEX!F31</f>
        <v>0</v>
      </c>
      <c r="G30" s="34">
        <f>Capacity_OPEX!G29+Capacity_OPEX!G30+Capacity_OPEX!G31</f>
        <v>0</v>
      </c>
      <c r="H30" s="34">
        <f>Capacity_OPEX!H29+Capacity_OPEX!H30+Capacity_OPEX!H31</f>
        <v>2.5</v>
      </c>
      <c r="I30" s="34">
        <f>Capacity_OPEX!I29+Capacity_OPEX!I30+Capacity_OPEX!I31</f>
        <v>0</v>
      </c>
      <c r="J30" s="34">
        <f>Capacity_OPEX!J29+Capacity_OPEX!J30+Capacity_OPEX!J31</f>
        <v>4</v>
      </c>
      <c r="K30" s="34">
        <f>Capacity_OPEX!K29+Capacity_OPEX!K30+Capacity_OPEX!K31</f>
        <v>2</v>
      </c>
      <c r="L30" s="34">
        <f>Capacity_OPEX!L29+Capacity_OPEX!L30+Capacity_OPEX!L31</f>
        <v>6.5</v>
      </c>
      <c r="M30" s="34">
        <f>Capacity_OPEX!M29+Capacity_OPEX!M30+Capacity_OPEX!M31</f>
        <v>2</v>
      </c>
      <c r="N30" s="34">
        <f>Capacity_OPEX!N29+Capacity_OPEX!N30+Capacity_OPEX!N31</f>
        <v>6</v>
      </c>
      <c r="O30" s="34">
        <f>Capacity_OPEX!O29+Capacity_OPEX!O30+Capacity_OPEX!O31</f>
        <v>4.5</v>
      </c>
      <c r="P30" s="34">
        <f>Capacity_OPEX!P29+Capacity_OPEX!P30+Capacity_OPEX!P31</f>
        <v>13.5</v>
      </c>
      <c r="Q30" s="34">
        <f>Capacity_OPEX!Q29+Capacity_OPEX!Q30+Capacity_OPEX!Q31</f>
        <v>8</v>
      </c>
      <c r="R30" s="34">
        <f>Capacity_OPEX!R29+Capacity_OPEX!R30+Capacity_OPEX!R31</f>
        <v>12</v>
      </c>
      <c r="S30" s="34">
        <f>Capacity_OPEX!S29+Capacity_OPEX!S30+Capacity_OPEX!S31</f>
        <v>12</v>
      </c>
    </row>
    <row r="31" spans="1:19" ht="15" customHeight="1" x14ac:dyDescent="0.2">
      <c r="A31" s="11" t="s">
        <v>750</v>
      </c>
      <c r="B31" s="3" t="s">
        <v>10</v>
      </c>
      <c r="C31" s="31">
        <f>SUM(E31:G31)</f>
        <v>95.061490268335419</v>
      </c>
      <c r="D31" s="31">
        <f>SUM(H31:S31)</f>
        <v>834.92566854430675</v>
      </c>
      <c r="E31" s="32">
        <f t="shared" ref="E31:S31" si="8">SUM(E27:E30)</f>
        <v>31.685442289787972</v>
      </c>
      <c r="F31" s="32">
        <f t="shared" si="8"/>
        <v>31.687136490880771</v>
      </c>
      <c r="G31" s="32">
        <f t="shared" si="8"/>
        <v>31.688911487666669</v>
      </c>
      <c r="H31" s="32">
        <f t="shared" si="8"/>
        <v>41.953175658608515</v>
      </c>
      <c r="I31" s="32">
        <f t="shared" si="8"/>
        <v>40.393148278718243</v>
      </c>
      <c r="J31" s="32">
        <f t="shared" si="8"/>
        <v>59.40152107991667</v>
      </c>
      <c r="K31" s="32">
        <f t="shared" si="8"/>
        <v>57.593458051997473</v>
      </c>
      <c r="L31" s="32">
        <f t="shared" si="8"/>
        <v>65.653055940969978</v>
      </c>
      <c r="M31" s="32">
        <f t="shared" si="8"/>
        <v>61.174334683000005</v>
      </c>
      <c r="N31" s="32">
        <f t="shared" si="8"/>
        <v>73.615164396553809</v>
      </c>
      <c r="O31" s="32">
        <f t="shared" si="8"/>
        <v>76.862601378073762</v>
      </c>
      <c r="P31" s="32">
        <f t="shared" si="8"/>
        <v>85.885182530196076</v>
      </c>
      <c r="Q31" s="32">
        <f t="shared" si="8"/>
        <v>87.614398083903211</v>
      </c>
      <c r="R31" s="32">
        <f t="shared" si="8"/>
        <v>91.646740762102311</v>
      </c>
      <c r="S31" s="32">
        <f t="shared" si="8"/>
        <v>93.132887700266679</v>
      </c>
    </row>
    <row r="32" spans="1:19" ht="15" customHeight="1" x14ac:dyDescent="0.2">
      <c r="A32" s="2"/>
      <c r="B32" s="2"/>
      <c r="C32" s="2"/>
      <c r="D32" s="2"/>
      <c r="E32" s="2"/>
      <c r="F32" s="2"/>
      <c r="G32" s="2"/>
      <c r="H32" s="2"/>
      <c r="I32" s="2"/>
      <c r="J32" s="2"/>
      <c r="K32" s="2"/>
      <c r="L32" s="2"/>
      <c r="M32" s="2"/>
      <c r="N32" s="2"/>
      <c r="O32" s="2"/>
      <c r="P32" s="2"/>
      <c r="Q32" s="2"/>
      <c r="R32" s="2"/>
      <c r="S32" s="2"/>
    </row>
    <row r="33" spans="1:19" ht="15" customHeight="1" x14ac:dyDescent="0.2">
      <c r="A33" s="11" t="s">
        <v>778</v>
      </c>
      <c r="B33" s="3" t="s">
        <v>10</v>
      </c>
      <c r="C33" s="31">
        <f>SUM(E33:G33)</f>
        <v>-61.117716091791706</v>
      </c>
      <c r="D33" s="31">
        <f>SUM(H33:S33)</f>
        <v>542.40843999293782</v>
      </c>
      <c r="E33" s="32">
        <f t="shared" ref="E33:S33" si="9">E23-E31</f>
        <v>-20.431596767859631</v>
      </c>
      <c r="F33" s="32">
        <f t="shared" si="9"/>
        <v>-20.373495636265403</v>
      </c>
      <c r="G33" s="32">
        <f t="shared" si="9"/>
        <v>-20.312623687666669</v>
      </c>
      <c r="H33" s="32">
        <f t="shared" si="9"/>
        <v>-29.881357075635286</v>
      </c>
      <c r="I33" s="32">
        <f t="shared" si="9"/>
        <v>-6.1613493654131304</v>
      </c>
      <c r="J33" s="32">
        <f t="shared" si="9"/>
        <v>53.252611420083333</v>
      </c>
      <c r="K33" s="32">
        <f t="shared" si="9"/>
        <v>7.1085616706449315</v>
      </c>
      <c r="L33" s="32">
        <f t="shared" si="9"/>
        <v>51.125051784542762</v>
      </c>
      <c r="M33" s="32">
        <f t="shared" si="9"/>
        <v>-16.042171349666674</v>
      </c>
      <c r="N33" s="32">
        <f t="shared" si="9"/>
        <v>95.524479792985488</v>
      </c>
      <c r="O33" s="32">
        <f t="shared" si="9"/>
        <v>-17.640629458675065</v>
      </c>
      <c r="P33" s="32">
        <f t="shared" si="9"/>
        <v>64.219061648627431</v>
      </c>
      <c r="Q33" s="32">
        <f t="shared" si="9"/>
        <v>80.622311678064392</v>
      </c>
      <c r="R33" s="32">
        <f t="shared" si="9"/>
        <v>167.51916524204626</v>
      </c>
      <c r="S33" s="32">
        <f t="shared" si="9"/>
        <v>92.762704005333347</v>
      </c>
    </row>
    <row r="34" spans="1:19" ht="15" customHeight="1" x14ac:dyDescent="0.2">
      <c r="A34" s="28" t="s">
        <v>779</v>
      </c>
      <c r="B34" s="3" t="s">
        <v>10</v>
      </c>
      <c r="C34" s="31">
        <f>SUM(E34:G34)</f>
        <v>0.2578647848045309</v>
      </c>
      <c r="D34" s="31">
        <f>SUM(H34:S34)</f>
        <v>10.199867571143706</v>
      </c>
      <c r="E34" s="8">
        <f>E12*Inputs!$C$80</f>
        <v>8.5448712682736155E-2</v>
      </c>
      <c r="F34" s="8">
        <f>F12*Inputs!$C$80</f>
        <v>8.5947007121794761E-2</v>
      </c>
      <c r="G34" s="8">
        <f>G12*Inputs!$C$80</f>
        <v>8.6469064999999998E-2</v>
      </c>
      <c r="H34" s="8">
        <f>H12*Inputs!$C$80</f>
        <v>9.2265154858110265E-2</v>
      </c>
      <c r="I34" s="8">
        <f>I12*Inputs!$C$80</f>
        <v>0.26859832427754265</v>
      </c>
      <c r="J34" s="8">
        <f>J12*Inputs!$C$80</f>
        <v>0.8125344375000001</v>
      </c>
      <c r="K34" s="8">
        <f>K12*Inputs!$C$80</f>
        <v>0.46918349768868683</v>
      </c>
      <c r="L34" s="8">
        <f>L12*Inputs!$C$80</f>
        <v>0.84690089771260624</v>
      </c>
      <c r="M34" s="8">
        <f>M12*Inputs!$C$80</f>
        <v>0.34985136111111109</v>
      </c>
      <c r="N34" s="8">
        <f>N12*Inputs!$C$80</f>
        <v>1.221580368246161</v>
      </c>
      <c r="O34" s="8">
        <f>O12*Inputs!$C$80</f>
        <v>0.45893309932832255</v>
      </c>
      <c r="P34" s="8">
        <f>P12*Inputs!$C$80</f>
        <v>1.1067020348235292</v>
      </c>
      <c r="Q34" s="8">
        <f>Q12*Inputs!$C$80</f>
        <v>1.2511392480163968</v>
      </c>
      <c r="R34" s="8">
        <f>R12*Inputs!$C$80</f>
        <v>1.8992992167012381</v>
      </c>
      <c r="S34" s="8">
        <f>S12*Inputs!$C$80</f>
        <v>1.4228799308800002</v>
      </c>
    </row>
    <row r="35" spans="1:19" ht="15" customHeight="1" x14ac:dyDescent="0.2">
      <c r="A35" s="11" t="s">
        <v>77</v>
      </c>
      <c r="B35" s="3" t="s">
        <v>10</v>
      </c>
      <c r="C35" s="31">
        <f>SUM(E35:G35)</f>
        <v>-61.375580876596239</v>
      </c>
      <c r="D35" s="31">
        <f>SUM(H35:S35)</f>
        <v>532.20857242179409</v>
      </c>
      <c r="E35" s="32">
        <f t="shared" ref="E35:S35" si="10">E33-E34</f>
        <v>-20.517045480542368</v>
      </c>
      <c r="F35" s="32">
        <f t="shared" si="10"/>
        <v>-20.459442643387199</v>
      </c>
      <c r="G35" s="32">
        <f t="shared" si="10"/>
        <v>-20.399092752666668</v>
      </c>
      <c r="H35" s="32">
        <f t="shared" si="10"/>
        <v>-29.973622230493397</v>
      </c>
      <c r="I35" s="32">
        <f t="shared" si="10"/>
        <v>-6.4299476896906729</v>
      </c>
      <c r="J35" s="32">
        <f t="shared" si="10"/>
        <v>52.440076982583335</v>
      </c>
      <c r="K35" s="32">
        <f t="shared" si="10"/>
        <v>6.6393781729562447</v>
      </c>
      <c r="L35" s="32">
        <f t="shared" si="10"/>
        <v>50.278150886830154</v>
      </c>
      <c r="M35" s="32">
        <f t="shared" si="10"/>
        <v>-16.392022710777784</v>
      </c>
      <c r="N35" s="32">
        <f t="shared" si="10"/>
        <v>94.302899424739323</v>
      </c>
      <c r="O35" s="32">
        <f t="shared" si="10"/>
        <v>-18.099562558003388</v>
      </c>
      <c r="P35" s="32">
        <f t="shared" si="10"/>
        <v>63.112359613803903</v>
      </c>
      <c r="Q35" s="32">
        <f t="shared" si="10"/>
        <v>79.371172430047991</v>
      </c>
      <c r="R35" s="32">
        <f t="shared" si="10"/>
        <v>165.619866025345</v>
      </c>
      <c r="S35" s="32">
        <f t="shared" si="10"/>
        <v>91.339824074453347</v>
      </c>
    </row>
    <row r="36" spans="1:19" ht="15" customHeight="1" x14ac:dyDescent="0.2">
      <c r="A36" s="28" t="s">
        <v>780</v>
      </c>
      <c r="B36" s="3" t="s">
        <v>21</v>
      </c>
      <c r="C36" s="30">
        <f t="shared" ref="C36:S36" si="11">IF(C12=0,0,C35/C12)</f>
        <v>-1.1900729470121469</v>
      </c>
      <c r="D36" s="30">
        <f t="shared" si="11"/>
        <v>0.26088994230055373</v>
      </c>
      <c r="E36" s="9">
        <f t="shared" si="11"/>
        <v>-1.2005473714226933</v>
      </c>
      <c r="F36" s="9">
        <f t="shared" si="11"/>
        <v>-1.1902358981735279</v>
      </c>
      <c r="G36" s="9">
        <f t="shared" si="11"/>
        <v>-1.1795601555693165</v>
      </c>
      <c r="H36" s="9">
        <f t="shared" si="11"/>
        <v>-1.6243197270187353</v>
      </c>
      <c r="I36" s="9">
        <f t="shared" si="11"/>
        <v>-0.11969448631121407</v>
      </c>
      <c r="J36" s="9">
        <f t="shared" si="11"/>
        <v>0.32269448876487361</v>
      </c>
      <c r="K36" s="9">
        <f t="shared" si="11"/>
        <v>7.0754600339349674E-2</v>
      </c>
      <c r="L36" s="9">
        <f t="shared" si="11"/>
        <v>0.29683609394337851</v>
      </c>
      <c r="M36" s="9">
        <f t="shared" si="11"/>
        <v>-0.23427124391795287</v>
      </c>
      <c r="N36" s="9">
        <f t="shared" si="11"/>
        <v>0.38598729103731111</v>
      </c>
      <c r="O36" s="9">
        <f t="shared" si="11"/>
        <v>-0.19719173213365127</v>
      </c>
      <c r="P36" s="9">
        <f t="shared" si="11"/>
        <v>0.28513709032742302</v>
      </c>
      <c r="Q36" s="9">
        <f t="shared" si="11"/>
        <v>0.31719559815538534</v>
      </c>
      <c r="R36" s="9">
        <f t="shared" si="11"/>
        <v>0.43600256496972273</v>
      </c>
      <c r="S36" s="9">
        <f t="shared" si="11"/>
        <v>0.32096813684750952</v>
      </c>
    </row>
    <row r="37" spans="1:19" ht="15" customHeight="1" x14ac:dyDescent="0.2">
      <c r="A37" s="28" t="s">
        <v>781</v>
      </c>
      <c r="B37" s="3" t="s">
        <v>10</v>
      </c>
      <c r="C37" s="31">
        <f>SUM(E37:G37)</f>
        <v>-31.375580876596235</v>
      </c>
      <c r="D37" s="31">
        <f>SUM(H37:S37)</f>
        <v>802.20857242179397</v>
      </c>
      <c r="E37" s="8">
        <f t="shared" ref="E37:S37" si="12">E35+E28</f>
        <v>-10.517045480542368</v>
      </c>
      <c r="F37" s="8">
        <f t="shared" si="12"/>
        <v>-10.459442643387199</v>
      </c>
      <c r="G37" s="8">
        <f t="shared" si="12"/>
        <v>-10.399092752666668</v>
      </c>
      <c r="H37" s="8">
        <f t="shared" si="12"/>
        <v>-19.973622230493397</v>
      </c>
      <c r="I37" s="8">
        <f t="shared" si="12"/>
        <v>3.5700523103093271</v>
      </c>
      <c r="J37" s="8">
        <f t="shared" si="12"/>
        <v>77.440076982583335</v>
      </c>
      <c r="K37" s="8">
        <f t="shared" si="12"/>
        <v>31.639378172956246</v>
      </c>
      <c r="L37" s="8">
        <f t="shared" si="12"/>
        <v>75.278150886830161</v>
      </c>
      <c r="M37" s="8">
        <f t="shared" si="12"/>
        <v>8.6079772892222159</v>
      </c>
      <c r="N37" s="8">
        <f t="shared" si="12"/>
        <v>119.30289942473932</v>
      </c>
      <c r="O37" s="8">
        <f t="shared" si="12"/>
        <v>6.9004374419966119</v>
      </c>
      <c r="P37" s="8">
        <f t="shared" si="12"/>
        <v>88.112359613803903</v>
      </c>
      <c r="Q37" s="8">
        <f t="shared" si="12"/>
        <v>104.37117243004799</v>
      </c>
      <c r="R37" s="8">
        <f t="shared" si="12"/>
        <v>190.619866025345</v>
      </c>
      <c r="S37" s="8">
        <f t="shared" si="12"/>
        <v>116.33982407445335</v>
      </c>
    </row>
    <row r="38" spans="1:19" ht="15" customHeight="1" x14ac:dyDescent="0.2">
      <c r="A38" s="2"/>
      <c r="B38" s="2"/>
      <c r="C38" s="2"/>
      <c r="D38" s="2"/>
      <c r="E38" s="2"/>
      <c r="F38" s="2"/>
      <c r="G38" s="2"/>
      <c r="H38" s="2"/>
      <c r="I38" s="2"/>
      <c r="J38" s="2"/>
      <c r="K38" s="2"/>
      <c r="L38" s="2"/>
      <c r="M38" s="2"/>
      <c r="N38" s="2"/>
      <c r="O38" s="2"/>
      <c r="P38" s="2"/>
      <c r="Q38" s="2"/>
      <c r="R38" s="2"/>
      <c r="S38" s="2"/>
    </row>
    <row r="39" spans="1:19" ht="15" customHeight="1" x14ac:dyDescent="0.2">
      <c r="A39" s="6" t="s">
        <v>782</v>
      </c>
      <c r="B39" s="7"/>
      <c r="C39" s="7"/>
      <c r="D39" s="7"/>
      <c r="E39" s="7"/>
      <c r="F39" s="7"/>
      <c r="G39" s="7"/>
      <c r="H39" s="7"/>
      <c r="I39" s="7"/>
      <c r="J39" s="7"/>
      <c r="K39" s="7"/>
      <c r="L39" s="7"/>
      <c r="M39" s="7"/>
      <c r="N39" s="7"/>
      <c r="O39" s="7"/>
      <c r="P39" s="7"/>
      <c r="Q39" s="7"/>
      <c r="R39" s="7"/>
      <c r="S39" s="7"/>
    </row>
    <row r="40" spans="1:19" ht="15" customHeight="1" x14ac:dyDescent="0.2">
      <c r="A40" s="28" t="s">
        <v>783</v>
      </c>
      <c r="B40" s="3" t="s">
        <v>10</v>
      </c>
      <c r="C40" s="31">
        <f>SUM(E40:G40)</f>
        <v>0</v>
      </c>
      <c r="D40" s="31">
        <f>SUM(H40:S40)</f>
        <v>911.82500000000005</v>
      </c>
      <c r="E40" s="8">
        <f>E6+E7*Inputs!$C$83</f>
        <v>0</v>
      </c>
      <c r="F40" s="8">
        <f>F6+F7*Inputs!$C$83</f>
        <v>0</v>
      </c>
      <c r="G40" s="8">
        <f>G6+G7*Inputs!$C$83</f>
        <v>0</v>
      </c>
      <c r="H40" s="8">
        <f>H6+H7*Inputs!$C$83</f>
        <v>0</v>
      </c>
      <c r="I40" s="8">
        <f>I6+I7*Inputs!$C$83</f>
        <v>0</v>
      </c>
      <c r="J40" s="8">
        <f>J6+J7*Inputs!$C$83</f>
        <v>124.22499999999999</v>
      </c>
      <c r="K40" s="8">
        <f>K6+K7*Inputs!$C$83</f>
        <v>0</v>
      </c>
      <c r="L40" s="8">
        <f>L6+L7*Inputs!$C$83</f>
        <v>124.22499999999999</v>
      </c>
      <c r="M40" s="8">
        <f>M6+M7*Inputs!$C$83</f>
        <v>24.224999999999998</v>
      </c>
      <c r="N40" s="8">
        <f>N6+N7*Inputs!$C$83</f>
        <v>124.22499999999999</v>
      </c>
      <c r="O40" s="8">
        <f>O6+O7*Inputs!$C$83</f>
        <v>24.224999999999998</v>
      </c>
      <c r="P40" s="8">
        <f>P6+P7*Inputs!$C$83</f>
        <v>148.44999999999999</v>
      </c>
      <c r="Q40" s="8">
        <f>Q6+Q7*Inputs!$C$83</f>
        <v>48.449999999999996</v>
      </c>
      <c r="R40" s="8">
        <f>R6+R7*Inputs!$C$83</f>
        <v>172.67500000000001</v>
      </c>
      <c r="S40" s="8">
        <f>S6+S7*Inputs!$C$83</f>
        <v>121.125</v>
      </c>
    </row>
    <row r="41" spans="1:19" ht="15" customHeight="1" x14ac:dyDescent="0.2">
      <c r="A41" s="28" t="s">
        <v>784</v>
      </c>
      <c r="B41" s="3" t="s">
        <v>21</v>
      </c>
      <c r="C41" s="30">
        <f t="shared" ref="C41:S41" si="13">IF(C12=0,0,C40/C12)</f>
        <v>0</v>
      </c>
      <c r="D41" s="30">
        <f t="shared" si="13"/>
        <v>0.44697884244087188</v>
      </c>
      <c r="E41" s="9">
        <f t="shared" si="13"/>
        <v>0</v>
      </c>
      <c r="F41" s="9">
        <f t="shared" si="13"/>
        <v>0</v>
      </c>
      <c r="G41" s="9">
        <f t="shared" si="13"/>
        <v>0</v>
      </c>
      <c r="H41" s="9">
        <f t="shared" si="13"/>
        <v>0</v>
      </c>
      <c r="I41" s="9">
        <f t="shared" si="13"/>
        <v>0</v>
      </c>
      <c r="J41" s="9">
        <f t="shared" si="13"/>
        <v>0.76442913842651738</v>
      </c>
      <c r="K41" s="9">
        <f t="shared" si="13"/>
        <v>0</v>
      </c>
      <c r="L41" s="9">
        <f t="shared" si="13"/>
        <v>0.73340930642250579</v>
      </c>
      <c r="M41" s="9">
        <f t="shared" si="13"/>
        <v>0.3462184615069463</v>
      </c>
      <c r="N41" s="9">
        <f t="shared" si="13"/>
        <v>0.50846020134701198</v>
      </c>
      <c r="O41" s="9">
        <f t="shared" si="13"/>
        <v>0.26392735711866078</v>
      </c>
      <c r="P41" s="9">
        <f t="shared" si="13"/>
        <v>0.67068639673944075</v>
      </c>
      <c r="Q41" s="9">
        <f t="shared" si="13"/>
        <v>0.19362353182035674</v>
      </c>
      <c r="R41" s="9">
        <f t="shared" si="13"/>
        <v>0.45457555734663896</v>
      </c>
      <c r="S41" s="9">
        <f t="shared" si="13"/>
        <v>0.42563324343568659</v>
      </c>
    </row>
    <row r="42" spans="1:19" ht="15" customHeight="1" x14ac:dyDescent="0.2">
      <c r="A42" s="28" t="s">
        <v>785</v>
      </c>
      <c r="B42" s="3" t="s">
        <v>10</v>
      </c>
      <c r="C42" s="31">
        <f>SUM(E42:G42)</f>
        <v>45</v>
      </c>
      <c r="D42" s="31">
        <f>SUM(H42:S42)</f>
        <v>1794</v>
      </c>
      <c r="E42" s="8">
        <f t="shared" ref="E42:S42" si="14">SUM(E6:E9)</f>
        <v>15</v>
      </c>
      <c r="F42" s="8">
        <f t="shared" si="14"/>
        <v>15</v>
      </c>
      <c r="G42" s="8">
        <f t="shared" si="14"/>
        <v>15</v>
      </c>
      <c r="H42" s="8">
        <f t="shared" si="14"/>
        <v>15</v>
      </c>
      <c r="I42" s="8">
        <f t="shared" si="14"/>
        <v>30</v>
      </c>
      <c r="J42" s="8">
        <f t="shared" si="14"/>
        <v>158.5</v>
      </c>
      <c r="K42" s="8">
        <f t="shared" si="14"/>
        <v>83.5</v>
      </c>
      <c r="L42" s="8">
        <f t="shared" si="14"/>
        <v>158.5</v>
      </c>
      <c r="M42" s="8">
        <f t="shared" si="14"/>
        <v>58.5</v>
      </c>
      <c r="N42" s="8">
        <f t="shared" si="14"/>
        <v>227</v>
      </c>
      <c r="O42" s="8">
        <f t="shared" si="14"/>
        <v>73.5</v>
      </c>
      <c r="P42" s="8">
        <f t="shared" si="14"/>
        <v>202</v>
      </c>
      <c r="Q42" s="8">
        <f t="shared" si="14"/>
        <v>209</v>
      </c>
      <c r="R42" s="8">
        <f t="shared" si="14"/>
        <v>337.5</v>
      </c>
      <c r="S42" s="8">
        <f t="shared" si="14"/>
        <v>241</v>
      </c>
    </row>
    <row r="43" spans="1:19" ht="15" customHeight="1" x14ac:dyDescent="0.2">
      <c r="A43" s="28" t="s">
        <v>786</v>
      </c>
      <c r="B43" s="3" t="s">
        <v>10</v>
      </c>
      <c r="C43" s="31">
        <f>SUM(E43:G43)</f>
        <v>0</v>
      </c>
      <c r="D43" s="31">
        <f>SUM(H43:S43)</f>
        <v>89.25</v>
      </c>
      <c r="E43" s="8">
        <f>(Volume!E23*Inputs!$C$63+Volume!E24*Inputs!$C$64+Volume!E25*Inputs!$C$65+Volume!E27*Inputs!$C$66)*Inputs!$C$62</f>
        <v>0</v>
      </c>
      <c r="F43" s="8">
        <f>(Volume!F23*Inputs!$C$63+Volume!F24*Inputs!$C$64+Volume!F25*Inputs!$C$65+Volume!F27*Inputs!$C$66)*Inputs!$C$62</f>
        <v>0</v>
      </c>
      <c r="G43" s="8">
        <f>(Volume!G23*Inputs!$C$63+Volume!G24*Inputs!$C$64+Volume!G25*Inputs!$C$65+Volume!G27*Inputs!$C$66)*Inputs!$C$62</f>
        <v>0</v>
      </c>
      <c r="H43" s="8">
        <f>(Volume!H23*Inputs!$C$63+Volume!H24*Inputs!$C$64+Volume!H25*Inputs!$C$65+Volume!H27*Inputs!$C$66)*Inputs!$C$62</f>
        <v>0</v>
      </c>
      <c r="I43" s="8">
        <f>(Volume!I23*Inputs!$C$63+Volume!I24*Inputs!$C$64+Volume!I25*Inputs!$C$65+Volume!I27*Inputs!$C$66)*Inputs!$C$62</f>
        <v>3.75</v>
      </c>
      <c r="J43" s="8">
        <f>(Volume!J23*Inputs!$C$63+Volume!J24*Inputs!$C$64+Volume!J25*Inputs!$C$65+Volume!J27*Inputs!$C$66)*Inputs!$C$62</f>
        <v>5.25</v>
      </c>
      <c r="K43" s="8">
        <f>(Volume!K23*Inputs!$C$63+Volume!K24*Inputs!$C$64+Volume!K25*Inputs!$C$65+Volume!K27*Inputs!$C$66)*Inputs!$C$62</f>
        <v>3</v>
      </c>
      <c r="L43" s="8">
        <f>(Volume!L23*Inputs!$C$63+Volume!L24*Inputs!$C$64+Volume!L25*Inputs!$C$65+Volume!L27*Inputs!$C$66)*Inputs!$C$62</f>
        <v>5.25</v>
      </c>
      <c r="M43" s="8">
        <f>(Volume!M23*Inputs!$C$63+Volume!M24*Inputs!$C$64+Volume!M25*Inputs!$C$65+Volume!M27*Inputs!$C$66)*Inputs!$C$62</f>
        <v>2.25</v>
      </c>
      <c r="N43" s="8">
        <f>(Volume!N23*Inputs!$C$63+Volume!N24*Inputs!$C$64+Volume!N25*Inputs!$C$65+Volume!N27*Inputs!$C$66)*Inputs!$C$62</f>
        <v>8.25</v>
      </c>
      <c r="O43" s="8">
        <f>(Volume!O23*Inputs!$C$63+Volume!O24*Inputs!$C$64+Volume!O25*Inputs!$C$65+Volume!O27*Inputs!$C$66)*Inputs!$C$62</f>
        <v>2.25</v>
      </c>
      <c r="P43" s="8">
        <f>(Volume!P23*Inputs!$C$63+Volume!P24*Inputs!$C$64+Volume!P25*Inputs!$C$65+Volume!P27*Inputs!$C$66)*Inputs!$C$62</f>
        <v>7.5</v>
      </c>
      <c r="Q43" s="8">
        <f>(Volume!Q23*Inputs!$C$63+Volume!Q24*Inputs!$C$64+Volume!Q25*Inputs!$C$65+Volume!Q27*Inputs!$C$66)*Inputs!$C$62</f>
        <v>14.25</v>
      </c>
      <c r="R43" s="8">
        <f>(Volume!R23*Inputs!$C$63+Volume!R24*Inputs!$C$64+Volume!R25*Inputs!$C$65+Volume!R27*Inputs!$C$66)*Inputs!$C$62</f>
        <v>19.5</v>
      </c>
      <c r="S43" s="8">
        <f>(Volume!S23*Inputs!$C$63+Volume!S24*Inputs!$C$64+Volume!S25*Inputs!$C$65+Volume!S27*Inputs!$C$66)*Inputs!$C$62</f>
        <v>18</v>
      </c>
    </row>
    <row r="44" spans="1:19" ht="15" customHeight="1" x14ac:dyDescent="0.2">
      <c r="A44" s="28" t="s">
        <v>787</v>
      </c>
      <c r="B44" s="3" t="s">
        <v>10</v>
      </c>
      <c r="C44" s="31">
        <f>SUM(E44:G44)</f>
        <v>1.8286478480453092</v>
      </c>
      <c r="D44" s="31">
        <f>SUM(H44:S44)</f>
        <v>22.798675711437049</v>
      </c>
      <c r="E44" s="8">
        <f>(Volume!E28+Volume!E26*Inputs!$C$68)*Inputs!$C$67</f>
        <v>0.60448712682736161</v>
      </c>
      <c r="F44" s="8">
        <f>(Volume!F28+Volume!F26*Inputs!$C$68)*Inputs!$C$67</f>
        <v>0.60947007121794772</v>
      </c>
      <c r="G44" s="8">
        <f>(Volume!G28+Volume!G26*Inputs!$C$68)*Inputs!$C$67</f>
        <v>0.61469065000000001</v>
      </c>
      <c r="H44" s="8">
        <f>(Volume!H28+Volume!H26*Inputs!$C$68)*Inputs!$C$67</f>
        <v>0.67265154858110265</v>
      </c>
      <c r="I44" s="8">
        <f>(Volume!I28+Volume!I26*Inputs!$C$68)*Inputs!$C$67</f>
        <v>1.1859832427754264</v>
      </c>
      <c r="J44" s="8">
        <f>(Volume!J28+Volume!J26*Inputs!$C$68)*Inputs!$C$67</f>
        <v>1.2003443750000002</v>
      </c>
      <c r="K44" s="8">
        <f>(Volume!K28+Volume!K26*Inputs!$C$68)*Inputs!$C$67</f>
        <v>1.5168349768868685</v>
      </c>
      <c r="L44" s="8">
        <f>(Volume!L28+Volume!L26*Inputs!$C$68)*Inputs!$C$67</f>
        <v>1.5440089771260626</v>
      </c>
      <c r="M44" s="8">
        <f>(Volume!M28+Volume!M26*Inputs!$C$68)*Inputs!$C$67</f>
        <v>1.5735136111111112</v>
      </c>
      <c r="N44" s="8">
        <f>(Volume!N28+Volume!N26*Inputs!$C$68)*Inputs!$C$67</f>
        <v>2.36580368246161</v>
      </c>
      <c r="O44" s="8">
        <f>(Volume!O28+Volume!O26*Inputs!$C$68)*Inputs!$C$67</f>
        <v>2.414330993283226</v>
      </c>
      <c r="P44" s="8">
        <f>(Volume!P28+Volume!P26*Inputs!$C$68)*Inputs!$C$67</f>
        <v>2.4670203482352941</v>
      </c>
      <c r="Q44" s="8">
        <f>(Volume!Q28+Volume!Q26*Inputs!$C$68)*Inputs!$C$67</f>
        <v>2.5613924801639678</v>
      </c>
      <c r="R44" s="8">
        <f>(Volume!R28+Volume!R26*Inputs!$C$68)*Inputs!$C$67</f>
        <v>2.6179921670123818</v>
      </c>
      <c r="S44" s="8">
        <f>(Volume!S28+Volume!S26*Inputs!$C$68)*Inputs!$C$67</f>
        <v>2.6787993087999995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9"/>
  <sheetViews>
    <sheetView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52" customWidth="1"/>
    <col min="2" max="2" width="14" customWidth="1"/>
    <col min="3" max="19" width="10.5" customWidth="1"/>
  </cols>
  <sheetData>
    <row r="1" spans="1:19" ht="17.25" customHeight="1" x14ac:dyDescent="0.2">
      <c r="A1" s="1" t="s">
        <v>788</v>
      </c>
      <c r="B1" s="2"/>
      <c r="C1" s="2"/>
      <c r="D1" s="2"/>
      <c r="E1" s="2"/>
      <c r="F1" s="2"/>
      <c r="G1" s="2"/>
      <c r="H1" s="2"/>
      <c r="I1" s="2"/>
      <c r="J1" s="2"/>
      <c r="K1" s="2"/>
      <c r="L1" s="2"/>
      <c r="M1" s="2"/>
      <c r="N1" s="2"/>
      <c r="O1" s="2"/>
      <c r="P1" s="2"/>
      <c r="Q1" s="2"/>
      <c r="R1" s="2"/>
      <c r="S1" s="2"/>
    </row>
    <row r="2" spans="1:19" ht="15" customHeight="1" x14ac:dyDescent="0.2">
      <c r="A2" s="3" t="s">
        <v>603</v>
      </c>
      <c r="B2" s="2"/>
      <c r="C2" s="2"/>
      <c r="D2" s="2"/>
      <c r="E2" s="2"/>
      <c r="F2" s="2"/>
      <c r="G2" s="2"/>
      <c r="H2" s="2"/>
      <c r="I2" s="2"/>
      <c r="J2" s="2"/>
      <c r="K2" s="2"/>
      <c r="L2" s="2"/>
      <c r="M2" s="2"/>
      <c r="N2" s="2"/>
      <c r="O2" s="2"/>
      <c r="P2" s="2"/>
      <c r="Q2" s="2"/>
      <c r="R2" s="2"/>
      <c r="S2" s="2"/>
    </row>
    <row r="3" spans="1:19" ht="15" customHeight="1" x14ac:dyDescent="0.2">
      <c r="A3" s="2"/>
      <c r="B3" s="2"/>
      <c r="C3" s="2"/>
      <c r="D3" s="2"/>
      <c r="E3" s="2"/>
      <c r="F3" s="2"/>
      <c r="G3" s="2"/>
      <c r="H3" s="2"/>
      <c r="I3" s="2"/>
      <c r="J3" s="2"/>
      <c r="K3" s="2"/>
      <c r="L3" s="2"/>
      <c r="M3" s="2"/>
      <c r="N3" s="2"/>
      <c r="O3" s="2"/>
      <c r="P3" s="2"/>
      <c r="Q3" s="2"/>
      <c r="R3" s="2"/>
      <c r="S3" s="2"/>
    </row>
    <row r="4" spans="1:19" ht="15" customHeight="1" x14ac:dyDescent="0.2">
      <c r="A4" s="27" t="s">
        <v>180</v>
      </c>
      <c r="B4" s="27" t="s">
        <v>6</v>
      </c>
      <c r="C4" s="27" t="s">
        <v>162</v>
      </c>
      <c r="D4" s="27" t="s">
        <v>181</v>
      </c>
      <c r="E4" s="27" t="s">
        <v>66</v>
      </c>
      <c r="F4" s="27" t="s">
        <v>604</v>
      </c>
      <c r="G4" s="27" t="s">
        <v>605</v>
      </c>
      <c r="H4" s="27" t="s">
        <v>359</v>
      </c>
      <c r="I4" s="27" t="s">
        <v>68</v>
      </c>
      <c r="J4" s="27" t="s">
        <v>496</v>
      </c>
      <c r="K4" s="27" t="s">
        <v>67</v>
      </c>
      <c r="L4" s="27" t="s">
        <v>606</v>
      </c>
      <c r="M4" s="27" t="s">
        <v>607</v>
      </c>
      <c r="N4" s="27" t="s">
        <v>513</v>
      </c>
      <c r="O4" s="27" t="s">
        <v>608</v>
      </c>
      <c r="P4" s="27" t="s">
        <v>609</v>
      </c>
      <c r="Q4" s="27" t="s">
        <v>523</v>
      </c>
      <c r="R4" s="27" t="s">
        <v>610</v>
      </c>
      <c r="S4" s="27" t="s">
        <v>611</v>
      </c>
    </row>
    <row r="5" spans="1:19" ht="15" customHeight="1" x14ac:dyDescent="0.2">
      <c r="A5" s="6" t="s">
        <v>78</v>
      </c>
      <c r="B5" s="7"/>
      <c r="C5" s="7"/>
      <c r="D5" s="7"/>
      <c r="E5" s="7"/>
      <c r="F5" s="7"/>
      <c r="G5" s="7"/>
      <c r="H5" s="7"/>
      <c r="I5" s="7"/>
      <c r="J5" s="7"/>
      <c r="K5" s="7"/>
      <c r="L5" s="7"/>
      <c r="M5" s="7"/>
      <c r="N5" s="7"/>
      <c r="O5" s="7"/>
      <c r="P5" s="7"/>
      <c r="Q5" s="7"/>
      <c r="R5" s="7"/>
      <c r="S5" s="7"/>
    </row>
    <row r="6" spans="1:19" ht="15" customHeight="1" x14ac:dyDescent="0.2">
      <c r="A6" s="28" t="s">
        <v>789</v>
      </c>
      <c r="B6" s="3" t="s">
        <v>10</v>
      </c>
      <c r="C6" s="31">
        <f t="shared" ref="C6:C11" si="0">SUM(E6:G6)</f>
        <v>6.5729569609061844</v>
      </c>
      <c r="D6" s="31">
        <f t="shared" ref="D6:D11" si="1">SUM(H6:S6)</f>
        <v>245.97351422874098</v>
      </c>
      <c r="E6" s="8">
        <f>PnL!E10+PnL!E11</f>
        <v>2.0897425365472309</v>
      </c>
      <c r="F6" s="8">
        <f>PnL!F10+PnL!F11</f>
        <v>2.189401424358953</v>
      </c>
      <c r="G6" s="8">
        <f>PnL!G10+PnL!G11</f>
        <v>2.2938129999999997</v>
      </c>
      <c r="H6" s="8">
        <f>PnL!H10+PnL!H11</f>
        <v>3.4530309716220522</v>
      </c>
      <c r="I6" s="8">
        <f>PnL!I10+PnL!I11</f>
        <v>23.719664855508526</v>
      </c>
      <c r="J6" s="8">
        <f>PnL!J10+PnL!J11</f>
        <v>4.0068875000000004</v>
      </c>
      <c r="K6" s="8">
        <f>PnL!K10+PnL!K11</f>
        <v>10.336699537737367</v>
      </c>
      <c r="L6" s="8">
        <f>PnL!L10+PnL!L11</f>
        <v>10.880179542521246</v>
      </c>
      <c r="M6" s="8">
        <f>PnL!M10+PnL!M11</f>
        <v>11.470272222222222</v>
      </c>
      <c r="N6" s="8">
        <f>PnL!N10+PnL!N11</f>
        <v>17.316073649232194</v>
      </c>
      <c r="O6" s="8">
        <f>PnL!O10+PnL!O11</f>
        <v>18.286619865664512</v>
      </c>
      <c r="P6" s="8">
        <f>PnL!P10+PnL!P11</f>
        <v>19.340406964705874</v>
      </c>
      <c r="Q6" s="8">
        <f>PnL!Q10+PnL!Q11</f>
        <v>41.227849603279353</v>
      </c>
      <c r="R6" s="8">
        <f>PnL!R10+PnL!R11</f>
        <v>42.359843340247629</v>
      </c>
      <c r="S6" s="8">
        <f>PnL!S10+PnL!S11</f>
        <v>43.575986175999986</v>
      </c>
    </row>
    <row r="7" spans="1:19" ht="15" customHeight="1" x14ac:dyDescent="0.2">
      <c r="A7" s="28" t="s">
        <v>790</v>
      </c>
      <c r="B7" s="3" t="s">
        <v>10</v>
      </c>
      <c r="C7" s="31">
        <f t="shared" si="0"/>
        <v>0</v>
      </c>
      <c r="D7" s="31">
        <f t="shared" si="1"/>
        <v>490</v>
      </c>
      <c r="E7" s="8">
        <f>PnL!E6*(Inputs!$C$73-Inputs!$C$117)+PnL!F6*Inputs!$C$117</f>
        <v>0</v>
      </c>
      <c r="F7" s="8">
        <f>PnL!F6*(Inputs!$C$73-Inputs!$C$117)+PnL!G6*Inputs!$C$117+PnL!E6*Inputs!$C$74</f>
        <v>0</v>
      </c>
      <c r="G7" s="8">
        <f>PnL!G6*(Inputs!$C$73-Inputs!$C$117)+PnL!H6*Inputs!$C$117+PnL!F6*Inputs!$C$74+PnL!E6*Inputs!$C$75</f>
        <v>0</v>
      </c>
      <c r="H7" s="8">
        <f>PnL!H6*(Inputs!$C$73-Inputs!$C$117)+PnL!I6*Inputs!$C$117+PnL!G6*Inputs!$C$74+PnL!F6*Inputs!$C$75</f>
        <v>0</v>
      </c>
      <c r="I7" s="8">
        <f>PnL!I6*(Inputs!$C$73-Inputs!$C$117)+PnL!J6*Inputs!$C$117+PnL!H6*Inputs!$C$74+PnL!G6*Inputs!$C$75</f>
        <v>0</v>
      </c>
      <c r="J7" s="8">
        <f>PnL!J6*(Inputs!$C$73-Inputs!$C$117)+PnL!K6*Inputs!$C$117+PnL!I6*Inputs!$C$74+PnL!H6*Inputs!$C$75</f>
        <v>60</v>
      </c>
      <c r="K7" s="8">
        <f>PnL!K6*(Inputs!$C$73-Inputs!$C$117)+PnL!L6*Inputs!$C$117+PnL!J6*Inputs!$C$74+PnL!I6*Inputs!$C$75</f>
        <v>30</v>
      </c>
      <c r="L7" s="8">
        <f>PnL!L6*(Inputs!$C$73-Inputs!$C$117)+PnL!M6*Inputs!$C$117+PnL!K6*Inputs!$C$74+PnL!J6*Inputs!$C$75</f>
        <v>70</v>
      </c>
      <c r="M7" s="8">
        <f>PnL!M6*(Inputs!$C$73-Inputs!$C$117)+PnL!N6*Inputs!$C$117+PnL!L6*Inputs!$C$74+PnL!K6*Inputs!$C$75</f>
        <v>30</v>
      </c>
      <c r="N7" s="8">
        <f>PnL!N6*(Inputs!$C$73-Inputs!$C$117)+PnL!O6*Inputs!$C$117+PnL!M6*Inputs!$C$74+PnL!L6*Inputs!$C$75</f>
        <v>70</v>
      </c>
      <c r="O7" s="8">
        <f>PnL!O6*(Inputs!$C$73-Inputs!$C$117)+PnL!P6*Inputs!$C$117+PnL!N6*Inputs!$C$74+PnL!M6*Inputs!$C$75</f>
        <v>30</v>
      </c>
      <c r="P7" s="8">
        <f>PnL!P6*(Inputs!$C$73-Inputs!$C$117)+PnL!Q6*Inputs!$C$117+PnL!O6*Inputs!$C$74+PnL!N6*Inputs!$C$75</f>
        <v>70</v>
      </c>
      <c r="Q7" s="8">
        <f>PnL!Q6*(Inputs!$C$73-Inputs!$C$117)+PnL!R6*Inputs!$C$117+PnL!P6*Inputs!$C$74+PnL!O6*Inputs!$C$75</f>
        <v>30</v>
      </c>
      <c r="R7" s="8">
        <f>PnL!R6*(Inputs!$C$73-Inputs!$C$117)+PnL!S6*Inputs!$C$117+PnL!Q6*Inputs!$C$74+PnL!P6*Inputs!$C$75</f>
        <v>70</v>
      </c>
      <c r="S7" s="8">
        <f>PnL!S6*(Inputs!$C$73-Inputs!$C$117)+PnL!T6*Inputs!$C$117+PnL!R6*Inputs!$C$74+PnL!Q6*Inputs!$C$75</f>
        <v>30</v>
      </c>
    </row>
    <row r="8" spans="1:19" ht="15" customHeight="1" x14ac:dyDescent="0.2">
      <c r="A8" s="28" t="s">
        <v>791</v>
      </c>
      <c r="B8" s="3" t="s">
        <v>10</v>
      </c>
      <c r="C8" s="31">
        <f t="shared" si="0"/>
        <v>0</v>
      </c>
      <c r="D8" s="31">
        <f t="shared" si="1"/>
        <v>456</v>
      </c>
      <c r="E8" s="8">
        <f>PnL!E7*Inputs!$C$76</f>
        <v>0</v>
      </c>
      <c r="F8" s="8">
        <f>PnL!F7*Inputs!$C$76+PnL!E7*(1-Inputs!$C$76)</f>
        <v>0</v>
      </c>
      <c r="G8" s="8">
        <f>PnL!G7*Inputs!$C$76+PnL!F7*(1-Inputs!$C$76)</f>
        <v>0</v>
      </c>
      <c r="H8" s="8">
        <f>PnL!H7*Inputs!$C$76+PnL!G7*(1-Inputs!$C$76)</f>
        <v>0</v>
      </c>
      <c r="I8" s="8">
        <f>PnL!I7*Inputs!$C$76+PnL!H7*(1-Inputs!$C$76)</f>
        <v>0</v>
      </c>
      <c r="J8" s="8">
        <f>PnL!J7*Inputs!$C$76+PnL!I7*(1-Inputs!$C$76)</f>
        <v>22.8</v>
      </c>
      <c r="K8" s="8">
        <f>PnL!K7*Inputs!$C$76+PnL!J7*(1-Inputs!$C$76)</f>
        <v>5.6999999999999984</v>
      </c>
      <c r="L8" s="8">
        <f>PnL!L7*Inputs!$C$76+PnL!K7*(1-Inputs!$C$76)</f>
        <v>22.8</v>
      </c>
      <c r="M8" s="8">
        <f>PnL!M7*Inputs!$C$76+PnL!L7*(1-Inputs!$C$76)</f>
        <v>28.5</v>
      </c>
      <c r="N8" s="8">
        <f>PnL!N7*Inputs!$C$76+PnL!M7*(1-Inputs!$C$76)</f>
        <v>28.5</v>
      </c>
      <c r="O8" s="8">
        <f>PnL!O7*Inputs!$C$76+PnL!N7*(1-Inputs!$C$76)</f>
        <v>28.5</v>
      </c>
      <c r="P8" s="8">
        <f>PnL!P7*Inputs!$C$76+PnL!O7*(1-Inputs!$C$76)</f>
        <v>51.3</v>
      </c>
      <c r="Q8" s="8">
        <f>PnL!Q7*Inputs!$C$76+PnL!P7*(1-Inputs!$C$76)</f>
        <v>57</v>
      </c>
      <c r="R8" s="8">
        <f>PnL!R7*Inputs!$C$76+PnL!Q7*(1-Inputs!$C$76)</f>
        <v>79.8</v>
      </c>
      <c r="S8" s="8">
        <f>PnL!S7*Inputs!$C$76+PnL!R7*(1-Inputs!$C$76)</f>
        <v>131.1</v>
      </c>
    </row>
    <row r="9" spans="1:19" ht="15" customHeight="1" x14ac:dyDescent="0.2">
      <c r="A9" s="28" t="s">
        <v>792</v>
      </c>
      <c r="B9" s="3" t="s">
        <v>10</v>
      </c>
      <c r="C9" s="31">
        <f t="shared" si="0"/>
        <v>0</v>
      </c>
      <c r="D9" s="31">
        <f t="shared" si="1"/>
        <v>299.60000000000002</v>
      </c>
      <c r="E9" s="8">
        <f>PnL!E8*Inputs!$C$77</f>
        <v>0</v>
      </c>
      <c r="F9" s="8">
        <f>PnL!F8*Inputs!$C$77+PnL!E8*Inputs!$C$78</f>
        <v>0</v>
      </c>
      <c r="G9" s="8">
        <f>PnL!G8*Inputs!$C$77+PnL!F8*Inputs!$C$78+PnL!E8*Inputs!$C$79</f>
        <v>0</v>
      </c>
      <c r="H9" s="8">
        <f>PnL!H8*Inputs!$C$77+PnL!G8*Inputs!$C$78+PnL!F8*Inputs!$C$79</f>
        <v>0</v>
      </c>
      <c r="I9" s="8">
        <f>PnL!I8*Inputs!$C$77+PnL!H8*Inputs!$C$78+PnL!G8*Inputs!$C$79</f>
        <v>0</v>
      </c>
      <c r="J9" s="8">
        <f>PnL!J8*Inputs!$C$77+PnL!I8*Inputs!$C$78+PnL!H8*Inputs!$C$79</f>
        <v>0</v>
      </c>
      <c r="K9" s="8">
        <f>PnL!K8*Inputs!$C$77+PnL!J8*Inputs!$C$78+PnL!I8*Inputs!$C$79</f>
        <v>10.700000000000001</v>
      </c>
      <c r="L9" s="8">
        <f>PnL!L8*Inputs!$C$77+PnL!K8*Inputs!$C$78+PnL!J8*Inputs!$C$79</f>
        <v>26.75</v>
      </c>
      <c r="M9" s="8">
        <f>PnL!M8*Inputs!$C$77+PnL!L8*Inputs!$C$78+PnL!K8*Inputs!$C$79</f>
        <v>16.05</v>
      </c>
      <c r="N9" s="8">
        <f>PnL!N8*Inputs!$C$77+PnL!M8*Inputs!$C$78+PnL!L8*Inputs!$C$79</f>
        <v>10.700000000000001</v>
      </c>
      <c r="O9" s="8">
        <f>PnL!O8*Inputs!$C$77+PnL!N8*Inputs!$C$78+PnL!M8*Inputs!$C$79</f>
        <v>26.75</v>
      </c>
      <c r="P9" s="8">
        <f>PnL!P8*Inputs!$C$77+PnL!O8*Inputs!$C$78+PnL!N8*Inputs!$C$79</f>
        <v>16.05</v>
      </c>
      <c r="Q9" s="8">
        <f>PnL!Q8*Inputs!$C$77+PnL!P8*Inputs!$C$78+PnL!O8*Inputs!$C$79</f>
        <v>21.400000000000002</v>
      </c>
      <c r="R9" s="8">
        <f>PnL!R8*Inputs!$C$77+PnL!Q8*Inputs!$C$78+PnL!P8*Inputs!$C$79</f>
        <v>74.900000000000006</v>
      </c>
      <c r="S9" s="8">
        <f>PnL!S8*Inputs!$C$77+PnL!R8*Inputs!$C$78+PnL!Q8*Inputs!$C$79</f>
        <v>96.300000000000011</v>
      </c>
    </row>
    <row r="10" spans="1:19" ht="15" customHeight="1" x14ac:dyDescent="0.2">
      <c r="A10" s="28" t="s">
        <v>793</v>
      </c>
      <c r="B10" s="3" t="s">
        <v>10</v>
      </c>
      <c r="C10" s="31">
        <f t="shared" si="0"/>
        <v>30</v>
      </c>
      <c r="D10" s="31">
        <f t="shared" si="1"/>
        <v>405</v>
      </c>
      <c r="E10" s="8">
        <f>PnL!E9*0</f>
        <v>0</v>
      </c>
      <c r="F10" s="8">
        <f>PnL!F9*0+PnL!E9*1</f>
        <v>15</v>
      </c>
      <c r="G10" s="8">
        <f>PnL!G9*0+PnL!F9*1</f>
        <v>15</v>
      </c>
      <c r="H10" s="8">
        <f>PnL!H9*0+PnL!G9*1</f>
        <v>15</v>
      </c>
      <c r="I10" s="8">
        <f>PnL!I9*0+PnL!H9*1</f>
        <v>15</v>
      </c>
      <c r="J10" s="8">
        <f>PnL!J9*0+PnL!I9*1</f>
        <v>30</v>
      </c>
      <c r="K10" s="8">
        <f>PnL!K9*0+PnL!J9*1</f>
        <v>30</v>
      </c>
      <c r="L10" s="8">
        <f>PnL!L9*0+PnL!K9*1</f>
        <v>30</v>
      </c>
      <c r="M10" s="8">
        <f>PnL!M9*0+PnL!L9*1</f>
        <v>30</v>
      </c>
      <c r="N10" s="8">
        <f>PnL!N9*0+PnL!M9*1</f>
        <v>30</v>
      </c>
      <c r="O10" s="8">
        <f>PnL!O9*0+PnL!N9*1</f>
        <v>45</v>
      </c>
      <c r="P10" s="8">
        <f>PnL!P9*0+PnL!O9*1</f>
        <v>45</v>
      </c>
      <c r="Q10" s="8">
        <f>PnL!Q9*0+PnL!P9*1</f>
        <v>45</v>
      </c>
      <c r="R10" s="8">
        <f>PnL!R9*0+PnL!Q9*1</f>
        <v>45</v>
      </c>
      <c r="S10" s="8">
        <f>PnL!S9*0+PnL!R9*1</f>
        <v>45</v>
      </c>
    </row>
    <row r="11" spans="1:19" ht="15" customHeight="1" x14ac:dyDescent="0.2">
      <c r="A11" s="11" t="s">
        <v>794</v>
      </c>
      <c r="B11" s="3" t="s">
        <v>10</v>
      </c>
      <c r="C11" s="31">
        <f t="shared" si="0"/>
        <v>36.572956960906183</v>
      </c>
      <c r="D11" s="31">
        <f t="shared" si="1"/>
        <v>1896.5735142287413</v>
      </c>
      <c r="E11" s="32">
        <f t="shared" ref="E11:S11" si="2">SUM(E6:E10)</f>
        <v>2.0897425365472309</v>
      </c>
      <c r="F11" s="32">
        <f t="shared" si="2"/>
        <v>17.189401424358952</v>
      </c>
      <c r="G11" s="32">
        <f t="shared" si="2"/>
        <v>17.293813</v>
      </c>
      <c r="H11" s="32">
        <f t="shared" si="2"/>
        <v>18.453030971622052</v>
      </c>
      <c r="I11" s="32">
        <f t="shared" si="2"/>
        <v>38.719664855508526</v>
      </c>
      <c r="J11" s="32">
        <f t="shared" si="2"/>
        <v>116.8068875</v>
      </c>
      <c r="K11" s="32">
        <f t="shared" si="2"/>
        <v>86.736699537737366</v>
      </c>
      <c r="L11" s="32">
        <f t="shared" si="2"/>
        <v>160.43017954252124</v>
      </c>
      <c r="M11" s="32">
        <f t="shared" si="2"/>
        <v>116.02027222222222</v>
      </c>
      <c r="N11" s="32">
        <f t="shared" si="2"/>
        <v>156.5160736492322</v>
      </c>
      <c r="O11" s="32">
        <f t="shared" si="2"/>
        <v>148.53661986566451</v>
      </c>
      <c r="P11" s="32">
        <f t="shared" si="2"/>
        <v>201.69040696470589</v>
      </c>
      <c r="Q11" s="32">
        <f t="shared" si="2"/>
        <v>194.62784960327937</v>
      </c>
      <c r="R11" s="32">
        <f t="shared" si="2"/>
        <v>312.05984334024765</v>
      </c>
      <c r="S11" s="32">
        <f t="shared" si="2"/>
        <v>345.97598617599999</v>
      </c>
    </row>
    <row r="12" spans="1:19" ht="15" customHeight="1" x14ac:dyDescent="0.2">
      <c r="A12" s="2"/>
      <c r="B12" s="2"/>
      <c r="C12" s="2"/>
      <c r="D12" s="2"/>
      <c r="E12" s="2"/>
      <c r="F12" s="2"/>
      <c r="G12" s="2"/>
      <c r="H12" s="2"/>
      <c r="I12" s="2"/>
      <c r="J12" s="2"/>
      <c r="K12" s="2"/>
      <c r="L12" s="2"/>
      <c r="M12" s="2"/>
      <c r="N12" s="2"/>
      <c r="O12" s="2"/>
      <c r="P12" s="2"/>
      <c r="Q12" s="2"/>
      <c r="R12" s="2"/>
      <c r="S12" s="2"/>
    </row>
    <row r="13" spans="1:19" ht="15" customHeight="1" x14ac:dyDescent="0.2">
      <c r="A13" s="6" t="s">
        <v>79</v>
      </c>
      <c r="B13" s="7"/>
      <c r="C13" s="7"/>
      <c r="D13" s="7"/>
      <c r="E13" s="7"/>
      <c r="F13" s="7"/>
      <c r="G13" s="7"/>
      <c r="H13" s="7"/>
      <c r="I13" s="7"/>
      <c r="J13" s="7"/>
      <c r="K13" s="7"/>
      <c r="L13" s="7"/>
      <c r="M13" s="7"/>
      <c r="N13" s="7"/>
      <c r="O13" s="7"/>
      <c r="P13" s="7"/>
      <c r="Q13" s="7"/>
      <c r="R13" s="7"/>
      <c r="S13" s="7"/>
    </row>
    <row r="14" spans="1:19" ht="15" customHeight="1" x14ac:dyDescent="0.2">
      <c r="A14" s="28" t="s">
        <v>795</v>
      </c>
      <c r="B14" s="3" t="s">
        <v>10</v>
      </c>
      <c r="C14" s="31">
        <f>SUM(E14:G14)</f>
        <v>17.629182784362474</v>
      </c>
      <c r="D14" s="31">
        <f>SUM(H14:S14)</f>
        <v>662.63940569149634</v>
      </c>
      <c r="E14" s="8">
        <f>PnL!E21</f>
        <v>5.835897014618892</v>
      </c>
      <c r="F14" s="8">
        <f>PnL!F21</f>
        <v>5.8757605697435817</v>
      </c>
      <c r="G14" s="8">
        <f>PnL!G21</f>
        <v>5.9175252</v>
      </c>
      <c r="H14" s="8">
        <f>PnL!H21</f>
        <v>6.3812123886488212</v>
      </c>
      <c r="I14" s="8">
        <f>PnL!I21</f>
        <v>19.48786594220341</v>
      </c>
      <c r="J14" s="8">
        <f>PnL!J21</f>
        <v>49.852755000000002</v>
      </c>
      <c r="K14" s="8">
        <f>PnL!K21</f>
        <v>29.134679815094948</v>
      </c>
      <c r="L14" s="8">
        <f>PnL!L21</f>
        <v>52.6020718170085</v>
      </c>
      <c r="M14" s="8">
        <f>PnL!M21</f>
        <v>24.83810888888889</v>
      </c>
      <c r="N14" s="8">
        <f>PnL!N21</f>
        <v>75.176429459692883</v>
      </c>
      <c r="O14" s="8">
        <f>PnL!O21</f>
        <v>32.564647946265808</v>
      </c>
      <c r="P14" s="8">
        <f>PnL!P21</f>
        <v>71.236162785882357</v>
      </c>
      <c r="Q14" s="8">
        <f>PnL!Q21</f>
        <v>81.991139841311735</v>
      </c>
      <c r="R14" s="8">
        <f>PnL!R21</f>
        <v>120.69393733609905</v>
      </c>
      <c r="S14" s="8">
        <f>PnL!S21</f>
        <v>98.680394470399989</v>
      </c>
    </row>
    <row r="15" spans="1:19" ht="15" customHeight="1" x14ac:dyDescent="0.2">
      <c r="A15" s="28" t="s">
        <v>796</v>
      </c>
      <c r="B15" s="3" t="s">
        <v>10</v>
      </c>
      <c r="C15" s="31">
        <f>SUM(E15:G15)</f>
        <v>95.061490268335419</v>
      </c>
      <c r="D15" s="31">
        <f>SUM(H15:S15)</f>
        <v>834.92566854430675</v>
      </c>
      <c r="E15" s="8">
        <f>PnL!E31</f>
        <v>31.685442289787972</v>
      </c>
      <c r="F15" s="8">
        <f>PnL!F31</f>
        <v>31.687136490880771</v>
      </c>
      <c r="G15" s="8">
        <f>PnL!G31</f>
        <v>31.688911487666669</v>
      </c>
      <c r="H15" s="8">
        <f>PnL!H31</f>
        <v>41.953175658608515</v>
      </c>
      <c r="I15" s="8">
        <f>PnL!I31</f>
        <v>40.393148278718243</v>
      </c>
      <c r="J15" s="8">
        <f>PnL!J31</f>
        <v>59.40152107991667</v>
      </c>
      <c r="K15" s="8">
        <f>PnL!K31</f>
        <v>57.593458051997473</v>
      </c>
      <c r="L15" s="8">
        <f>PnL!L31</f>
        <v>65.653055940969978</v>
      </c>
      <c r="M15" s="8">
        <f>PnL!M31</f>
        <v>61.174334683000005</v>
      </c>
      <c r="N15" s="8">
        <f>PnL!N31</f>
        <v>73.615164396553809</v>
      </c>
      <c r="O15" s="8">
        <f>PnL!O31</f>
        <v>76.862601378073762</v>
      </c>
      <c r="P15" s="8">
        <f>PnL!P31</f>
        <v>85.885182530196076</v>
      </c>
      <c r="Q15" s="8">
        <f>PnL!Q31</f>
        <v>87.614398083903211</v>
      </c>
      <c r="R15" s="8">
        <f>PnL!R31</f>
        <v>91.646740762102311</v>
      </c>
      <c r="S15" s="8">
        <f>PnL!S31</f>
        <v>93.132887700266679</v>
      </c>
    </row>
    <row r="16" spans="1:19" ht="15" customHeight="1" x14ac:dyDescent="0.2">
      <c r="A16" s="28" t="s">
        <v>797</v>
      </c>
      <c r="B16" s="3" t="s">
        <v>10</v>
      </c>
      <c r="C16" s="31">
        <f>SUM(E16:G16)</f>
        <v>0.17139571980453092</v>
      </c>
      <c r="D16" s="31">
        <f>SUM(H16:S16)</f>
        <v>8.8634567052637045</v>
      </c>
      <c r="E16" s="8">
        <f>0</f>
        <v>0</v>
      </c>
      <c r="F16" s="8">
        <f>PnL!E34</f>
        <v>8.5448712682736155E-2</v>
      </c>
      <c r="G16" s="8">
        <f>PnL!F34</f>
        <v>8.5947007121794761E-2</v>
      </c>
      <c r="H16" s="8">
        <f>PnL!G34</f>
        <v>8.6469064999999998E-2</v>
      </c>
      <c r="I16" s="8">
        <f>PnL!H34</f>
        <v>9.2265154858110265E-2</v>
      </c>
      <c r="J16" s="8">
        <f>PnL!I34</f>
        <v>0.26859832427754265</v>
      </c>
      <c r="K16" s="8">
        <f>PnL!J34</f>
        <v>0.8125344375000001</v>
      </c>
      <c r="L16" s="8">
        <f>PnL!K34</f>
        <v>0.46918349768868683</v>
      </c>
      <c r="M16" s="8">
        <f>PnL!L34</f>
        <v>0.84690089771260624</v>
      </c>
      <c r="N16" s="8">
        <f>PnL!M34</f>
        <v>0.34985136111111109</v>
      </c>
      <c r="O16" s="8">
        <f>PnL!N34</f>
        <v>1.221580368246161</v>
      </c>
      <c r="P16" s="8">
        <f>PnL!O34</f>
        <v>0.45893309932832255</v>
      </c>
      <c r="Q16" s="8">
        <f>PnL!P34</f>
        <v>1.1067020348235292</v>
      </c>
      <c r="R16" s="8">
        <f>PnL!Q34</f>
        <v>1.2511392480163968</v>
      </c>
      <c r="S16" s="8">
        <f>PnL!R34</f>
        <v>1.8992992167012381</v>
      </c>
    </row>
    <row r="17" spans="1:19" ht="15" customHeight="1" x14ac:dyDescent="0.2">
      <c r="A17" s="11" t="s">
        <v>798</v>
      </c>
      <c r="B17" s="3" t="s">
        <v>10</v>
      </c>
      <c r="C17" s="31">
        <f>SUM(E17:G17)</f>
        <v>112.86206877250243</v>
      </c>
      <c r="D17" s="31">
        <f>SUM(H17:S17)</f>
        <v>1506.4285309410668</v>
      </c>
      <c r="E17" s="32">
        <f t="shared" ref="E17:S17" si="3">SUM(E14:E16)</f>
        <v>37.521339304406865</v>
      </c>
      <c r="F17" s="32">
        <f t="shared" si="3"/>
        <v>37.648345773307085</v>
      </c>
      <c r="G17" s="32">
        <f t="shared" si="3"/>
        <v>37.692383694788468</v>
      </c>
      <c r="H17" s="32">
        <f t="shared" si="3"/>
        <v>48.420857112257337</v>
      </c>
      <c r="I17" s="32">
        <f t="shared" si="3"/>
        <v>59.973279375779768</v>
      </c>
      <c r="J17" s="32">
        <f t="shared" si="3"/>
        <v>109.52287440419423</v>
      </c>
      <c r="K17" s="32">
        <f t="shared" si="3"/>
        <v>87.54067230459242</v>
      </c>
      <c r="L17" s="32">
        <f t="shared" si="3"/>
        <v>118.72431125566716</v>
      </c>
      <c r="M17" s="32">
        <f t="shared" si="3"/>
        <v>86.859344469601496</v>
      </c>
      <c r="N17" s="32">
        <f t="shared" si="3"/>
        <v>149.14144521735781</v>
      </c>
      <c r="O17" s="32">
        <f t="shared" si="3"/>
        <v>110.64882969258574</v>
      </c>
      <c r="P17" s="32">
        <f t="shared" si="3"/>
        <v>157.58027841540675</v>
      </c>
      <c r="Q17" s="32">
        <f t="shared" si="3"/>
        <v>170.71223996003849</v>
      </c>
      <c r="R17" s="32">
        <f t="shared" si="3"/>
        <v>213.59181734621774</v>
      </c>
      <c r="S17" s="32">
        <f t="shared" si="3"/>
        <v>193.71258138736792</v>
      </c>
    </row>
    <row r="18" spans="1:19" ht="15" customHeight="1" x14ac:dyDescent="0.2">
      <c r="A18" s="2"/>
      <c r="B18" s="2"/>
      <c r="C18" s="2"/>
      <c r="D18" s="2"/>
      <c r="E18" s="2"/>
      <c r="F18" s="2"/>
      <c r="G18" s="2"/>
      <c r="H18" s="2"/>
      <c r="I18" s="2"/>
      <c r="J18" s="2"/>
      <c r="K18" s="2"/>
      <c r="L18" s="2"/>
      <c r="M18" s="2"/>
      <c r="N18" s="2"/>
      <c r="O18" s="2"/>
      <c r="P18" s="2"/>
      <c r="Q18" s="2"/>
      <c r="R18" s="2"/>
      <c r="S18" s="2"/>
    </row>
    <row r="19" spans="1:19" ht="15" customHeight="1" x14ac:dyDescent="0.2">
      <c r="A19" s="11" t="s">
        <v>799</v>
      </c>
      <c r="B19" s="3" t="s">
        <v>10</v>
      </c>
      <c r="C19" s="31">
        <f>SUM(E19:G19)</f>
        <v>-76.289111811596229</v>
      </c>
      <c r="D19" s="31">
        <f>SUM(H19:S19)</f>
        <v>390.14498328767417</v>
      </c>
      <c r="E19" s="32">
        <f t="shared" ref="E19:S19" si="4">E11-E17</f>
        <v>-35.431596767859631</v>
      </c>
      <c r="F19" s="32">
        <f t="shared" si="4"/>
        <v>-20.458944348948133</v>
      </c>
      <c r="G19" s="32">
        <f t="shared" si="4"/>
        <v>-20.398570694788468</v>
      </c>
      <c r="H19" s="32">
        <f t="shared" si="4"/>
        <v>-29.967826140635285</v>
      </c>
      <c r="I19" s="32">
        <f t="shared" si="4"/>
        <v>-21.253614520271242</v>
      </c>
      <c r="J19" s="32">
        <f t="shared" si="4"/>
        <v>7.2840130958057756</v>
      </c>
      <c r="K19" s="32">
        <f t="shared" si="4"/>
        <v>-0.80397276685505403</v>
      </c>
      <c r="L19" s="32">
        <f t="shared" si="4"/>
        <v>41.705868286854084</v>
      </c>
      <c r="M19" s="32">
        <f t="shared" si="4"/>
        <v>29.160927752620722</v>
      </c>
      <c r="N19" s="32">
        <f t="shared" si="4"/>
        <v>7.3746284318743847</v>
      </c>
      <c r="O19" s="32">
        <f t="shared" si="4"/>
        <v>37.88779017307877</v>
      </c>
      <c r="P19" s="32">
        <f t="shared" si="4"/>
        <v>44.110128549299134</v>
      </c>
      <c r="Q19" s="32">
        <f t="shared" si="4"/>
        <v>23.915609643240884</v>
      </c>
      <c r="R19" s="32">
        <f t="shared" si="4"/>
        <v>98.468025994029915</v>
      </c>
      <c r="S19" s="32">
        <f t="shared" si="4"/>
        <v>152.26340478863207</v>
      </c>
    </row>
    <row r="20" spans="1:19" ht="15" customHeight="1" x14ac:dyDescent="0.2">
      <c r="A20" s="28" t="s">
        <v>800</v>
      </c>
      <c r="B20" s="3" t="s">
        <v>10</v>
      </c>
      <c r="C20" s="31">
        <f>E20</f>
        <v>210</v>
      </c>
      <c r="D20" s="31">
        <f>H20</f>
        <v>133.71088818840377</v>
      </c>
      <c r="E20" s="8">
        <f>Inputs!$C$72</f>
        <v>210</v>
      </c>
      <c r="F20" s="8">
        <f t="shared" ref="F20:S20" si="5">E21</f>
        <v>174.56840323214038</v>
      </c>
      <c r="G20" s="8">
        <f t="shared" si="5"/>
        <v>154.10945888319225</v>
      </c>
      <c r="H20" s="8">
        <f t="shared" si="5"/>
        <v>133.71088818840377</v>
      </c>
      <c r="I20" s="8">
        <f t="shared" si="5"/>
        <v>103.74306204776849</v>
      </c>
      <c r="J20" s="8">
        <f t="shared" si="5"/>
        <v>82.489447527497248</v>
      </c>
      <c r="K20" s="8">
        <f t="shared" si="5"/>
        <v>89.773460623303023</v>
      </c>
      <c r="L20" s="8">
        <f t="shared" si="5"/>
        <v>88.969487856447969</v>
      </c>
      <c r="M20" s="8">
        <f t="shared" si="5"/>
        <v>130.67535614330205</v>
      </c>
      <c r="N20" s="8">
        <f t="shared" si="5"/>
        <v>159.83628389592278</v>
      </c>
      <c r="O20" s="8">
        <f t="shared" si="5"/>
        <v>167.21091232779716</v>
      </c>
      <c r="P20" s="8">
        <f t="shared" si="5"/>
        <v>205.09870250087593</v>
      </c>
      <c r="Q20" s="8">
        <f t="shared" si="5"/>
        <v>249.20883105017506</v>
      </c>
      <c r="R20" s="8">
        <f t="shared" si="5"/>
        <v>273.12444069341598</v>
      </c>
      <c r="S20" s="8">
        <f t="shared" si="5"/>
        <v>371.59246668744589</v>
      </c>
    </row>
    <row r="21" spans="1:19" ht="15" customHeight="1" x14ac:dyDescent="0.2">
      <c r="A21" s="11" t="s">
        <v>80</v>
      </c>
      <c r="B21" s="3" t="s">
        <v>10</v>
      </c>
      <c r="C21" s="31">
        <f>G21</f>
        <v>133.71088818840377</v>
      </c>
      <c r="D21" s="31">
        <f>S21</f>
        <v>523.85587147607794</v>
      </c>
      <c r="E21" s="32">
        <f t="shared" ref="E21:S21" si="6">E20+E19</f>
        <v>174.56840323214038</v>
      </c>
      <c r="F21" s="32">
        <f t="shared" si="6"/>
        <v>154.10945888319225</v>
      </c>
      <c r="G21" s="32">
        <f t="shared" si="6"/>
        <v>133.71088818840377</v>
      </c>
      <c r="H21" s="32">
        <f t="shared" si="6"/>
        <v>103.74306204776849</v>
      </c>
      <c r="I21" s="32">
        <f t="shared" si="6"/>
        <v>82.489447527497248</v>
      </c>
      <c r="J21" s="32">
        <f t="shared" si="6"/>
        <v>89.773460623303023</v>
      </c>
      <c r="K21" s="32">
        <f t="shared" si="6"/>
        <v>88.969487856447969</v>
      </c>
      <c r="L21" s="32">
        <f t="shared" si="6"/>
        <v>130.67535614330205</v>
      </c>
      <c r="M21" s="32">
        <f t="shared" si="6"/>
        <v>159.83628389592278</v>
      </c>
      <c r="N21" s="32">
        <f t="shared" si="6"/>
        <v>167.21091232779716</v>
      </c>
      <c r="O21" s="32">
        <f t="shared" si="6"/>
        <v>205.09870250087593</v>
      </c>
      <c r="P21" s="32">
        <f t="shared" si="6"/>
        <v>249.20883105017506</v>
      </c>
      <c r="Q21" s="32">
        <f t="shared" si="6"/>
        <v>273.12444069341598</v>
      </c>
      <c r="R21" s="32">
        <f t="shared" si="6"/>
        <v>371.59246668744589</v>
      </c>
      <c r="S21" s="32">
        <f t="shared" si="6"/>
        <v>523.85587147607794</v>
      </c>
    </row>
    <row r="22" spans="1:19" ht="15" customHeight="1" x14ac:dyDescent="0.2">
      <c r="A22" s="2"/>
      <c r="B22" s="2"/>
      <c r="C22" s="2"/>
      <c r="D22" s="2"/>
      <c r="E22" s="2"/>
      <c r="F22" s="2"/>
      <c r="G22" s="2"/>
      <c r="H22" s="2"/>
      <c r="I22" s="2"/>
      <c r="J22" s="2"/>
      <c r="K22" s="2"/>
      <c r="L22" s="2"/>
      <c r="M22" s="2"/>
      <c r="N22" s="2"/>
      <c r="O22" s="2"/>
      <c r="P22" s="2"/>
      <c r="Q22" s="2"/>
      <c r="R22" s="2"/>
      <c r="S22" s="2"/>
    </row>
    <row r="23" spans="1:19" ht="15" customHeight="1" x14ac:dyDescent="0.2">
      <c r="A23" s="6" t="s">
        <v>801</v>
      </c>
      <c r="B23" s="7"/>
      <c r="C23" s="7"/>
      <c r="D23" s="7"/>
      <c r="E23" s="7"/>
      <c r="F23" s="7"/>
      <c r="G23" s="7"/>
      <c r="H23" s="7"/>
      <c r="I23" s="7"/>
      <c r="J23" s="7"/>
      <c r="K23" s="7"/>
      <c r="L23" s="7"/>
      <c r="M23" s="7"/>
      <c r="N23" s="7"/>
      <c r="O23" s="7"/>
      <c r="P23" s="7"/>
      <c r="Q23" s="7"/>
      <c r="R23" s="7"/>
      <c r="S23" s="7"/>
    </row>
    <row r="24" spans="1:19" ht="15" customHeight="1" x14ac:dyDescent="0.2">
      <c r="A24" s="28" t="s">
        <v>802</v>
      </c>
      <c r="B24" s="3" t="s">
        <v>10</v>
      </c>
      <c r="C24" s="31">
        <f>MAX(E24:G24)</f>
        <v>37.606436687666672</v>
      </c>
      <c r="D24" s="31">
        <f>MAX(H24:S24)</f>
        <v>212.34067809820135</v>
      </c>
      <c r="E24" s="8">
        <f t="shared" ref="E24:S24" si="7">E15+E14</f>
        <v>37.521339304406865</v>
      </c>
      <c r="F24" s="8">
        <f t="shared" si="7"/>
        <v>37.562897060624351</v>
      </c>
      <c r="G24" s="8">
        <f t="shared" si="7"/>
        <v>37.606436687666672</v>
      </c>
      <c r="H24" s="8">
        <f t="shared" si="7"/>
        <v>48.334388047257335</v>
      </c>
      <c r="I24" s="8">
        <f t="shared" si="7"/>
        <v>59.881014220921656</v>
      </c>
      <c r="J24" s="8">
        <f t="shared" si="7"/>
        <v>109.25427607991668</v>
      </c>
      <c r="K24" s="8">
        <f t="shared" si="7"/>
        <v>86.728137867092414</v>
      </c>
      <c r="L24" s="8">
        <f t="shared" si="7"/>
        <v>118.25512775797847</v>
      </c>
      <c r="M24" s="8">
        <f t="shared" si="7"/>
        <v>86.012443571888895</v>
      </c>
      <c r="N24" s="8">
        <f t="shared" si="7"/>
        <v>148.79159385624669</v>
      </c>
      <c r="O24" s="8">
        <f t="shared" si="7"/>
        <v>109.42724932433957</v>
      </c>
      <c r="P24" s="8">
        <f t="shared" si="7"/>
        <v>157.12134531607842</v>
      </c>
      <c r="Q24" s="8">
        <f t="shared" si="7"/>
        <v>169.60553792521495</v>
      </c>
      <c r="R24" s="8">
        <f t="shared" si="7"/>
        <v>212.34067809820135</v>
      </c>
      <c r="S24" s="8">
        <f t="shared" si="7"/>
        <v>191.81328217066667</v>
      </c>
    </row>
    <row r="25" spans="1:19" ht="15" customHeight="1" x14ac:dyDescent="0.2">
      <c r="A25" s="28" t="s">
        <v>803</v>
      </c>
      <c r="B25" s="3" t="s">
        <v>216</v>
      </c>
      <c r="C25" s="29">
        <f>MIN(E25:G25)</f>
        <v>1</v>
      </c>
      <c r="D25" s="29">
        <f>MIN(H25:S25)</f>
        <v>0</v>
      </c>
      <c r="E25" s="10">
        <f t="shared" ref="E25:S25" si="8">IF(E21&gt;=E24,1,0)</f>
        <v>1</v>
      </c>
      <c r="F25" s="10">
        <f t="shared" si="8"/>
        <v>1</v>
      </c>
      <c r="G25" s="10">
        <f t="shared" si="8"/>
        <v>1</v>
      </c>
      <c r="H25" s="10">
        <f t="shared" si="8"/>
        <v>1</v>
      </c>
      <c r="I25" s="10">
        <f t="shared" si="8"/>
        <v>1</v>
      </c>
      <c r="J25" s="10">
        <f t="shared" si="8"/>
        <v>0</v>
      </c>
      <c r="K25" s="10">
        <f t="shared" si="8"/>
        <v>1</v>
      </c>
      <c r="L25" s="10">
        <f t="shared" si="8"/>
        <v>1</v>
      </c>
      <c r="M25" s="10">
        <f t="shared" si="8"/>
        <v>1</v>
      </c>
      <c r="N25" s="10">
        <f t="shared" si="8"/>
        <v>1</v>
      </c>
      <c r="O25" s="10">
        <f t="shared" si="8"/>
        <v>1</v>
      </c>
      <c r="P25" s="10">
        <f t="shared" si="8"/>
        <v>1</v>
      </c>
      <c r="Q25" s="10">
        <f t="shared" si="8"/>
        <v>1</v>
      </c>
      <c r="R25" s="10">
        <f t="shared" si="8"/>
        <v>1</v>
      </c>
      <c r="S25" s="10">
        <f t="shared" si="8"/>
        <v>1</v>
      </c>
    </row>
    <row r="26" spans="1:19" ht="15" customHeight="1" x14ac:dyDescent="0.2">
      <c r="A26" s="28" t="s">
        <v>804</v>
      </c>
      <c r="B26" s="3" t="s">
        <v>10</v>
      </c>
      <c r="C26" s="31">
        <f>MAX(E26:G26)</f>
        <v>15</v>
      </c>
      <c r="D26" s="31">
        <f>MAX(H26:S26)</f>
        <v>219.79999999999973</v>
      </c>
      <c r="E26" s="8">
        <f>SUM(PnL!$E$12:E12)-SUM($E$11:E11)</f>
        <v>15</v>
      </c>
      <c r="F26" s="8">
        <f>SUM(PnL!$E$12:F12)-SUM($E$11:F11)</f>
        <v>15</v>
      </c>
      <c r="G26" s="8">
        <f>SUM(PnL!$E$12:G12)-SUM($E$11:G11)</f>
        <v>15</v>
      </c>
      <c r="H26" s="8">
        <f>SUM(PnL!$E$12:H12)-SUM($E$11:H11)</f>
        <v>15</v>
      </c>
      <c r="I26" s="8">
        <f>SUM(PnL!$E$12:I12)-SUM($E$11:I11)</f>
        <v>30</v>
      </c>
      <c r="J26" s="8">
        <f>SUM(PnL!$E$12:J12)-SUM($E$11:J11)</f>
        <v>75.699999999999989</v>
      </c>
      <c r="K26" s="8">
        <f>SUM(PnL!$E$12:K12)-SUM($E$11:K11)</f>
        <v>82.800000000000011</v>
      </c>
      <c r="L26" s="8">
        <f>SUM(PnL!$E$12:L12)-SUM($E$11:L11)</f>
        <v>91.75</v>
      </c>
      <c r="M26" s="8">
        <f>SUM(PnL!$E$12:M12)-SUM($E$11:M11)</f>
        <v>45.699999999999932</v>
      </c>
      <c r="N26" s="8">
        <f>SUM(PnL!$E$12:N12)-SUM($E$11:N11)</f>
        <v>133.49999999999989</v>
      </c>
      <c r="O26" s="8">
        <f>SUM(PnL!$E$12:O12)-SUM($E$11:O11)</f>
        <v>76.749999999999886</v>
      </c>
      <c r="P26" s="8">
        <f>SUM(PnL!$E$12:P12)-SUM($E$11:P11)</f>
        <v>96.399999999999864</v>
      </c>
      <c r="Q26" s="8">
        <f>SUM(PnL!$E$12:Q12)-SUM($E$11:Q11)</f>
        <v>151.99999999999977</v>
      </c>
      <c r="R26" s="8">
        <f>SUM(PnL!$E$12:R12)-SUM($E$11:R11)</f>
        <v>219.79999999999973</v>
      </c>
      <c r="S26" s="8">
        <f>SUM(PnL!$E$12:S12)-SUM($E$11:S11)</f>
        <v>158.39999999999964</v>
      </c>
    </row>
    <row r="27" spans="1:19" ht="15" customHeight="1" x14ac:dyDescent="0.2">
      <c r="A27" s="28" t="s">
        <v>805</v>
      </c>
      <c r="B27" s="3" t="s">
        <v>34</v>
      </c>
      <c r="C27" s="31">
        <f>MIN(E27:G27)</f>
        <v>6.8957845449367454</v>
      </c>
      <c r="D27" s="31">
        <f>MIN(H27:S27)</f>
        <v>1.9059031343227051</v>
      </c>
      <c r="E27" s="8">
        <f>IF(E15-((PnL!$D$10+PnL!$D$11-PnL!$D$19-PnL!$D$20)/12)&lt;=0,99,E21/(E15-((PnL!$D$10+PnL!$D$11-PnL!$D$19-PnL!$D$20)/12)))</f>
        <v>9.0045135957369915</v>
      </c>
      <c r="F27" s="8">
        <f>IF(F15-((PnL!$D$10+PnL!$D$11-PnL!$D$19-PnL!$D$20)/12)&lt;=0,99,F21/(F15-((PnL!$D$10+PnL!$D$11-PnL!$D$19-PnL!$D$20)/12)))</f>
        <v>7.9485143579104598</v>
      </c>
      <c r="G27" s="8">
        <f>IF(G15-((PnL!$D$10+PnL!$D$11-PnL!$D$19-PnL!$D$20)/12)&lt;=0,99,G21/(G15-((PnL!$D$10+PnL!$D$11-PnL!$D$19-PnL!$D$20)/12)))</f>
        <v>6.8957845449367454</v>
      </c>
      <c r="H27" s="8">
        <f>IF(H15-((PnL!$D$10+PnL!$D$11-PnL!$D$19-PnL!$D$20)/12)&lt;=0,99,H21/(H15-((PnL!$D$10+PnL!$D$11-PnL!$D$19-PnL!$D$20)/12)))</f>
        <v>3.4983918876589861</v>
      </c>
      <c r="I27" s="8">
        <f>IF(I15-((PnL!$D$10+PnL!$D$11-PnL!$D$19-PnL!$D$20)/12)&lt;=0,99,I21/(I15-((PnL!$D$10+PnL!$D$11-PnL!$D$19-PnL!$D$20)/12)))</f>
        <v>2.9361450844093939</v>
      </c>
      <c r="J27" s="8">
        <f>IF(J15-((PnL!$D$10+PnL!$D$11-PnL!$D$19-PnL!$D$20)/12)&lt;=0,99,J21/(J15-((PnL!$D$10+PnL!$D$11-PnL!$D$19-PnL!$D$20)/12)))</f>
        <v>1.9059031343227051</v>
      </c>
      <c r="K27" s="8">
        <f>IF(K15-((PnL!$D$10+PnL!$D$11-PnL!$D$19-PnL!$D$20)/12)&lt;=0,99,K21/(K15-((PnL!$D$10+PnL!$D$11-PnL!$D$19-PnL!$D$20)/12)))</f>
        <v>1.9642325949931294</v>
      </c>
      <c r="L27" s="8">
        <f>IF(L15-((PnL!$D$10+PnL!$D$11-PnL!$D$19-PnL!$D$20)/12)&lt;=0,99,L21/(L15-((PnL!$D$10+PnL!$D$11-PnL!$D$19-PnL!$D$20)/12)))</f>
        <v>2.4491964030156632</v>
      </c>
      <c r="M27" s="8">
        <f>IF(M15-((PnL!$D$10+PnL!$D$11-PnL!$D$19-PnL!$D$20)/12)&lt;=0,99,M21/(M15-((PnL!$D$10+PnL!$D$11-PnL!$D$19-PnL!$D$20)/12)))</f>
        <v>3.27026350660396</v>
      </c>
      <c r="N27" s="8">
        <f>IF(N15-((PnL!$D$10+PnL!$D$11-PnL!$D$19-PnL!$D$20)/12)&lt;=0,99,N21/(N15-((PnL!$D$10+PnL!$D$11-PnL!$D$19-PnL!$D$20)/12)))</f>
        <v>2.7270138247232016</v>
      </c>
      <c r="O27" s="8">
        <f>IF(O15-((PnL!$D$10+PnL!$D$11-PnL!$D$19-PnL!$D$20)/12)&lt;=0,99,O21/(O15-((PnL!$D$10+PnL!$D$11-PnL!$D$19-PnL!$D$20)/12)))</f>
        <v>3.1766764548962407</v>
      </c>
      <c r="P27" s="8">
        <f>IF(P15-((PnL!$D$10+PnL!$D$11-PnL!$D$19-PnL!$D$20)/12)&lt;=0,99,P21/(P15-((PnL!$D$10+PnL!$D$11-PnL!$D$19-PnL!$D$20)/12)))</f>
        <v>3.3866104238915375</v>
      </c>
      <c r="Q27" s="8">
        <f>IF(Q15-((PnL!$D$10+PnL!$D$11-PnL!$D$19-PnL!$D$20)/12)&lt;=0,99,Q21/(Q15-((PnL!$D$10+PnL!$D$11-PnL!$D$19-PnL!$D$20)/12)))</f>
        <v>3.6263934287545854</v>
      </c>
      <c r="R27" s="8">
        <f>IF(R15-((PnL!$D$10+PnL!$D$11-PnL!$D$19-PnL!$D$20)/12)&lt;=0,99,R21/(R15-((PnL!$D$10+PnL!$D$11-PnL!$D$19-PnL!$D$20)/12)))</f>
        <v>4.6830690382957281</v>
      </c>
      <c r="S27" s="8">
        <f>IF(S15-((PnL!$D$10+PnL!$D$11-PnL!$D$19-PnL!$D$20)/12)&lt;=0,99,S21/(S15-((PnL!$D$10+PnL!$D$11-PnL!$D$19-PnL!$D$20)/12)))</f>
        <v>6.4806207493983976</v>
      </c>
    </row>
    <row r="28" spans="1:19" ht="15" customHeight="1" x14ac:dyDescent="0.2">
      <c r="A28" s="2"/>
      <c r="B28" s="2"/>
      <c r="C28" s="2"/>
      <c r="D28" s="2"/>
      <c r="E28" s="2"/>
      <c r="F28" s="2"/>
      <c r="G28" s="2"/>
      <c r="H28" s="2"/>
      <c r="I28" s="2"/>
      <c r="J28" s="2"/>
      <c r="K28" s="2"/>
      <c r="L28" s="2"/>
      <c r="M28" s="2"/>
      <c r="N28" s="2"/>
      <c r="O28" s="2"/>
      <c r="P28" s="2"/>
      <c r="Q28" s="2"/>
      <c r="R28" s="2"/>
      <c r="S28" s="2"/>
    </row>
    <row r="29" spans="1:19" ht="15" customHeight="1" x14ac:dyDescent="0.2">
      <c r="A29" s="3" t="s">
        <v>806</v>
      </c>
      <c r="B29" s="2"/>
      <c r="C29" s="2"/>
      <c r="D29" s="2"/>
      <c r="E29" s="2"/>
      <c r="F29" s="2"/>
      <c r="G29" s="2"/>
      <c r="H29" s="2"/>
      <c r="I29" s="2"/>
      <c r="J29" s="2"/>
      <c r="K29" s="2"/>
      <c r="L29" s="2"/>
      <c r="M29" s="2"/>
      <c r="N29" s="2"/>
      <c r="O29" s="2"/>
      <c r="P29" s="2"/>
      <c r="Q29" s="2"/>
      <c r="R29" s="2"/>
      <c r="S29" s="2"/>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6"/>
  <sheetViews>
    <sheetView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18" customWidth="1"/>
    <col min="3" max="3" width="60" customWidth="1"/>
    <col min="4" max="4" width="14" customWidth="1"/>
    <col min="5" max="5" width="16" customWidth="1"/>
    <col min="6" max="6" width="60" customWidth="1"/>
    <col min="7" max="7" width="18" customWidth="1"/>
    <col min="8" max="8" width="16" customWidth="1"/>
    <col min="9" max="9" width="10" customWidth="1"/>
  </cols>
  <sheetData>
    <row r="1" spans="1:9" ht="17.25" customHeight="1" x14ac:dyDescent="0.2">
      <c r="A1" s="1" t="s">
        <v>807</v>
      </c>
      <c r="B1" s="2"/>
      <c r="C1" s="2"/>
      <c r="D1" s="2"/>
      <c r="E1" s="2"/>
      <c r="F1" s="2"/>
      <c r="G1" s="2"/>
      <c r="H1" s="2"/>
      <c r="I1" s="2"/>
    </row>
    <row r="2" spans="1:9" ht="31.5" customHeight="1" x14ac:dyDescent="0.2">
      <c r="A2" s="83" t="s">
        <v>808</v>
      </c>
      <c r="B2" s="84"/>
      <c r="C2" s="84"/>
      <c r="D2" s="84"/>
      <c r="E2" s="84"/>
      <c r="F2" s="84"/>
      <c r="G2" s="84"/>
      <c r="H2" s="84"/>
      <c r="I2" s="2"/>
    </row>
    <row r="3" spans="1:9" ht="15" customHeight="1" x14ac:dyDescent="0.2">
      <c r="A3" s="2"/>
      <c r="B3" s="2"/>
      <c r="C3" s="2"/>
      <c r="D3" s="2"/>
      <c r="E3" s="2"/>
      <c r="F3" s="2"/>
      <c r="G3" s="2"/>
      <c r="H3" s="2"/>
      <c r="I3" s="2"/>
    </row>
    <row r="4" spans="1:9" ht="15" customHeight="1" x14ac:dyDescent="0.2">
      <c r="A4" s="5" t="s">
        <v>183</v>
      </c>
      <c r="B4" s="5" t="s">
        <v>809</v>
      </c>
      <c r="C4" s="5" t="s">
        <v>122</v>
      </c>
      <c r="D4" s="5" t="s">
        <v>810</v>
      </c>
      <c r="E4" s="5" t="s">
        <v>6</v>
      </c>
      <c r="F4" s="5" t="s">
        <v>811</v>
      </c>
      <c r="G4" s="5" t="s">
        <v>812</v>
      </c>
      <c r="H4" s="5" t="s">
        <v>813</v>
      </c>
      <c r="I4" s="5" t="s">
        <v>231</v>
      </c>
    </row>
    <row r="5" spans="1:9" ht="15" customHeight="1" x14ac:dyDescent="0.2">
      <c r="A5" s="3" t="s">
        <v>814</v>
      </c>
      <c r="B5" s="3" t="s">
        <v>815</v>
      </c>
      <c r="C5" s="3" t="s">
        <v>816</v>
      </c>
      <c r="D5" s="3">
        <v>5</v>
      </c>
      <c r="E5" s="3" t="s">
        <v>253</v>
      </c>
      <c r="F5" s="3" t="s">
        <v>817</v>
      </c>
      <c r="G5" s="3" t="s">
        <v>818</v>
      </c>
      <c r="H5" s="3">
        <v>5.5</v>
      </c>
      <c r="I5" s="3" t="s">
        <v>819</v>
      </c>
    </row>
    <row r="6" spans="1:9" ht="15" customHeight="1" x14ac:dyDescent="0.2">
      <c r="A6" s="2">
        <v>1</v>
      </c>
      <c r="B6" s="2" t="s">
        <v>820</v>
      </c>
      <c r="C6" s="2" t="s">
        <v>280</v>
      </c>
      <c r="D6" s="37">
        <f>Inputs!C22</f>
        <v>1</v>
      </c>
      <c r="E6" s="2" t="s">
        <v>281</v>
      </c>
      <c r="F6" s="2" t="s">
        <v>821</v>
      </c>
      <c r="G6" s="2" t="s">
        <v>822</v>
      </c>
      <c r="H6" s="38"/>
      <c r="I6" s="2" t="s">
        <v>823</v>
      </c>
    </row>
    <row r="7" spans="1:9" ht="15" customHeight="1" x14ac:dyDescent="0.2">
      <c r="A7" s="2">
        <v>2</v>
      </c>
      <c r="B7" s="2" t="s">
        <v>820</v>
      </c>
      <c r="C7" s="2" t="s">
        <v>285</v>
      </c>
      <c r="D7" s="34">
        <f>Inputs!C23</f>
        <v>3.5</v>
      </c>
      <c r="E7" s="2" t="s">
        <v>286</v>
      </c>
      <c r="F7" s="2" t="s">
        <v>824</v>
      </c>
      <c r="G7" s="2" t="s">
        <v>825</v>
      </c>
      <c r="H7" s="38"/>
      <c r="I7" s="2" t="s">
        <v>823</v>
      </c>
    </row>
    <row r="8" spans="1:9" ht="15" customHeight="1" x14ac:dyDescent="0.2">
      <c r="A8" s="2">
        <v>3</v>
      </c>
      <c r="B8" s="2" t="s">
        <v>820</v>
      </c>
      <c r="C8" s="2" t="s">
        <v>289</v>
      </c>
      <c r="D8" s="39">
        <f>Inputs!C24</f>
        <v>0.8</v>
      </c>
      <c r="E8" s="2" t="s">
        <v>21</v>
      </c>
      <c r="F8" s="2" t="s">
        <v>826</v>
      </c>
      <c r="G8" s="2" t="s">
        <v>827</v>
      </c>
      <c r="H8" s="38"/>
      <c r="I8" s="2" t="s">
        <v>823</v>
      </c>
    </row>
    <row r="9" spans="1:9" ht="15" customHeight="1" x14ac:dyDescent="0.2">
      <c r="A9" s="2">
        <v>4</v>
      </c>
      <c r="B9" s="2" t="s">
        <v>828</v>
      </c>
      <c r="C9" s="2" t="s">
        <v>304</v>
      </c>
      <c r="D9" s="37">
        <f>Inputs!C30</f>
        <v>3</v>
      </c>
      <c r="E9" s="2" t="s">
        <v>305</v>
      </c>
      <c r="F9" s="2" t="s">
        <v>829</v>
      </c>
      <c r="G9" s="2" t="s">
        <v>830</v>
      </c>
      <c r="H9" s="38"/>
      <c r="I9" s="2" t="s">
        <v>823</v>
      </c>
    </row>
    <row r="10" spans="1:9" ht="15" customHeight="1" x14ac:dyDescent="0.2">
      <c r="A10" s="2">
        <v>5</v>
      </c>
      <c r="B10" s="2" t="s">
        <v>828</v>
      </c>
      <c r="C10" s="2" t="s">
        <v>308</v>
      </c>
      <c r="D10" s="37">
        <f>Inputs!C31</f>
        <v>1</v>
      </c>
      <c r="E10" s="2" t="s">
        <v>305</v>
      </c>
      <c r="F10" s="2" t="s">
        <v>831</v>
      </c>
      <c r="G10" s="2" t="s">
        <v>832</v>
      </c>
      <c r="H10" s="38"/>
      <c r="I10" s="2" t="s">
        <v>823</v>
      </c>
    </row>
    <row r="11" spans="1:9" ht="15" customHeight="1" x14ac:dyDescent="0.2">
      <c r="A11" s="2">
        <v>6</v>
      </c>
      <c r="B11" s="2" t="s">
        <v>828</v>
      </c>
      <c r="C11" s="2" t="s">
        <v>311</v>
      </c>
      <c r="D11" s="37">
        <f>Inputs!C32</f>
        <v>1</v>
      </c>
      <c r="E11" s="2" t="s">
        <v>305</v>
      </c>
      <c r="F11" s="2" t="s">
        <v>831</v>
      </c>
      <c r="G11" s="2" t="s">
        <v>833</v>
      </c>
      <c r="H11" s="38"/>
      <c r="I11" s="2" t="s">
        <v>823</v>
      </c>
    </row>
    <row r="12" spans="1:9" ht="15" customHeight="1" x14ac:dyDescent="0.2">
      <c r="A12" s="2">
        <v>7</v>
      </c>
      <c r="B12" s="2" t="s">
        <v>828</v>
      </c>
      <c r="C12" s="2" t="s">
        <v>313</v>
      </c>
      <c r="D12" s="37">
        <f>Inputs!C33</f>
        <v>1</v>
      </c>
      <c r="E12" s="2" t="s">
        <v>305</v>
      </c>
      <c r="F12" s="2" t="s">
        <v>831</v>
      </c>
      <c r="G12" s="2" t="s">
        <v>834</v>
      </c>
      <c r="H12" s="38"/>
      <c r="I12" s="2" t="s">
        <v>823</v>
      </c>
    </row>
    <row r="13" spans="1:9" ht="15" customHeight="1" x14ac:dyDescent="0.2">
      <c r="A13" s="2">
        <v>8</v>
      </c>
      <c r="B13" s="2" t="s">
        <v>828</v>
      </c>
      <c r="C13" s="2" t="s">
        <v>325</v>
      </c>
      <c r="D13" s="34">
        <f>Inputs!C37</f>
        <v>2.5</v>
      </c>
      <c r="E13" s="2" t="s">
        <v>286</v>
      </c>
      <c r="F13" s="2" t="s">
        <v>835</v>
      </c>
      <c r="G13" s="2" t="s">
        <v>836</v>
      </c>
      <c r="H13" s="38"/>
      <c r="I13" s="2" t="s">
        <v>823</v>
      </c>
    </row>
    <row r="14" spans="1:9" ht="15" customHeight="1" x14ac:dyDescent="0.2">
      <c r="A14" s="2">
        <v>9</v>
      </c>
      <c r="B14" s="2" t="s">
        <v>815</v>
      </c>
      <c r="C14" s="2" t="s">
        <v>349</v>
      </c>
      <c r="D14" s="34">
        <f>Inputs!C47</f>
        <v>1.5</v>
      </c>
      <c r="E14" s="2" t="s">
        <v>253</v>
      </c>
      <c r="F14" s="2" t="s">
        <v>837</v>
      </c>
      <c r="G14" s="2" t="s">
        <v>838</v>
      </c>
      <c r="H14" s="38"/>
      <c r="I14" s="2" t="s">
        <v>823</v>
      </c>
    </row>
    <row r="15" spans="1:9" ht="15" customHeight="1" x14ac:dyDescent="0.2">
      <c r="A15" s="2">
        <v>10</v>
      </c>
      <c r="B15" s="2" t="s">
        <v>815</v>
      </c>
      <c r="C15" s="2" t="s">
        <v>358</v>
      </c>
      <c r="D15" s="40" t="str">
        <f>Inputs!C51</f>
        <v>Jan-27</v>
      </c>
      <c r="E15" s="2" t="s">
        <v>360</v>
      </c>
      <c r="F15" s="2" t="s">
        <v>839</v>
      </c>
      <c r="G15" s="2" t="s">
        <v>840</v>
      </c>
      <c r="H15" s="38"/>
      <c r="I15" s="2" t="s">
        <v>823</v>
      </c>
    </row>
    <row r="16" spans="1:9" ht="15" customHeight="1" x14ac:dyDescent="0.2">
      <c r="A16" s="2">
        <v>11</v>
      </c>
      <c r="B16" s="2" t="s">
        <v>815</v>
      </c>
      <c r="C16" s="2" t="s">
        <v>370</v>
      </c>
      <c r="D16" s="40" t="str">
        <f>Inputs!C54</f>
        <v>Jan-27</v>
      </c>
      <c r="E16" s="2" t="s">
        <v>360</v>
      </c>
      <c r="F16" s="2" t="s">
        <v>841</v>
      </c>
      <c r="G16" s="2" t="s">
        <v>842</v>
      </c>
      <c r="H16" s="38"/>
      <c r="I16" s="2" t="s">
        <v>823</v>
      </c>
    </row>
    <row r="17" spans="1:9" ht="15" customHeight="1" x14ac:dyDescent="0.2">
      <c r="A17" s="2">
        <v>12</v>
      </c>
      <c r="B17" s="2" t="s">
        <v>820</v>
      </c>
      <c r="C17" s="2" t="s">
        <v>373</v>
      </c>
      <c r="D17" s="34">
        <f>Inputs!C55</f>
        <v>2</v>
      </c>
      <c r="E17" s="2" t="s">
        <v>253</v>
      </c>
      <c r="F17" s="2" t="s">
        <v>843</v>
      </c>
      <c r="G17" s="2" t="s">
        <v>844</v>
      </c>
      <c r="H17" s="38"/>
      <c r="I17" s="2" t="s">
        <v>823</v>
      </c>
    </row>
    <row r="18" spans="1:9" ht="15" customHeight="1" x14ac:dyDescent="0.2">
      <c r="A18" s="2">
        <v>13</v>
      </c>
      <c r="B18" s="2" t="s">
        <v>828</v>
      </c>
      <c r="C18" s="2" t="s">
        <v>378</v>
      </c>
      <c r="D18" s="37">
        <f>Inputs!C57</f>
        <v>4</v>
      </c>
      <c r="E18" s="2" t="s">
        <v>26</v>
      </c>
      <c r="F18" s="2" t="s">
        <v>845</v>
      </c>
      <c r="G18" s="2" t="s">
        <v>846</v>
      </c>
      <c r="H18" s="38"/>
      <c r="I18" s="2" t="s">
        <v>823</v>
      </c>
    </row>
    <row r="19" spans="1:9" ht="15" customHeight="1" x14ac:dyDescent="0.2">
      <c r="A19" s="2">
        <v>14</v>
      </c>
      <c r="B19" s="2" t="s">
        <v>828</v>
      </c>
      <c r="C19" s="2" t="s">
        <v>381</v>
      </c>
      <c r="D19" s="37">
        <f>Inputs!C58</f>
        <v>12</v>
      </c>
      <c r="E19" s="2" t="s">
        <v>382</v>
      </c>
      <c r="F19" s="2" t="s">
        <v>847</v>
      </c>
      <c r="G19" s="2" t="s">
        <v>848</v>
      </c>
      <c r="H19" s="38"/>
      <c r="I19" s="2" t="s">
        <v>823</v>
      </c>
    </row>
    <row r="20" spans="1:9" ht="15" customHeight="1" x14ac:dyDescent="0.2">
      <c r="A20" s="2">
        <v>15</v>
      </c>
      <c r="B20" s="2" t="s">
        <v>828</v>
      </c>
      <c r="C20" s="2" t="s">
        <v>385</v>
      </c>
      <c r="D20" s="34">
        <f>Inputs!C59</f>
        <v>1.33</v>
      </c>
      <c r="E20" s="2" t="s">
        <v>382</v>
      </c>
      <c r="F20" s="2" t="s">
        <v>849</v>
      </c>
      <c r="G20" s="2" t="s">
        <v>850</v>
      </c>
      <c r="H20" s="38"/>
      <c r="I20" s="2" t="s">
        <v>823</v>
      </c>
    </row>
    <row r="21" spans="1:9" ht="15" customHeight="1" x14ac:dyDescent="0.2">
      <c r="A21" s="2">
        <v>16</v>
      </c>
      <c r="B21" s="2" t="s">
        <v>820</v>
      </c>
      <c r="C21" s="2" t="s">
        <v>389</v>
      </c>
      <c r="D21" s="37">
        <f>Inputs!C61</f>
        <v>1</v>
      </c>
      <c r="E21" s="2" t="s">
        <v>281</v>
      </c>
      <c r="F21" s="2" t="s">
        <v>851</v>
      </c>
      <c r="G21" s="2" t="s">
        <v>852</v>
      </c>
      <c r="H21" s="38"/>
      <c r="I21" s="2" t="s">
        <v>823</v>
      </c>
    </row>
    <row r="22" spans="1:9" ht="15" customHeight="1" x14ac:dyDescent="0.2">
      <c r="A22" s="2">
        <v>17</v>
      </c>
      <c r="B22" s="2" t="s">
        <v>820</v>
      </c>
      <c r="C22" s="2" t="s">
        <v>392</v>
      </c>
      <c r="D22" s="34">
        <f>Inputs!C62</f>
        <v>7.4999999999999997E-2</v>
      </c>
      <c r="E22" s="2" t="s">
        <v>393</v>
      </c>
      <c r="F22" s="2" t="s">
        <v>853</v>
      </c>
      <c r="G22" s="2" t="s">
        <v>854</v>
      </c>
      <c r="H22" s="38"/>
      <c r="I22" s="2" t="s">
        <v>823</v>
      </c>
    </row>
    <row r="23" spans="1:9" ht="15" customHeight="1" x14ac:dyDescent="0.2">
      <c r="A23" s="2">
        <v>18</v>
      </c>
      <c r="B23" s="2" t="s">
        <v>820</v>
      </c>
      <c r="C23" s="2" t="s">
        <v>396</v>
      </c>
      <c r="D23" s="37">
        <f>Inputs!C63</f>
        <v>40</v>
      </c>
      <c r="E23" s="2" t="s">
        <v>43</v>
      </c>
      <c r="F23" s="2" t="s">
        <v>855</v>
      </c>
      <c r="G23" s="2" t="s">
        <v>856</v>
      </c>
      <c r="H23" s="38"/>
      <c r="I23" s="2" t="s">
        <v>823</v>
      </c>
    </row>
    <row r="24" spans="1:9" ht="15" customHeight="1" x14ac:dyDescent="0.2">
      <c r="A24" s="2">
        <v>19</v>
      </c>
      <c r="B24" s="2" t="s">
        <v>820</v>
      </c>
      <c r="C24" s="2" t="s">
        <v>398</v>
      </c>
      <c r="D24" s="37">
        <f>Inputs!C64</f>
        <v>30</v>
      </c>
      <c r="E24" s="2" t="s">
        <v>43</v>
      </c>
      <c r="F24" s="2" t="s">
        <v>855</v>
      </c>
      <c r="G24" s="2" t="s">
        <v>857</v>
      </c>
      <c r="H24" s="38"/>
      <c r="I24" s="2" t="s">
        <v>823</v>
      </c>
    </row>
    <row r="25" spans="1:9" ht="15" customHeight="1" x14ac:dyDescent="0.2">
      <c r="A25" s="2">
        <v>20</v>
      </c>
      <c r="B25" s="2" t="s">
        <v>820</v>
      </c>
      <c r="C25" s="2" t="s">
        <v>400</v>
      </c>
      <c r="D25" s="37">
        <f>Inputs!C65</f>
        <v>40</v>
      </c>
      <c r="E25" s="2" t="s">
        <v>43</v>
      </c>
      <c r="F25" s="2" t="s">
        <v>855</v>
      </c>
      <c r="G25" s="2" t="s">
        <v>858</v>
      </c>
      <c r="H25" s="38"/>
      <c r="I25" s="2" t="s">
        <v>823</v>
      </c>
    </row>
    <row r="26" spans="1:9" ht="15" customHeight="1" x14ac:dyDescent="0.2">
      <c r="A26" s="2">
        <v>21</v>
      </c>
      <c r="B26" s="2" t="s">
        <v>820</v>
      </c>
      <c r="C26" s="2" t="s">
        <v>402</v>
      </c>
      <c r="D26" s="37">
        <f>Inputs!C66</f>
        <v>50</v>
      </c>
      <c r="E26" s="2" t="s">
        <v>43</v>
      </c>
      <c r="F26" s="2" t="s">
        <v>855</v>
      </c>
      <c r="G26" s="2" t="s">
        <v>859</v>
      </c>
      <c r="H26" s="38"/>
      <c r="I26" s="2" t="s">
        <v>823</v>
      </c>
    </row>
    <row r="27" spans="1:9" ht="15" customHeight="1" x14ac:dyDescent="0.2">
      <c r="A27" s="2">
        <v>22</v>
      </c>
      <c r="B27" s="2" t="s">
        <v>820</v>
      </c>
      <c r="C27" s="2" t="s">
        <v>404</v>
      </c>
      <c r="D27" s="34">
        <f>Inputs!C67</f>
        <v>0.05</v>
      </c>
      <c r="E27" s="2" t="s">
        <v>405</v>
      </c>
      <c r="F27" s="2" t="s">
        <v>860</v>
      </c>
      <c r="G27" s="2" t="s">
        <v>861</v>
      </c>
      <c r="H27" s="38"/>
      <c r="I27" s="2" t="s">
        <v>823</v>
      </c>
    </row>
    <row r="28" spans="1:9" ht="15" customHeight="1" x14ac:dyDescent="0.2">
      <c r="A28" s="2">
        <v>23</v>
      </c>
      <c r="B28" s="2" t="s">
        <v>820</v>
      </c>
      <c r="C28" s="2" t="s">
        <v>408</v>
      </c>
      <c r="D28" s="37">
        <f>Inputs!C68</f>
        <v>10</v>
      </c>
      <c r="E28" s="2" t="s">
        <v>191</v>
      </c>
      <c r="F28" s="2" t="s">
        <v>862</v>
      </c>
      <c r="G28" s="2" t="s">
        <v>863</v>
      </c>
      <c r="H28" s="38"/>
      <c r="I28" s="2" t="s">
        <v>823</v>
      </c>
    </row>
    <row r="29" spans="1:9" ht="15" customHeight="1" x14ac:dyDescent="0.2">
      <c r="A29" s="2">
        <v>24</v>
      </c>
      <c r="B29" s="2" t="s">
        <v>820</v>
      </c>
      <c r="C29" s="2" t="s">
        <v>411</v>
      </c>
      <c r="D29" s="37">
        <f>Inputs!C70</f>
        <v>4</v>
      </c>
      <c r="E29" s="2" t="s">
        <v>189</v>
      </c>
      <c r="F29" s="2" t="s">
        <v>864</v>
      </c>
      <c r="G29" s="2" t="s">
        <v>865</v>
      </c>
      <c r="H29" s="38"/>
      <c r="I29" s="2" t="s">
        <v>823</v>
      </c>
    </row>
    <row r="30" spans="1:9" ht="15" customHeight="1" x14ac:dyDescent="0.2">
      <c r="A30" s="2">
        <v>25</v>
      </c>
      <c r="B30" s="2" t="s">
        <v>866</v>
      </c>
      <c r="C30" s="2" t="s">
        <v>418</v>
      </c>
      <c r="D30" s="39">
        <f>Inputs!C73</f>
        <v>0.6</v>
      </c>
      <c r="E30" s="2" t="s">
        <v>21</v>
      </c>
      <c r="F30" s="2" t="s">
        <v>867</v>
      </c>
      <c r="G30" s="2" t="s">
        <v>868</v>
      </c>
      <c r="H30" s="38"/>
      <c r="I30" s="2" t="s">
        <v>823</v>
      </c>
    </row>
    <row r="31" spans="1:9" ht="15" customHeight="1" x14ac:dyDescent="0.2">
      <c r="A31" s="2">
        <v>26</v>
      </c>
      <c r="B31" s="2" t="s">
        <v>866</v>
      </c>
      <c r="C31" s="2" t="s">
        <v>421</v>
      </c>
      <c r="D31" s="39">
        <f>Inputs!C74</f>
        <v>0.3</v>
      </c>
      <c r="E31" s="2" t="s">
        <v>21</v>
      </c>
      <c r="F31" s="2" t="s">
        <v>867</v>
      </c>
      <c r="G31" s="2" t="s">
        <v>869</v>
      </c>
      <c r="H31" s="38"/>
      <c r="I31" s="2" t="s">
        <v>823</v>
      </c>
    </row>
    <row r="32" spans="1:9" ht="15" customHeight="1" x14ac:dyDescent="0.2">
      <c r="A32" s="2">
        <v>27</v>
      </c>
      <c r="B32" s="2" t="s">
        <v>866</v>
      </c>
      <c r="C32" s="2" t="s">
        <v>424</v>
      </c>
      <c r="D32" s="39">
        <f>Inputs!C75</f>
        <v>0.1</v>
      </c>
      <c r="E32" s="2" t="s">
        <v>21</v>
      </c>
      <c r="F32" s="2" t="s">
        <v>867</v>
      </c>
      <c r="G32" s="2" t="s">
        <v>870</v>
      </c>
      <c r="H32" s="38"/>
      <c r="I32" s="2" t="s">
        <v>823</v>
      </c>
    </row>
    <row r="33" spans="1:9" ht="15" customHeight="1" x14ac:dyDescent="0.2">
      <c r="A33" s="2">
        <v>28</v>
      </c>
      <c r="B33" s="2" t="s">
        <v>866</v>
      </c>
      <c r="C33" s="2" t="s">
        <v>426</v>
      </c>
      <c r="D33" s="39">
        <f>Inputs!C76</f>
        <v>0.8</v>
      </c>
      <c r="E33" s="2" t="s">
        <v>21</v>
      </c>
      <c r="F33" s="2" t="s">
        <v>871</v>
      </c>
      <c r="G33" s="2" t="s">
        <v>872</v>
      </c>
      <c r="H33" s="38"/>
      <c r="I33" s="2" t="s">
        <v>823</v>
      </c>
    </row>
    <row r="34" spans="1:9" ht="15" customHeight="1" x14ac:dyDescent="0.2">
      <c r="A34" s="2">
        <v>29</v>
      </c>
      <c r="B34" s="2" t="s">
        <v>866</v>
      </c>
      <c r="C34" s="2" t="s">
        <v>429</v>
      </c>
      <c r="D34" s="39">
        <f>Inputs!C77</f>
        <v>0.2</v>
      </c>
      <c r="E34" s="2" t="s">
        <v>21</v>
      </c>
      <c r="F34" s="2" t="s">
        <v>873</v>
      </c>
      <c r="G34" s="2" t="s">
        <v>874</v>
      </c>
      <c r="H34" s="38"/>
      <c r="I34" s="2" t="s">
        <v>823</v>
      </c>
    </row>
    <row r="35" spans="1:9" ht="15" customHeight="1" x14ac:dyDescent="0.2">
      <c r="A35" s="2">
        <v>30</v>
      </c>
      <c r="B35" s="2" t="s">
        <v>866</v>
      </c>
      <c r="C35" s="2" t="s">
        <v>432</v>
      </c>
      <c r="D35" s="39">
        <f>Inputs!C78</f>
        <v>0.5</v>
      </c>
      <c r="E35" s="2" t="s">
        <v>21</v>
      </c>
      <c r="F35" s="2" t="s">
        <v>873</v>
      </c>
      <c r="G35" s="2" t="s">
        <v>875</v>
      </c>
      <c r="H35" s="38"/>
      <c r="I35" s="2" t="s">
        <v>823</v>
      </c>
    </row>
    <row r="36" spans="1:9" ht="15" customHeight="1" x14ac:dyDescent="0.2">
      <c r="A36" s="2">
        <v>31</v>
      </c>
      <c r="B36" s="2" t="s">
        <v>866</v>
      </c>
      <c r="C36" s="2" t="s">
        <v>434</v>
      </c>
      <c r="D36" s="39">
        <f>Inputs!C79</f>
        <v>0.3</v>
      </c>
      <c r="E36" s="2" t="s">
        <v>21</v>
      </c>
      <c r="F36" s="2" t="s">
        <v>873</v>
      </c>
      <c r="G36" s="2" t="s">
        <v>876</v>
      </c>
      <c r="H36" s="38"/>
      <c r="I36" s="2" t="s">
        <v>823</v>
      </c>
    </row>
    <row r="37" spans="1:9" ht="15" customHeight="1" x14ac:dyDescent="0.2">
      <c r="A37" s="2">
        <v>32</v>
      </c>
      <c r="B37" s="2" t="s">
        <v>866</v>
      </c>
      <c r="C37" s="2" t="s">
        <v>436</v>
      </c>
      <c r="D37" s="39">
        <f>Inputs!C80</f>
        <v>5.0000000000000001E-3</v>
      </c>
      <c r="E37" s="2" t="s">
        <v>437</v>
      </c>
      <c r="F37" s="2" t="s">
        <v>877</v>
      </c>
      <c r="G37" s="2" t="s">
        <v>878</v>
      </c>
      <c r="H37" s="38"/>
      <c r="I37" s="2" t="s">
        <v>823</v>
      </c>
    </row>
    <row r="38" spans="1:9" ht="15" customHeight="1" x14ac:dyDescent="0.2">
      <c r="A38" s="2">
        <v>33</v>
      </c>
      <c r="B38" s="2" t="s">
        <v>879</v>
      </c>
      <c r="C38" s="2" t="s">
        <v>441</v>
      </c>
      <c r="D38" s="39">
        <f>Inputs!C82</f>
        <v>0.15</v>
      </c>
      <c r="E38" s="2" t="s">
        <v>21</v>
      </c>
      <c r="F38" s="2" t="s">
        <v>880</v>
      </c>
      <c r="G38" s="2" t="s">
        <v>881</v>
      </c>
      <c r="H38" s="38"/>
      <c r="I38" s="2" t="s">
        <v>823</v>
      </c>
    </row>
    <row r="39" spans="1:9" ht="15" customHeight="1" x14ac:dyDescent="0.2">
      <c r="A39" s="2">
        <v>34</v>
      </c>
      <c r="B39" s="2" t="s">
        <v>879</v>
      </c>
      <c r="C39" s="2" t="s">
        <v>444</v>
      </c>
      <c r="D39" s="39">
        <f>Inputs!C83</f>
        <v>0.85</v>
      </c>
      <c r="E39" s="2" t="s">
        <v>21</v>
      </c>
      <c r="F39" s="2" t="s">
        <v>882</v>
      </c>
      <c r="G39" s="2" t="s">
        <v>883</v>
      </c>
      <c r="H39" s="38"/>
      <c r="I39" s="2" t="s">
        <v>823</v>
      </c>
    </row>
    <row r="40" spans="1:9" ht="15" customHeight="1" x14ac:dyDescent="0.2">
      <c r="A40" s="2">
        <v>35</v>
      </c>
      <c r="B40" s="2" t="s">
        <v>884</v>
      </c>
      <c r="C40" s="2" t="s">
        <v>451</v>
      </c>
      <c r="D40" s="40" t="str">
        <f>Inputs!C86</f>
        <v>Jan-27</v>
      </c>
      <c r="E40" s="2" t="s">
        <v>360</v>
      </c>
      <c r="F40" s="2" t="s">
        <v>885</v>
      </c>
      <c r="G40" s="2" t="s">
        <v>886</v>
      </c>
      <c r="H40" s="38"/>
      <c r="I40" s="2" t="s">
        <v>823</v>
      </c>
    </row>
    <row r="41" spans="1:9" ht="15" customHeight="1" x14ac:dyDescent="0.2">
      <c r="A41" s="2">
        <v>36</v>
      </c>
      <c r="B41" s="2" t="s">
        <v>884</v>
      </c>
      <c r="C41" s="2" t="s">
        <v>454</v>
      </c>
      <c r="D41" s="34">
        <f>Inputs!C87</f>
        <v>94</v>
      </c>
      <c r="E41" s="2" t="s">
        <v>455</v>
      </c>
      <c r="F41" s="2" t="s">
        <v>887</v>
      </c>
      <c r="G41" s="2" t="s">
        <v>888</v>
      </c>
      <c r="H41" s="38"/>
      <c r="I41" s="2" t="s">
        <v>823</v>
      </c>
    </row>
    <row r="42" spans="1:9" ht="15" customHeight="1" x14ac:dyDescent="0.2">
      <c r="A42" s="2">
        <v>37</v>
      </c>
      <c r="B42" s="2" t="s">
        <v>884</v>
      </c>
      <c r="C42" s="2" t="s">
        <v>458</v>
      </c>
      <c r="D42" s="34">
        <f>Inputs!C88</f>
        <v>24</v>
      </c>
      <c r="E42" s="2" t="s">
        <v>245</v>
      </c>
      <c r="F42" s="2" t="s">
        <v>889</v>
      </c>
      <c r="G42" s="2" t="s">
        <v>890</v>
      </c>
      <c r="H42" s="38"/>
      <c r="I42" s="2" t="s">
        <v>823</v>
      </c>
    </row>
    <row r="43" spans="1:9" ht="15" customHeight="1" x14ac:dyDescent="0.2">
      <c r="A43" s="2">
        <v>38</v>
      </c>
      <c r="B43" s="2" t="s">
        <v>884</v>
      </c>
      <c r="C43" s="2" t="s">
        <v>461</v>
      </c>
      <c r="D43" s="34">
        <f>Inputs!C89</f>
        <v>45</v>
      </c>
      <c r="E43" s="2" t="s">
        <v>462</v>
      </c>
      <c r="F43" s="2" t="s">
        <v>891</v>
      </c>
      <c r="G43" s="2" t="s">
        <v>892</v>
      </c>
      <c r="H43" s="38"/>
      <c r="I43" s="2" t="s">
        <v>823</v>
      </c>
    </row>
    <row r="44" spans="1:9" ht="15" customHeight="1" x14ac:dyDescent="0.2">
      <c r="A44" s="2">
        <v>39</v>
      </c>
      <c r="B44" s="2" t="s">
        <v>884</v>
      </c>
      <c r="C44" s="2" t="s">
        <v>465</v>
      </c>
      <c r="D44" s="34">
        <f>Inputs!C90</f>
        <v>55</v>
      </c>
      <c r="E44" s="2" t="s">
        <v>462</v>
      </c>
      <c r="F44" s="2" t="s">
        <v>893</v>
      </c>
      <c r="G44" s="2" t="s">
        <v>894</v>
      </c>
      <c r="H44" s="38"/>
      <c r="I44" s="2" t="s">
        <v>823</v>
      </c>
    </row>
    <row r="45" spans="1:9" ht="15" customHeight="1" x14ac:dyDescent="0.2">
      <c r="A45" s="2">
        <v>40</v>
      </c>
      <c r="B45" s="2" t="s">
        <v>884</v>
      </c>
      <c r="C45" s="2" t="s">
        <v>468</v>
      </c>
      <c r="D45" s="39">
        <f>Inputs!C91</f>
        <v>0.25</v>
      </c>
      <c r="E45" s="2" t="s">
        <v>21</v>
      </c>
      <c r="F45" s="2" t="s">
        <v>895</v>
      </c>
      <c r="G45" s="2" t="s">
        <v>896</v>
      </c>
      <c r="H45" s="38"/>
      <c r="I45" s="2" t="s">
        <v>823</v>
      </c>
    </row>
    <row r="46" spans="1:9" ht="15" customHeight="1" x14ac:dyDescent="0.2">
      <c r="A46" s="2">
        <v>41</v>
      </c>
      <c r="B46" s="2" t="s">
        <v>884</v>
      </c>
      <c r="C46" s="2" t="s">
        <v>471</v>
      </c>
      <c r="D46" s="34">
        <f>Inputs!C92</f>
        <v>0.15</v>
      </c>
      <c r="E46" s="2" t="s">
        <v>286</v>
      </c>
      <c r="F46" s="2" t="s">
        <v>897</v>
      </c>
      <c r="G46" s="2" t="s">
        <v>898</v>
      </c>
      <c r="H46" s="38"/>
      <c r="I46" s="2" t="s">
        <v>823</v>
      </c>
    </row>
    <row r="47" spans="1:9" ht="15" customHeight="1" x14ac:dyDescent="0.2">
      <c r="A47" s="2">
        <v>42</v>
      </c>
      <c r="B47" s="2" t="s">
        <v>884</v>
      </c>
      <c r="C47" s="2" t="s">
        <v>479</v>
      </c>
      <c r="D47" s="37">
        <f>Inputs!C95</f>
        <v>1</v>
      </c>
      <c r="E47" s="2" t="s">
        <v>281</v>
      </c>
      <c r="F47" s="2" t="s">
        <v>899</v>
      </c>
      <c r="G47" s="2" t="s">
        <v>900</v>
      </c>
      <c r="H47" s="38"/>
      <c r="I47" s="2" t="s">
        <v>823</v>
      </c>
    </row>
    <row r="48" spans="1:9" ht="15" customHeight="1" x14ac:dyDescent="0.2">
      <c r="A48" s="2">
        <v>43</v>
      </c>
      <c r="B48" s="2" t="s">
        <v>884</v>
      </c>
      <c r="C48" s="2" t="s">
        <v>485</v>
      </c>
      <c r="D48" s="39">
        <f>Inputs!C97</f>
        <v>0.3</v>
      </c>
      <c r="E48" s="2" t="s">
        <v>21</v>
      </c>
      <c r="F48" s="2" t="s">
        <v>901</v>
      </c>
      <c r="G48" s="2" t="s">
        <v>902</v>
      </c>
      <c r="H48" s="38"/>
      <c r="I48" s="2" t="s">
        <v>823</v>
      </c>
    </row>
    <row r="49" spans="1:9" ht="15" customHeight="1" x14ac:dyDescent="0.2">
      <c r="A49" s="2">
        <v>44</v>
      </c>
      <c r="B49" s="2" t="s">
        <v>884</v>
      </c>
      <c r="C49" s="2" t="s">
        <v>488</v>
      </c>
      <c r="D49" s="39">
        <f>Inputs!C98</f>
        <v>1</v>
      </c>
      <c r="E49" s="2" t="s">
        <v>21</v>
      </c>
      <c r="F49" s="2" t="s">
        <v>903</v>
      </c>
      <c r="G49" s="2" t="s">
        <v>904</v>
      </c>
      <c r="H49" s="38"/>
      <c r="I49" s="2" t="s">
        <v>823</v>
      </c>
    </row>
    <row r="50" spans="1:9" ht="15" customHeight="1" x14ac:dyDescent="0.2">
      <c r="A50" s="2">
        <v>45</v>
      </c>
      <c r="B50" s="2" t="s">
        <v>866</v>
      </c>
      <c r="C50" s="2" t="s">
        <v>905</v>
      </c>
      <c r="D50" s="2" t="s">
        <v>906</v>
      </c>
      <c r="E50" s="2"/>
      <c r="F50" s="2" t="s">
        <v>907</v>
      </c>
      <c r="G50" s="2" t="s">
        <v>908</v>
      </c>
      <c r="H50" s="38"/>
      <c r="I50" s="2" t="s">
        <v>823</v>
      </c>
    </row>
    <row r="51" spans="1:9" ht="15" customHeight="1" x14ac:dyDescent="0.2">
      <c r="A51" s="2">
        <v>46</v>
      </c>
      <c r="B51" s="2" t="s">
        <v>909</v>
      </c>
      <c r="C51" s="2" t="s">
        <v>910</v>
      </c>
      <c r="D51" s="2" t="s">
        <v>911</v>
      </c>
      <c r="E51" s="2"/>
      <c r="F51" s="2" t="s">
        <v>912</v>
      </c>
      <c r="G51" s="2" t="s">
        <v>913</v>
      </c>
      <c r="H51" s="38"/>
      <c r="I51" s="2" t="s">
        <v>823</v>
      </c>
    </row>
    <row r="52" spans="1:9" ht="15" customHeight="1" x14ac:dyDescent="0.2">
      <c r="A52" s="2">
        <v>47</v>
      </c>
      <c r="B52" s="2" t="s">
        <v>909</v>
      </c>
      <c r="C52" s="2" t="s">
        <v>914</v>
      </c>
      <c r="D52" s="2" t="s">
        <v>915</v>
      </c>
      <c r="E52" s="2"/>
      <c r="F52" s="2" t="s">
        <v>916</v>
      </c>
      <c r="G52" s="2" t="s">
        <v>917</v>
      </c>
      <c r="H52" s="38"/>
      <c r="I52" s="2" t="s">
        <v>823</v>
      </c>
    </row>
    <row r="53" spans="1:9" ht="15" customHeight="1" x14ac:dyDescent="0.2">
      <c r="A53" s="2">
        <v>48</v>
      </c>
      <c r="B53" s="2" t="s">
        <v>884</v>
      </c>
      <c r="C53" s="2" t="s">
        <v>918</v>
      </c>
      <c r="D53" s="2" t="s">
        <v>919</v>
      </c>
      <c r="E53" s="2"/>
      <c r="F53" s="2" t="s">
        <v>920</v>
      </c>
      <c r="G53" s="2" t="s">
        <v>921</v>
      </c>
      <c r="H53" s="38"/>
      <c r="I53" s="2" t="s">
        <v>823</v>
      </c>
    </row>
    <row r="54" spans="1:9" ht="15" customHeight="1" x14ac:dyDescent="0.2">
      <c r="A54" s="2">
        <v>49</v>
      </c>
      <c r="B54" s="2" t="s">
        <v>884</v>
      </c>
      <c r="C54" s="2" t="s">
        <v>922</v>
      </c>
      <c r="D54" s="2" t="s">
        <v>923</v>
      </c>
      <c r="E54" s="2"/>
      <c r="F54" s="2" t="s">
        <v>924</v>
      </c>
      <c r="G54" s="2" t="s">
        <v>925</v>
      </c>
      <c r="H54" s="38"/>
      <c r="I54" s="2" t="s">
        <v>823</v>
      </c>
    </row>
    <row r="55" spans="1:9" ht="15" customHeight="1" x14ac:dyDescent="0.2">
      <c r="A55" s="2">
        <v>50</v>
      </c>
      <c r="B55" s="2" t="s">
        <v>909</v>
      </c>
      <c r="C55" s="2" t="s">
        <v>926</v>
      </c>
      <c r="D55" s="2" t="s">
        <v>927</v>
      </c>
      <c r="E55" s="2"/>
      <c r="F55" s="2" t="s">
        <v>928</v>
      </c>
      <c r="G55" s="2" t="s">
        <v>913</v>
      </c>
      <c r="H55" s="38"/>
      <c r="I55" s="2" t="s">
        <v>823</v>
      </c>
    </row>
    <row r="56" spans="1:9" x14ac:dyDescent="0.2">
      <c r="A56" s="2">
        <v>51</v>
      </c>
      <c r="B56" s="2" t="s">
        <v>929</v>
      </c>
      <c r="C56" s="2" t="s">
        <v>495</v>
      </c>
      <c r="D56" s="2" t="str">
        <f>Inputs!C102</f>
        <v>Mar-27</v>
      </c>
      <c r="E56" s="2"/>
      <c r="F56" s="2" t="s">
        <v>930</v>
      </c>
      <c r="G56" s="2" t="s">
        <v>931</v>
      </c>
      <c r="H56" s="38"/>
      <c r="I56" s="2" t="s">
        <v>823</v>
      </c>
    </row>
    <row r="57" spans="1:9" x14ac:dyDescent="0.2">
      <c r="A57" s="2">
        <v>52</v>
      </c>
      <c r="B57" s="2" t="s">
        <v>932</v>
      </c>
      <c r="C57" s="2" t="s">
        <v>506</v>
      </c>
      <c r="D57" s="2">
        <f>Inputs!C106</f>
        <v>0.18</v>
      </c>
      <c r="E57" s="2"/>
      <c r="F57" s="2" t="s">
        <v>933</v>
      </c>
      <c r="G57" s="2" t="s">
        <v>934</v>
      </c>
      <c r="H57" s="38"/>
      <c r="I57" s="2" t="s">
        <v>823</v>
      </c>
    </row>
    <row r="58" spans="1:9" x14ac:dyDescent="0.2">
      <c r="A58" s="2">
        <v>53</v>
      </c>
      <c r="B58" s="2" t="s">
        <v>932</v>
      </c>
      <c r="C58" s="2" t="s">
        <v>935</v>
      </c>
      <c r="D58" s="2">
        <f>Inputs!C124</f>
        <v>6</v>
      </c>
      <c r="E58" s="2"/>
      <c r="F58" s="2" t="s">
        <v>936</v>
      </c>
      <c r="G58" s="2" t="s">
        <v>937</v>
      </c>
      <c r="H58" s="38"/>
      <c r="I58" s="2" t="s">
        <v>823</v>
      </c>
    </row>
    <row r="59" spans="1:9" x14ac:dyDescent="0.2">
      <c r="A59" s="2">
        <v>54</v>
      </c>
      <c r="B59" s="2" t="s">
        <v>938</v>
      </c>
      <c r="C59" s="2" t="s">
        <v>939</v>
      </c>
      <c r="D59" s="2" t="str">
        <f>Inputs!C107</f>
        <v>Feb-27</v>
      </c>
      <c r="E59" s="2"/>
      <c r="F59" s="2" t="s">
        <v>940</v>
      </c>
      <c r="G59" s="2" t="s">
        <v>941</v>
      </c>
      <c r="H59" s="38"/>
      <c r="I59" s="2" t="s">
        <v>823</v>
      </c>
    </row>
    <row r="60" spans="1:9" x14ac:dyDescent="0.2">
      <c r="A60" s="2">
        <v>55</v>
      </c>
      <c r="B60" s="2" t="s">
        <v>938</v>
      </c>
      <c r="C60" s="2" t="s">
        <v>942</v>
      </c>
      <c r="D60" s="2">
        <f>Inputs!C109</f>
        <v>8</v>
      </c>
      <c r="E60" s="2"/>
      <c r="F60" s="2" t="s">
        <v>943</v>
      </c>
      <c r="G60" s="2" t="s">
        <v>944</v>
      </c>
      <c r="H60" s="38"/>
      <c r="I60" s="2" t="s">
        <v>823</v>
      </c>
    </row>
    <row r="61" spans="1:9" x14ac:dyDescent="0.2">
      <c r="A61" s="2">
        <v>56</v>
      </c>
      <c r="B61" s="2" t="s">
        <v>938</v>
      </c>
      <c r="C61" s="2" t="s">
        <v>945</v>
      </c>
      <c r="D61" s="2">
        <f>Inputs!C112</f>
        <v>1</v>
      </c>
      <c r="E61" s="2"/>
      <c r="F61" s="2" t="s">
        <v>946</v>
      </c>
      <c r="G61" s="2" t="s">
        <v>947</v>
      </c>
      <c r="H61" s="38"/>
      <c r="I61" s="2" t="s">
        <v>823</v>
      </c>
    </row>
    <row r="62" spans="1:9" x14ac:dyDescent="0.2">
      <c r="A62" s="2">
        <v>57</v>
      </c>
      <c r="B62" s="2" t="s">
        <v>948</v>
      </c>
      <c r="C62" s="2" t="s">
        <v>949</v>
      </c>
      <c r="D62" s="2">
        <f>Inputs!C114</f>
        <v>2</v>
      </c>
      <c r="E62" s="2"/>
      <c r="F62" s="2" t="s">
        <v>950</v>
      </c>
      <c r="G62" s="2" t="s">
        <v>951</v>
      </c>
      <c r="H62" s="38"/>
      <c r="I62" s="2" t="s">
        <v>823</v>
      </c>
    </row>
    <row r="63" spans="1:9" x14ac:dyDescent="0.2">
      <c r="A63" s="2">
        <v>58</v>
      </c>
      <c r="B63" s="2" t="s">
        <v>948</v>
      </c>
      <c r="C63" s="2" t="s">
        <v>952</v>
      </c>
      <c r="D63" s="2">
        <f>Roadmap!B8</f>
        <v>14</v>
      </c>
      <c r="E63" s="2"/>
      <c r="F63" s="2" t="s">
        <v>953</v>
      </c>
      <c r="G63" s="2" t="s">
        <v>954</v>
      </c>
      <c r="H63" s="38"/>
      <c r="I63" s="2" t="s">
        <v>823</v>
      </c>
    </row>
    <row r="64" spans="1:9" x14ac:dyDescent="0.2">
      <c r="A64" s="2">
        <v>59</v>
      </c>
      <c r="B64" s="2" t="s">
        <v>948</v>
      </c>
      <c r="C64" s="2" t="s">
        <v>955</v>
      </c>
      <c r="D64" s="2">
        <f>Inputs!C117</f>
        <v>0</v>
      </c>
      <c r="E64" s="2"/>
      <c r="F64" s="2" t="s">
        <v>956</v>
      </c>
      <c r="G64" s="2" t="s">
        <v>957</v>
      </c>
      <c r="H64" s="38"/>
      <c r="I64" s="2" t="s">
        <v>823</v>
      </c>
    </row>
    <row r="65" spans="1:9" x14ac:dyDescent="0.2">
      <c r="A65" s="2">
        <v>60</v>
      </c>
      <c r="B65" s="2" t="s">
        <v>958</v>
      </c>
      <c r="C65" s="2" t="s">
        <v>959</v>
      </c>
      <c r="D65" s="2">
        <f>B2C!C6</f>
        <v>0.15</v>
      </c>
      <c r="E65" s="2"/>
      <c r="F65" s="2" t="s">
        <v>960</v>
      </c>
      <c r="G65" s="2" t="s">
        <v>961</v>
      </c>
      <c r="H65" s="38"/>
      <c r="I65" s="2" t="s">
        <v>823</v>
      </c>
    </row>
    <row r="66" spans="1:9" x14ac:dyDescent="0.2">
      <c r="A66" s="2">
        <v>61</v>
      </c>
      <c r="B66" s="2" t="s">
        <v>958</v>
      </c>
      <c r="C66" s="2" t="s">
        <v>962</v>
      </c>
      <c r="D66" s="2">
        <f>B2C!C10</f>
        <v>3439</v>
      </c>
      <c r="E66" s="2"/>
      <c r="F66" s="2" t="s">
        <v>963</v>
      </c>
      <c r="G66" s="2" t="s">
        <v>964</v>
      </c>
      <c r="H66" s="38"/>
      <c r="I66" s="2" t="s">
        <v>823</v>
      </c>
    </row>
  </sheetData>
  <mergeCells count="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Outlook</vt:lpstr>
      <vt:lpstr>Roadmap</vt:lpstr>
      <vt:lpstr>B2C</vt:lpstr>
      <vt:lpstr>Inputs</vt:lpstr>
      <vt:lpstr>Pay_Plan</vt:lpstr>
      <vt:lpstr>Volume</vt:lpstr>
      <vt:lpstr>Unit_Economics</vt:lpstr>
      <vt:lpstr>Rate_Card</vt:lpstr>
      <vt:lpstr>Capacity_OPEX</vt:lpstr>
      <vt:lpstr>PnL</vt:lpstr>
      <vt:lpstr>CashFlow</vt:lpstr>
      <vt:lpstr>To_Fill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Galih Muji Agung</cp:lastModifiedBy>
  <cp:revision>0</cp:revision>
  <dcterms:created xsi:type="dcterms:W3CDTF">2026-10-04T15:16:12Z</dcterms:created>
  <dcterms:modified xsi:type="dcterms:W3CDTF">2026-10-05T09:06:40Z</dcterms:modified>
  <dc:language>en-US</dc:language>
</cp:coreProperties>
</file>