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galihmujiagung/Documents/GitHub/core-itera/financial-estimations/SPKnProposalAnalysis/BI Sibolga/"/>
    </mc:Choice>
  </mc:AlternateContent>
  <xr:revisionPtr revIDLastSave="0" documentId="13_ncr:1_{6EB00E3E-CA1F-024D-B976-531D4815A7B1}" xr6:coauthVersionLast="47" xr6:coauthVersionMax="47" xr10:uidLastSave="{00000000-0000-0000-0000-000000000000}"/>
  <bookViews>
    <workbookView xWindow="0" yWindow="0" windowWidth="34200" windowHeight="22240" xr2:uid="{00000000-000D-0000-FFFF-FFFF00000000}"/>
  </bookViews>
  <sheets>
    <sheet name="Ringkasan" sheetId="1" r:id="rId1"/>
    <sheet name="Assumptions" sheetId="2" r:id="rId2"/>
    <sheet name="Sapa" sheetId="3" r:id="rId3"/>
    <sheet name="Tumbuh" sheetId="4" r:id="rId4"/>
    <sheet name="Seperjalanan" sheetId="5" r:id="rId5"/>
    <sheet name="Berbagi" sheetId="6" r:id="rId6"/>
    <sheet name="Penyuluh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7" l="1"/>
  <c r="B39" i="7"/>
  <c r="E35" i="7"/>
  <c r="B35" i="7"/>
  <c r="B33" i="7"/>
  <c r="E22" i="7"/>
  <c r="F22" i="7" s="1"/>
  <c r="E21" i="7"/>
  <c r="F21" i="7" s="1"/>
  <c r="E20" i="7"/>
  <c r="D20" i="7"/>
  <c r="F20" i="7" s="1"/>
  <c r="E19" i="7"/>
  <c r="D19" i="7"/>
  <c r="F19" i="7" s="1"/>
  <c r="E18" i="7"/>
  <c r="D18" i="7"/>
  <c r="F18" i="7" s="1"/>
  <c r="E17" i="7"/>
  <c r="D17" i="7"/>
  <c r="F17" i="7" s="1"/>
  <c r="E36" i="7" s="1"/>
  <c r="E16" i="7"/>
  <c r="D16" i="7"/>
  <c r="F16" i="7" s="1"/>
  <c r="E15" i="7"/>
  <c r="E14" i="7"/>
  <c r="D14" i="7"/>
  <c r="F14" i="7" s="1"/>
  <c r="E13" i="7"/>
  <c r="D13" i="7"/>
  <c r="F13" i="7" s="1"/>
  <c r="E10" i="7"/>
  <c r="B50" i="7" s="1"/>
  <c r="B10" i="7"/>
  <c r="B9" i="7"/>
  <c r="E7" i="7"/>
  <c r="E4" i="7"/>
  <c r="E5" i="7" s="1"/>
  <c r="E6" i="7" s="1"/>
  <c r="B47" i="6"/>
  <c r="C46" i="6"/>
  <c r="B39" i="6"/>
  <c r="E36" i="6"/>
  <c r="B36" i="6"/>
  <c r="B35" i="6"/>
  <c r="B33" i="6"/>
  <c r="E22" i="6"/>
  <c r="F22" i="6" s="1"/>
  <c r="E21" i="6"/>
  <c r="F21" i="6" s="1"/>
  <c r="E20" i="6"/>
  <c r="D20" i="6"/>
  <c r="F20" i="6" s="1"/>
  <c r="E19" i="6"/>
  <c r="D19" i="6"/>
  <c r="F19" i="6" s="1"/>
  <c r="E18" i="6"/>
  <c r="D18" i="6"/>
  <c r="F18" i="6" s="1"/>
  <c r="E17" i="6"/>
  <c r="D17" i="6"/>
  <c r="F17" i="6" s="1"/>
  <c r="E35" i="6" s="1"/>
  <c r="E16" i="6"/>
  <c r="D16" i="6"/>
  <c r="F16" i="6" s="1"/>
  <c r="E15" i="6"/>
  <c r="E14" i="6"/>
  <c r="D14" i="6"/>
  <c r="F14" i="6" s="1"/>
  <c r="E13" i="6"/>
  <c r="D13" i="6"/>
  <c r="F13" i="6" s="1"/>
  <c r="B10" i="6"/>
  <c r="E7" i="6"/>
  <c r="E4" i="6"/>
  <c r="E5" i="6" s="1"/>
  <c r="E6" i="6" s="1"/>
  <c r="B50" i="5"/>
  <c r="B47" i="5"/>
  <c r="B39" i="5"/>
  <c r="B36" i="5"/>
  <c r="B35" i="5"/>
  <c r="B33" i="5"/>
  <c r="E22" i="5"/>
  <c r="F22" i="5" s="1"/>
  <c r="E21" i="5"/>
  <c r="F21" i="5" s="1"/>
  <c r="E20" i="5"/>
  <c r="D20" i="5"/>
  <c r="F20" i="5" s="1"/>
  <c r="E19" i="5"/>
  <c r="D19" i="5"/>
  <c r="F19" i="5" s="1"/>
  <c r="E18" i="5"/>
  <c r="D18" i="5"/>
  <c r="F18" i="5" s="1"/>
  <c r="E17" i="5"/>
  <c r="D17" i="5"/>
  <c r="F17" i="5" s="1"/>
  <c r="E16" i="5"/>
  <c r="D16" i="5"/>
  <c r="F16" i="5" s="1"/>
  <c r="E15" i="5"/>
  <c r="E14" i="5"/>
  <c r="D14" i="5"/>
  <c r="F14" i="5" s="1"/>
  <c r="E13" i="5"/>
  <c r="D13" i="5"/>
  <c r="F13" i="5" s="1"/>
  <c r="B10" i="5"/>
  <c r="E9" i="5"/>
  <c r="E10" i="5" s="1"/>
  <c r="E7" i="5"/>
  <c r="B44" i="4"/>
  <c r="B36" i="4"/>
  <c r="B33" i="4"/>
  <c r="B32" i="4"/>
  <c r="B30" i="4"/>
  <c r="E19" i="4"/>
  <c r="F19" i="4" s="1"/>
  <c r="E18" i="4"/>
  <c r="F18" i="4" s="1"/>
  <c r="E17" i="4"/>
  <c r="D17" i="4"/>
  <c r="F17" i="4" s="1"/>
  <c r="E16" i="4"/>
  <c r="D16" i="4"/>
  <c r="F16" i="4" s="1"/>
  <c r="E15" i="4"/>
  <c r="E14" i="4"/>
  <c r="D14" i="4"/>
  <c r="F14" i="4" s="1"/>
  <c r="E13" i="4"/>
  <c r="D13" i="4"/>
  <c r="F13" i="4" s="1"/>
  <c r="B10" i="4"/>
  <c r="E7" i="4"/>
  <c r="E4" i="4"/>
  <c r="E5" i="4" s="1"/>
  <c r="E6" i="4" s="1"/>
  <c r="B36" i="3"/>
  <c r="B33" i="3"/>
  <c r="B32" i="3"/>
  <c r="B30" i="3"/>
  <c r="E19" i="3"/>
  <c r="F19" i="3" s="1"/>
  <c r="E18" i="3"/>
  <c r="F18" i="3" s="1"/>
  <c r="E17" i="3"/>
  <c r="D17" i="3"/>
  <c r="E16" i="3"/>
  <c r="D16" i="3"/>
  <c r="F16" i="3" s="1"/>
  <c r="E15" i="3"/>
  <c r="E14" i="3"/>
  <c r="D14" i="3"/>
  <c r="F14" i="3" s="1"/>
  <c r="E13" i="3"/>
  <c r="D13" i="3"/>
  <c r="F13" i="3" s="1"/>
  <c r="B10" i="3"/>
  <c r="E7" i="3"/>
  <c r="E4" i="3"/>
  <c r="E5" i="3" s="1"/>
  <c r="E6" i="3" s="1"/>
  <c r="F4" i="1"/>
  <c r="E4" i="1"/>
  <c r="D4" i="1"/>
  <c r="C4" i="1"/>
  <c r="B4" i="1"/>
  <c r="F17" i="3" l="1"/>
  <c r="C46" i="7"/>
  <c r="B36" i="7"/>
  <c r="F6" i="1" s="1"/>
  <c r="D15" i="6"/>
  <c r="F15" i="6" s="1"/>
  <c r="B46" i="6"/>
  <c r="F12" i="1"/>
  <c r="C33" i="7"/>
  <c r="B46" i="7"/>
  <c r="D15" i="7"/>
  <c r="F15" i="7" s="1"/>
  <c r="F23" i="7" s="1"/>
  <c r="E12" i="1"/>
  <c r="E6" i="1"/>
  <c r="C33" i="6"/>
  <c r="D6" i="1"/>
  <c r="D12" i="1"/>
  <c r="C33" i="5"/>
  <c r="D15" i="5"/>
  <c r="F15" i="5" s="1"/>
  <c r="F23" i="5" s="1"/>
  <c r="B46" i="5"/>
  <c r="E4" i="5"/>
  <c r="E5" i="5" s="1"/>
  <c r="E6" i="5" s="1"/>
  <c r="B51" i="5"/>
  <c r="C6" i="1"/>
  <c r="C12" i="1"/>
  <c r="C30" i="4"/>
  <c r="D15" i="4"/>
  <c r="F15" i="4" s="1"/>
  <c r="F20" i="4" s="1"/>
  <c r="B43" i="4"/>
  <c r="B12" i="1"/>
  <c r="B6" i="1"/>
  <c r="C30" i="3"/>
  <c r="B43" i="3"/>
  <c r="D15" i="3"/>
  <c r="F15" i="3" s="1"/>
  <c r="F20" i="3" s="1"/>
  <c r="D30" i="3" s="1"/>
  <c r="E30" i="3" s="1"/>
  <c r="F23" i="6"/>
  <c r="B37" i="7" l="1"/>
  <c r="F7" i="1" s="1"/>
  <c r="D33" i="7"/>
  <c r="E33" i="7" s="1"/>
  <c r="E37" i="7"/>
  <c r="B38" i="7"/>
  <c r="E38" i="7"/>
  <c r="B42" i="7"/>
  <c r="F10" i="1" s="1"/>
  <c r="F5" i="1"/>
  <c r="B32" i="7"/>
  <c r="B31" i="7"/>
  <c r="B30" i="7"/>
  <c r="B29" i="7"/>
  <c r="B28" i="7"/>
  <c r="B27" i="7"/>
  <c r="F24" i="7"/>
  <c r="B31" i="5"/>
  <c r="B30" i="5"/>
  <c r="B29" i="5"/>
  <c r="B28" i="5"/>
  <c r="F24" i="5"/>
  <c r="B32" i="5"/>
  <c r="B27" i="5"/>
  <c r="D5" i="1"/>
  <c r="B25" i="4"/>
  <c r="B24" i="4"/>
  <c r="B29" i="4"/>
  <c r="B28" i="4"/>
  <c r="B27" i="4"/>
  <c r="F21" i="4"/>
  <c r="C5" i="1"/>
  <c r="B26" i="4"/>
  <c r="B29" i="3"/>
  <c r="B26" i="3"/>
  <c r="B34" i="3"/>
  <c r="B27" i="3"/>
  <c r="B5" i="1"/>
  <c r="B25" i="3"/>
  <c r="F21" i="3"/>
  <c r="B28" i="3"/>
  <c r="B24" i="3"/>
  <c r="E5" i="1"/>
  <c r="B32" i="6"/>
  <c r="B31" i="6"/>
  <c r="B30" i="6"/>
  <c r="B29" i="6"/>
  <c r="B28" i="6"/>
  <c r="B27" i="6"/>
  <c r="F24" i="6"/>
  <c r="B37" i="5"/>
  <c r="D33" i="5"/>
  <c r="E33" i="5" s="1"/>
  <c r="B34" i="4"/>
  <c r="D30" i="4"/>
  <c r="E30" i="4" s="1"/>
  <c r="B37" i="6"/>
  <c r="D33" i="6"/>
  <c r="E33" i="6" s="1"/>
  <c r="B40" i="7" l="1"/>
  <c r="F9" i="1" s="1"/>
  <c r="B41" i="7"/>
  <c r="F11" i="1" s="1"/>
  <c r="F8" i="1"/>
  <c r="C32" i="7"/>
  <c r="D32" i="7"/>
  <c r="C31" i="7"/>
  <c r="D31" i="7"/>
  <c r="C30" i="7"/>
  <c r="D30" i="7"/>
  <c r="C29" i="7"/>
  <c r="D29" i="7"/>
  <c r="C28" i="7"/>
  <c r="D28" i="7"/>
  <c r="C27" i="7"/>
  <c r="D27" i="7"/>
  <c r="C31" i="5"/>
  <c r="D31" i="5"/>
  <c r="C30" i="5"/>
  <c r="D30" i="5"/>
  <c r="D29" i="5"/>
  <c r="C29" i="5"/>
  <c r="D28" i="5"/>
  <c r="C28" i="5"/>
  <c r="D32" i="5"/>
  <c r="C32" i="5"/>
  <c r="C27" i="5"/>
  <c r="D27" i="5"/>
  <c r="C25" i="4"/>
  <c r="D25" i="4"/>
  <c r="C24" i="4"/>
  <c r="D24" i="4"/>
  <c r="C29" i="4"/>
  <c r="D29" i="4"/>
  <c r="D28" i="4"/>
  <c r="C28" i="4"/>
  <c r="D27" i="4"/>
  <c r="C27" i="4"/>
  <c r="C26" i="4"/>
  <c r="D26" i="4"/>
  <c r="D29" i="3"/>
  <c r="C29" i="3"/>
  <c r="D26" i="3"/>
  <c r="C26" i="3"/>
  <c r="B35" i="3"/>
  <c r="B39" i="3"/>
  <c r="B10" i="1" s="1"/>
  <c r="B7" i="1"/>
  <c r="C27" i="3"/>
  <c r="D27" i="3"/>
  <c r="C25" i="3"/>
  <c r="D25" i="3"/>
  <c r="C28" i="3"/>
  <c r="D28" i="3"/>
  <c r="C24" i="3"/>
  <c r="D24" i="3"/>
  <c r="C32" i="6"/>
  <c r="D32" i="6"/>
  <c r="C31" i="6"/>
  <c r="D31" i="6"/>
  <c r="C30" i="6"/>
  <c r="D30" i="6"/>
  <c r="C29" i="6"/>
  <c r="D29" i="6"/>
  <c r="C28" i="6"/>
  <c r="D28" i="6"/>
  <c r="C27" i="6"/>
  <c r="D27" i="6"/>
  <c r="D7" i="1"/>
  <c r="B42" i="5"/>
  <c r="D10" i="1" s="1"/>
  <c r="B38" i="5"/>
  <c r="B39" i="4"/>
  <c r="C10" i="1" s="1"/>
  <c r="C7" i="1"/>
  <c r="B35" i="4"/>
  <c r="E7" i="1"/>
  <c r="B42" i="6"/>
  <c r="E10" i="1" s="1"/>
  <c r="B38" i="6"/>
  <c r="E37" i="6"/>
  <c r="B37" i="3" l="1"/>
  <c r="B9" i="1" s="1"/>
  <c r="B8" i="1"/>
  <c r="B38" i="3"/>
  <c r="B11" i="1" s="1"/>
  <c r="B40" i="5"/>
  <c r="D9" i="1" s="1"/>
  <c r="B41" i="5"/>
  <c r="D11" i="1" s="1"/>
  <c r="D8" i="1"/>
  <c r="B38" i="4"/>
  <c r="C11" i="1" s="1"/>
  <c r="C8" i="1"/>
  <c r="B37" i="4"/>
  <c r="C9" i="1" s="1"/>
  <c r="E38" i="6"/>
  <c r="B40" i="6"/>
  <c r="E9" i="1" s="1"/>
  <c r="B41" i="6"/>
  <c r="E11" i="1" s="1"/>
  <c r="E8" i="1"/>
</calcChain>
</file>

<file path=xl/sharedStrings.xml><?xml version="1.0" encoding="utf-8"?>
<sst xmlns="http://schemas.openxmlformats.org/spreadsheetml/2006/main" count="450" uniqueCount="159">
  <si>
    <t>RINGKASAN - BI KPw Sibolga (INTERNAL, bukan untuk klien)</t>
  </si>
  <si>
    <t>Sapa</t>
  </si>
  <si>
    <t>Tumbuh</t>
  </si>
  <si>
    <t>Seperjalanan</t>
  </si>
  <si>
    <t>Berbagi</t>
  </si>
  <si>
    <t>Penyuluhan</t>
  </si>
  <si>
    <t>Harga Welcoming</t>
  </si>
  <si>
    <t>Jumlah Biaya (honor sesi Rp350k)</t>
  </si>
  <si>
    <t>After PPh 23</t>
  </si>
  <si>
    <t>AFTER COST (semua sesi dibayar honor)</t>
  </si>
  <si>
    <t>AFTER COST (in-house, honor sesi Rp0)</t>
  </si>
  <si>
    <t>% biaya operasional 3 bulan (Rp60jt) tertutup - in-house</t>
  </si>
  <si>
    <t>% biaya operasional 3 bulan tertutup - semua sesi dibayar honor</t>
  </si>
  <si>
    <t>Kontribusi laba per bulan (in-house)</t>
  </si>
  <si>
    <t>Cash saat SPK (DP 50% after PPh)</t>
  </si>
  <si>
    <t>Catatan: template ini mengikuti format costing Teman Journey (Jumlah Biaya, margin 30-150%, Nilai Akhir, After PPh, After Cost). Margin = markup terhadap biaya.</t>
  </si>
  <si>
    <t>Jika semua sesi dibayar honor, laba sangat tipis; laba nyata untuk kas bergantung pada sesi dikerjakan Vania/Kia dengan gaji tetap.</t>
  </si>
  <si>
    <t>Berbagi = isi Seperjalanan; BI membayar harga tanpa webinar, webinar tetap diberikan dan biaya produksinya ditanggung TJ.</t>
  </si>
  <si>
    <t>Penyuluhan = Seperjalanan tanpa webinar premium; 2 penyuluhan 30 menit internal, terbuka untuk umum, gratis untuk BI (nilainya tetap dihitung). Seperjalanan = webinar premium privat + 2 penyuluhan gratis yang sama.</t>
  </si>
  <si>
    <t>Assumptions (blue = input) - INTERNAL</t>
  </si>
  <si>
    <t>Harga sesi reguler</t>
  </si>
  <si>
    <t>Given</t>
  </si>
  <si>
    <t>Harga sesi tambahan</t>
  </si>
  <si>
    <t>Raised from Rp450k so Sapa (Rp500k/sesi) is not cheaper than add-ons; Kia to confirm</t>
  </si>
  <si>
    <t>Honorarium psikolog per sesi konseling</t>
  </si>
  <si>
    <t>Given by Kia: Rp350k per session</t>
  </si>
  <si>
    <t>Admin &amp; platform per sesi</t>
  </si>
  <si>
    <t>ASSUMPTION</t>
  </si>
  <si>
    <t>MHCU per orang per putaran</t>
  </si>
  <si>
    <t>Given by Kia</t>
  </si>
  <si>
    <t>Laporan agregat (per program)</t>
  </si>
  <si>
    <t>Kontrak &amp; materai</t>
  </si>
  <si>
    <t>PIC / Project Officer fee per program</t>
  </si>
  <si>
    <t>Fill in if Vania/PO is paid per project (template pays PO)</t>
  </si>
  <si>
    <t>Honorarium psikoedukasi (narasumber)</t>
  </si>
  <si>
    <t>Fill in; Kia delivers, set 0 = in opex</t>
  </si>
  <si>
    <t>PPh 23</t>
  </si>
  <si>
    <t>Withheld by BI (matches your sheet: 93,000,000 -&gt; 91,140,000)</t>
  </si>
  <si>
    <t>Sesi per pegawai</t>
  </si>
  <si>
    <t>Biaya operasional bulanan</t>
  </si>
  <si>
    <t>Harga add-on: hasil MHCU individual / pegawai</t>
  </si>
  <si>
    <t>Nilai normal: 1 putaran MHCU</t>
  </si>
  <si>
    <t>For proposal value only</t>
  </si>
  <si>
    <t>Nilai normal: laporan agregat</t>
  </si>
  <si>
    <t>Nilai normal: 1 sesi psikoedukasi</t>
  </si>
  <si>
    <t>ASSUMPTION, unconfirmed</t>
  </si>
  <si>
    <t>Masa paket (bulan)</t>
  </si>
  <si>
    <t>Confirmed: 3 months from SPK</t>
  </si>
  <si>
    <t>Webinar: platform kapasitas besar (Zoom Webinar / add-on) per event</t>
  </si>
  <si>
    <t>ASSUMPTION: ~US$79 Zoom Webinars 500 for 1 month; set 0 if existing Zoom Pro (100 orang) is enough</t>
  </si>
  <si>
    <t>Webinar: desain poster, materi slide &amp; e-sertifikat per event</t>
  </si>
  <si>
    <t>ASSUMPTION: freelance/Canva time; confirm with team</t>
  </si>
  <si>
    <t>Webinar: host/moderator &amp; operator teknis per event</t>
  </si>
  <si>
    <t>ASSUMPTION: set 0 if Vania hosts in-house</t>
  </si>
  <si>
    <t>Penyuluhan: platform per sesi (open access)</t>
  </si>
  <si>
    <t>Internal + open access: Zoom Pro + YouTube Live stream for overflow above 100 orang, Rp0; fill in only if a paid webinar licence is needed</t>
  </si>
  <si>
    <t>Penyuluhan: materi ringkas &amp; poster per sesi</t>
  </si>
  <si>
    <t>ASSUMPTION: internal, reusable 30-min deck + poster template; cost minimised</t>
  </si>
  <si>
    <t>Penyuluhan: host/moderator per sesi</t>
  </si>
  <si>
    <t>Kia &amp; Rana host themselves during work hours (internal)</t>
  </si>
  <si>
    <t>INTERNAL COSTING - Paket Sapa - BI KPw Sibolga (Konseling Online, 3 bulan)</t>
  </si>
  <si>
    <t>Input paket</t>
  </si>
  <si>
    <t>Jumlah sesi</t>
  </si>
  <si>
    <t>Nilai normal (reguler)</t>
  </si>
  <si>
    <t>Putaran MHCU</t>
  </si>
  <si>
    <t>Hemat untuk BI (Rp)</t>
  </si>
  <si>
    <t>Laporan agregat (1=ya)</t>
  </si>
  <si>
    <t>Hemat untuk BI (%)</t>
  </si>
  <si>
    <t>Hasil MHCU individual (1=ya)</t>
  </si>
  <si>
    <t>Harga paket per sesi konseling</t>
  </si>
  <si>
    <t>Sesi psikoedukasi</t>
  </si>
  <si>
    <t>Harga Welcoming Package</t>
  </si>
  <si>
    <t>Pegawai terlayani (sesi / sesi per pegawai)</t>
  </si>
  <si>
    <t>Kategori</t>
  </si>
  <si>
    <t>Item</t>
  </si>
  <si>
    <t>Keterangan</t>
  </si>
  <si>
    <t>Qty</t>
  </si>
  <si>
    <t>Harga satuan</t>
  </si>
  <si>
    <t>Total</t>
  </si>
  <si>
    <t>Konseling</t>
  </si>
  <si>
    <t>Honorarium psikolog konseling</t>
  </si>
  <si>
    <t>sesi 60 menit</t>
  </si>
  <si>
    <t>Admin &amp; platform (jadwal, reminder, Zoom)</t>
  </si>
  <si>
    <t>sesi</t>
  </si>
  <si>
    <t>MHCU</t>
  </si>
  <si>
    <t>MHCU (putaran x pegawai)</t>
  </si>
  <si>
    <t>orang x putaran</t>
  </si>
  <si>
    <t>Laporan</t>
  </si>
  <si>
    <t>Laporan agregat anonim</t>
  </si>
  <si>
    <t>program</t>
  </si>
  <si>
    <t>Psikoedukasi</t>
  </si>
  <si>
    <t>Narasumber psikoedukasi online</t>
  </si>
  <si>
    <t>Lain-lain</t>
  </si>
  <si>
    <t>PIC / Project Officer</t>
  </si>
  <si>
    <t>deal</t>
  </si>
  <si>
    <t>Jumlah Biaya</t>
  </si>
  <si>
    <t>Total cost per peserta</t>
  </si>
  <si>
    <t>Margin (markup)</t>
  </si>
  <si>
    <t>Total Harga Program</t>
  </si>
  <si>
    <t>Harga per Peserta</t>
  </si>
  <si>
    <t>Margin (Rp)</t>
  </si>
  <si>
    <t>&lt;- markup vs biaya</t>
  </si>
  <si>
    <t>NILAI AKHIR</t>
  </si>
  <si>
    <t>AFTER PAJAK PPH</t>
  </si>
  <si>
    <t>AFTER COST</t>
  </si>
  <si>
    <t>AFTER COST - jika sesi oleh Vania/Kia (gaji tetap, honor sesi Rp0)</t>
  </si>
  <si>
    <t>Biaya operasional selama masa paket (Rp20jt x 3 bulan)</t>
  </si>
  <si>
    <t>% biaya operasional 3 bulan tertutup (in-house)</t>
  </si>
  <si>
    <t>% biaya operasional 3 bulan tertutup (semua sesi dibayar honor)</t>
  </si>
  <si>
    <t>Untuk Proposal</t>
  </si>
  <si>
    <t>Fasilitas yang didapatkan</t>
  </si>
  <si>
    <t>Harga Program</t>
  </si>
  <si>
    <t>Ketentuan</t>
  </si>
  <si>
    <t>Berlaku 3 bulan sejak SPK; SPK paling lambat 31 Okt 2026</t>
  </si>
  <si>
    <t>INTERNAL COSTING - Paket Tumbuh - BI KPw Sibolga (Konseling Online, 3 bulan)</t>
  </si>
  <si>
    <t>Screening</t>
  </si>
  <si>
    <t>INTERNAL COSTING - Paket Seperjalanan - BI KPw Sibolga (Konseling Online + webinar premium + 2x penyuluhan gratis, 3 bulan)</t>
  </si>
  <si>
    <t>Sesi webinar premium (privat untuk BI)</t>
  </si>
  <si>
    <t>Sesi penyuluhan gratis (30 menit)</t>
  </si>
  <si>
    <t>Nilai 1 penyuluhan (porsi harga webinar)</t>
  </si>
  <si>
    <t>Nilai penyuluhan yang diberikan gratis</t>
  </si>
  <si>
    <t>Narasumber webinar premium online</t>
  </si>
  <si>
    <t>Penyuluhan (TJ)</t>
  </si>
  <si>
    <t>Penyuluhan: platform</t>
  </si>
  <si>
    <t>Penyuluhan: materi ringkas &amp; poster</t>
  </si>
  <si>
    <t>Penyuluhan: host/moderator</t>
  </si>
  <si>
    <t>Laporan agregat anonim dengan perbandingan pre/post</t>
  </si>
  <si>
    <t>Hasil MHCU individual untuk pegawai</t>
  </si>
  <si>
    <t>Webinar premium</t>
  </si>
  <si>
    <t>Penyuluhan (gratis)</t>
  </si>
  <si>
    <t>INTERNAL COSTING - Paket Berbagi - BI KPw Sibolga (Seperjalanan + webinar ditanggung TJ, 3 bulan)</t>
  </si>
  <si>
    <t>Harga Seperjalanan Rp23jt dikurangi nilai normal webinar Rp3jt: BI membayar versi tanpa webinar, webinar diberikan TJ</t>
  </si>
  <si>
    <t>Narasumber webinar psikoedukasi online</t>
  </si>
  <si>
    <t>Webinar (TJ)</t>
  </si>
  <si>
    <t>Platform webinar kapasitas besar</t>
  </si>
  <si>
    <t>event</t>
  </si>
  <si>
    <t>Desain poster, materi &amp; e-sertifikat</t>
  </si>
  <si>
    <t>Host/moderator &amp; operator teknis</t>
  </si>
  <si>
    <t>Investasi TJ untuk webinar</t>
  </si>
  <si>
    <t>Biaya produksi webinar ditanggung TJ</t>
  </si>
  <si>
    <t>Nilai normal webinar yang diberikan gratis</t>
  </si>
  <si>
    <t>AFTER COST vs Seperjalanan (honor dibayar)</t>
  </si>
  <si>
    <t>AFTER COST vs Seperjalanan (in-house)</t>
  </si>
  <si>
    <t>Webinar (bonus)</t>
  </si>
  <si>
    <t>1 sesi webinar psikoedukasi online untuk seluruh pegawai - bonus dari Teman Journey, tidak ditagihkan</t>
  </si>
  <si>
    <t>INTERNAL COSTING - Paket Penyuluhan - BI KPw Sibolga (Seperjalanan tanpa webinar + 2x penyuluhan gratis, 3 bulan)</t>
  </si>
  <si>
    <t>Sesi penyuluhan (30 menit, jam kerja, gratis untuk BI)</t>
  </si>
  <si>
    <t>Harga dasar paket (tanpa webinar)</t>
  </si>
  <si>
    <t>Harga dasar (Seperjalanan tanpa webinar); penyuluhan gratis untuk BI tapi nilainya tetap dihitung di Nilai normal</t>
  </si>
  <si>
    <t>Porsi nilai penyuluhan yang ditagih ke BI</t>
  </si>
  <si>
    <t>Narasumber penyuluhan (Kia &amp; Rana, internal)</t>
  </si>
  <si>
    <t>sesi 30 menit</t>
  </si>
  <si>
    <t>Platform penyuluhan</t>
  </si>
  <si>
    <t>Materi ringkas &amp; poster</t>
  </si>
  <si>
    <t>Host/moderator</t>
  </si>
  <si>
    <t>Penyuluhan: tagihan vs biaya</t>
  </si>
  <si>
    <t>Nilai penyuluhan diberikan gratis</t>
  </si>
  <si>
    <t>Biaya produksi penyuluhan (TJ)</t>
  </si>
  <si>
    <t>AFTER COST vs Berbagi (honor dibayar)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</si>
</sst>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p&quot;#,##0;&quot;(Rp&quot;#,##0\);\-"/>
    <numFmt numFmtId="165" formatCode="0.0%"/>
    <numFmt numFmtId="166" formatCode="0.0"/>
  </numFmts>
  <fonts count="12" x14ac:knownFonts="1">
    <font>
      <sz val="11"/>
      <color theme="1"/>
      <name val="Calibri"/>
      <scheme val="minor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444444"/>
      <name val="Arial"/>
      <family val="2"/>
    </font>
    <font>
      <sz val="10"/>
      <color rgb="FF0000FF"/>
      <name val="Arial"/>
      <family val="2"/>
    </font>
    <font>
      <sz val="9"/>
      <color rgb="FF666666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i/>
      <sz val="11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6AFF4D"/>
        <bgColor rgb="FF6AFF4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2"/>
  </cellStyleXfs>
  <cellXfs count="46">
    <xf numFmtId="0" fontId="0" fillId="0" borderId="0" xfId="0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164" fontId="3" fillId="0" borderId="1" xfId="0" applyNumberFormat="1" applyFont="1" applyBorder="1"/>
    <xf numFmtId="9" fontId="3" fillId="0" borderId="1" xfId="0" applyNumberFormat="1" applyFont="1" applyBorder="1"/>
    <xf numFmtId="0" fontId="4" fillId="0" borderId="0" xfId="0" applyFont="1" applyBorder="1"/>
    <xf numFmtId="0" fontId="3" fillId="0" borderId="0" xfId="0" applyFont="1" applyBorder="1"/>
    <xf numFmtId="164" fontId="5" fillId="3" borderId="2" xfId="0" applyNumberFormat="1" applyFont="1" applyFill="1"/>
    <xf numFmtId="0" fontId="6" fillId="0" borderId="0" xfId="0" applyFont="1" applyBorder="1"/>
    <xf numFmtId="165" fontId="5" fillId="3" borderId="2" xfId="0" applyNumberFormat="1" applyFont="1" applyFill="1"/>
    <xf numFmtId="1" fontId="5" fillId="3" borderId="2" xfId="0" applyNumberFormat="1" applyFont="1" applyFill="1"/>
    <xf numFmtId="0" fontId="2" fillId="0" borderId="0" xfId="0" applyFont="1" applyBorder="1"/>
    <xf numFmtId="0" fontId="3" fillId="0" borderId="1" xfId="0" applyFont="1" applyBorder="1"/>
    <xf numFmtId="1" fontId="5" fillId="3" borderId="1" xfId="0" applyNumberFormat="1" applyFont="1" applyFill="1" applyBorder="1"/>
    <xf numFmtId="165" fontId="3" fillId="0" borderId="1" xfId="0" applyNumberFormat="1" applyFont="1" applyBorder="1"/>
    <xf numFmtId="164" fontId="5" fillId="3" borderId="1" xfId="0" applyNumberFormat="1" applyFont="1" applyFill="1" applyBorder="1"/>
    <xf numFmtId="166" fontId="3" fillId="0" borderId="1" xfId="0" applyNumberFormat="1" applyFont="1" applyBorder="1"/>
    <xf numFmtId="3" fontId="3" fillId="0" borderId="1" xfId="0" applyNumberFormat="1" applyFont="1" applyBorder="1"/>
    <xf numFmtId="164" fontId="2" fillId="4" borderId="1" xfId="0" applyNumberFormat="1" applyFont="1" applyFill="1" applyBorder="1"/>
    <xf numFmtId="164" fontId="2" fillId="0" borderId="1" xfId="0" applyNumberFormat="1" applyFont="1" applyBorder="1"/>
    <xf numFmtId="0" fontId="2" fillId="2" borderId="1" xfId="0" applyFont="1" applyFill="1" applyBorder="1" applyAlignment="1">
      <alignment horizontal="center" wrapText="1"/>
    </xf>
    <xf numFmtId="9" fontId="5" fillId="3" borderId="1" xfId="0" applyNumberFormat="1" applyFont="1" applyFill="1" applyBorder="1"/>
    <xf numFmtId="164" fontId="3" fillId="3" borderId="1" xfId="0" applyNumberFormat="1" applyFont="1" applyFill="1" applyBorder="1"/>
    <xf numFmtId="164" fontId="3" fillId="5" borderId="1" xfId="0" applyNumberFormat="1" applyFont="1" applyFill="1" applyBorder="1"/>
    <xf numFmtId="164" fontId="2" fillId="3" borderId="1" xfId="0" applyNumberFormat="1" applyFont="1" applyFill="1" applyBorder="1"/>
    <xf numFmtId="164" fontId="2" fillId="5" borderId="1" xfId="0" applyNumberFormat="1" applyFont="1" applyFill="1" applyBorder="1"/>
    <xf numFmtId="9" fontId="2" fillId="0" borderId="1" xfId="0" applyNumberFormat="1" applyFont="1" applyBorder="1"/>
    <xf numFmtId="0" fontId="7" fillId="0" borderId="0" xfId="0" applyFont="1" applyBorder="1"/>
    <xf numFmtId="164" fontId="8" fillId="0" borderId="1" xfId="0" applyNumberFormat="1" applyFont="1" applyBorder="1"/>
    <xf numFmtId="164" fontId="8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9" fillId="0" borderId="1" xfId="0" applyFont="1" applyBorder="1"/>
    <xf numFmtId="0" fontId="11" fillId="0" borderId="0" xfId="0" applyFont="1" applyBorder="1"/>
    <xf numFmtId="0" fontId="4" fillId="0" borderId="2" xfId="0" applyFont="1"/>
    <xf numFmtId="0" fontId="3" fillId="0" borderId="2" xfId="0" applyFont="1"/>
    <xf numFmtId="0" fontId="6" fillId="0" borderId="2" xfId="0" applyFont="1"/>
    <xf numFmtId="0" fontId="11" fillId="0" borderId="2" xfId="0" applyFont="1"/>
    <xf numFmtId="165" fontId="5" fillId="3" borderId="1" xfId="0" applyNumberFormat="1" applyFont="1" applyFill="1" applyBorder="1"/>
    <xf numFmtId="0" fontId="1" fillId="0" borderId="2" xfId="0" applyFont="1"/>
    <xf numFmtId="0" fontId="0" fillId="0" borderId="2" xfId="0"/>
    <xf numFmtId="0" fontId="2" fillId="0" borderId="2" xfId="0" applyFont="1"/>
    <xf numFmtId="0" fontId="7" fillId="0" borderId="2" xfId="0" applyFont="1"/>
    <xf numFmtId="164" fontId="10" fillId="0" borderId="1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baseColWidth="10" defaultColWidth="14.5" defaultRowHeight="15" customHeight="1" x14ac:dyDescent="0.2"/>
  <cols>
    <col min="1" max="1" width="50" customWidth="1"/>
    <col min="2" max="3" width="20" customWidth="1"/>
    <col min="4" max="26" width="13" customWidth="1"/>
  </cols>
  <sheetData>
    <row r="1" spans="1:6" ht="17" customHeight="1" x14ac:dyDescent="0.2">
      <c r="A1" s="1" t="s">
        <v>0</v>
      </c>
    </row>
    <row r="3" spans="1:6" x14ac:dyDescent="0.2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2">
      <c r="A4" s="3" t="s">
        <v>6</v>
      </c>
      <c r="B4" s="4">
        <f>Sapa!B9</f>
        <v>7500000</v>
      </c>
      <c r="C4" s="4">
        <f>Tumbuh!B9</f>
        <v>14000000</v>
      </c>
      <c r="D4" s="4">
        <f>Seperjalanan!B9</f>
        <v>23000000</v>
      </c>
      <c r="E4" s="4">
        <f>Berbagi!B9</f>
        <v>20000000</v>
      </c>
      <c r="F4" s="4">
        <f>Penyuluhan!B9</f>
        <v>20000000</v>
      </c>
    </row>
    <row r="5" spans="1:6" x14ac:dyDescent="0.2">
      <c r="A5" s="3" t="s">
        <v>7</v>
      </c>
      <c r="B5" s="4">
        <f>Sapa!F20</f>
        <v>5925000</v>
      </c>
      <c r="C5" s="4">
        <f>Tumbuh!F20</f>
        <v>10700000</v>
      </c>
      <c r="D5" s="4">
        <f>Seperjalanan!F23</f>
        <v>16640000</v>
      </c>
      <c r="E5" s="4">
        <f>Berbagi!F23</f>
        <v>18740000</v>
      </c>
      <c r="F5" s="4">
        <f>Penyuluhan!F23</f>
        <v>16640000</v>
      </c>
    </row>
    <row r="6" spans="1:6" x14ac:dyDescent="0.2">
      <c r="A6" s="3" t="s">
        <v>8</v>
      </c>
      <c r="B6" s="4">
        <f>Sapa!B33</f>
        <v>7350000</v>
      </c>
      <c r="C6" s="4">
        <f>Tumbuh!B33</f>
        <v>13720000</v>
      </c>
      <c r="D6" s="4">
        <f>Seperjalanan!B36</f>
        <v>22540000</v>
      </c>
      <c r="E6" s="4">
        <f>Berbagi!B36</f>
        <v>19600000</v>
      </c>
      <c r="F6" s="4">
        <f>Penyuluhan!B36</f>
        <v>19600000</v>
      </c>
    </row>
    <row r="7" spans="1:6" x14ac:dyDescent="0.2">
      <c r="A7" s="3" t="s">
        <v>9</v>
      </c>
      <c r="B7" s="4">
        <f>Sapa!B34</f>
        <v>1425000</v>
      </c>
      <c r="C7" s="4">
        <f>Tumbuh!B34</f>
        <v>3020000</v>
      </c>
      <c r="D7" s="4">
        <f>Seperjalanan!B37</f>
        <v>5900000</v>
      </c>
      <c r="E7" s="4">
        <f>Berbagi!B37</f>
        <v>860000</v>
      </c>
      <c r="F7" s="4">
        <f>Penyuluhan!B37</f>
        <v>2960000</v>
      </c>
    </row>
    <row r="8" spans="1:6" x14ac:dyDescent="0.2">
      <c r="A8" s="3" t="s">
        <v>10</v>
      </c>
      <c r="B8" s="4">
        <f>Sapa!B35</f>
        <v>6675000</v>
      </c>
      <c r="C8" s="4">
        <f>Tumbuh!B35</f>
        <v>11420000</v>
      </c>
      <c r="D8" s="4">
        <f>Seperjalanan!B38</f>
        <v>18500000</v>
      </c>
      <c r="E8" s="4">
        <f>Berbagi!B38</f>
        <v>13460000</v>
      </c>
      <c r="F8" s="4">
        <f>Penyuluhan!B38</f>
        <v>15560000</v>
      </c>
    </row>
    <row r="9" spans="1:6" x14ac:dyDescent="0.2">
      <c r="A9" s="3" t="s">
        <v>11</v>
      </c>
      <c r="B9" s="5">
        <f>Sapa!B37</f>
        <v>0.11125</v>
      </c>
      <c r="C9" s="5">
        <f>Tumbuh!B37</f>
        <v>0.19033333333333333</v>
      </c>
      <c r="D9" s="5">
        <f>Seperjalanan!B40</f>
        <v>0.30833333333333335</v>
      </c>
      <c r="E9" s="5">
        <f>Berbagi!B40</f>
        <v>0.22433333333333333</v>
      </c>
      <c r="F9" s="5">
        <f>Penyuluhan!B40</f>
        <v>0.25933333333333336</v>
      </c>
    </row>
    <row r="10" spans="1:6" x14ac:dyDescent="0.2">
      <c r="A10" s="3" t="s">
        <v>12</v>
      </c>
      <c r="B10" s="5">
        <f>Sapa!B39</f>
        <v>2.375E-2</v>
      </c>
      <c r="C10" s="5">
        <f>Tumbuh!B39</f>
        <v>5.0333333333333334E-2</v>
      </c>
      <c r="D10" s="5">
        <f>Seperjalanan!B42</f>
        <v>9.8333333333333328E-2</v>
      </c>
      <c r="E10" s="5">
        <f>Berbagi!B42</f>
        <v>1.4333333333333333E-2</v>
      </c>
      <c r="F10" s="5">
        <f>Penyuluhan!B42</f>
        <v>4.9333333333333333E-2</v>
      </c>
    </row>
    <row r="11" spans="1:6" x14ac:dyDescent="0.2">
      <c r="A11" s="3" t="s">
        <v>13</v>
      </c>
      <c r="B11" s="4">
        <f>Sapa!B38</f>
        <v>2225000</v>
      </c>
      <c r="C11" s="4">
        <f>Tumbuh!B38</f>
        <v>3806666.6666666665</v>
      </c>
      <c r="D11" s="4">
        <f>Seperjalanan!B41</f>
        <v>6166666.666666667</v>
      </c>
      <c r="E11" s="4">
        <f>Berbagi!B41</f>
        <v>4486666.666666667</v>
      </c>
      <c r="F11" s="4">
        <f>Penyuluhan!B41</f>
        <v>5186666.666666667</v>
      </c>
    </row>
    <row r="12" spans="1:6" x14ac:dyDescent="0.2">
      <c r="A12" s="3" t="s">
        <v>14</v>
      </c>
      <c r="B12" s="4">
        <f>Sapa!B33*0.5</f>
        <v>3675000</v>
      </c>
      <c r="C12" s="4">
        <f>Tumbuh!B33*0.5</f>
        <v>6860000</v>
      </c>
      <c r="D12" s="4">
        <f>Seperjalanan!B36*0.5</f>
        <v>11270000</v>
      </c>
      <c r="E12" s="4">
        <f>Berbagi!B36*0.5</f>
        <v>9800000</v>
      </c>
      <c r="F12" s="4">
        <f>Penyuluhan!B36*0.5</f>
        <v>9800000</v>
      </c>
    </row>
    <row r="15" spans="1:6" x14ac:dyDescent="0.2">
      <c r="A15" s="6" t="s">
        <v>15</v>
      </c>
    </row>
    <row r="16" spans="1:6" x14ac:dyDescent="0.2">
      <c r="A16" s="6" t="s">
        <v>16</v>
      </c>
    </row>
    <row r="17" spans="1:1" x14ac:dyDescent="0.2">
      <c r="A17" s="6" t="s">
        <v>17</v>
      </c>
    </row>
    <row r="18" spans="1:1" x14ac:dyDescent="0.2">
      <c r="A18" s="34" t="s">
        <v>18</v>
      </c>
    </row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5" defaultRowHeight="15" customHeight="1" x14ac:dyDescent="0.2"/>
  <cols>
    <col min="1" max="1" width="48" customWidth="1"/>
    <col min="2" max="2" width="16" customWidth="1"/>
    <col min="3" max="3" width="70" customWidth="1"/>
    <col min="4" max="26" width="8.6640625" customWidth="1"/>
  </cols>
  <sheetData>
    <row r="1" spans="1:3" ht="17" customHeight="1" x14ac:dyDescent="0.2">
      <c r="A1" s="1" t="s">
        <v>19</v>
      </c>
    </row>
    <row r="3" spans="1:3" x14ac:dyDescent="0.2">
      <c r="A3" s="7" t="s">
        <v>20</v>
      </c>
      <c r="B3" s="8">
        <v>500000</v>
      </c>
      <c r="C3" s="9" t="s">
        <v>21</v>
      </c>
    </row>
    <row r="4" spans="1:3" x14ac:dyDescent="0.2">
      <c r="A4" s="7" t="s">
        <v>22</v>
      </c>
      <c r="B4" s="8">
        <v>500000</v>
      </c>
      <c r="C4" s="9" t="s">
        <v>23</v>
      </c>
    </row>
    <row r="5" spans="1:3" x14ac:dyDescent="0.2">
      <c r="A5" s="7" t="s">
        <v>24</v>
      </c>
      <c r="B5" s="8">
        <v>350000</v>
      </c>
      <c r="C5" s="9" t="s">
        <v>25</v>
      </c>
    </row>
    <row r="6" spans="1:3" x14ac:dyDescent="0.2">
      <c r="A6" s="7" t="s">
        <v>26</v>
      </c>
      <c r="B6" s="8">
        <v>35000</v>
      </c>
      <c r="C6" s="9" t="s">
        <v>27</v>
      </c>
    </row>
    <row r="7" spans="1:3" x14ac:dyDescent="0.2">
      <c r="A7" s="7" t="s">
        <v>28</v>
      </c>
      <c r="B7" s="8">
        <v>70000</v>
      </c>
      <c r="C7" s="9" t="s">
        <v>29</v>
      </c>
    </row>
    <row r="8" spans="1:3" x14ac:dyDescent="0.2">
      <c r="A8" s="7" t="s">
        <v>30</v>
      </c>
      <c r="B8" s="8">
        <v>750000</v>
      </c>
      <c r="C8" s="9" t="s">
        <v>27</v>
      </c>
    </row>
    <row r="9" spans="1:3" x14ac:dyDescent="0.2">
      <c r="A9" s="7" t="s">
        <v>31</v>
      </c>
      <c r="B9" s="8">
        <v>150000</v>
      </c>
      <c r="C9" s="9" t="s">
        <v>27</v>
      </c>
    </row>
    <row r="10" spans="1:3" x14ac:dyDescent="0.2">
      <c r="A10" s="7" t="s">
        <v>32</v>
      </c>
      <c r="B10" s="8">
        <v>0</v>
      </c>
      <c r="C10" s="9" t="s">
        <v>33</v>
      </c>
    </row>
    <row r="11" spans="1:3" x14ac:dyDescent="0.2">
      <c r="A11" s="7" t="s">
        <v>34</v>
      </c>
      <c r="B11" s="8">
        <v>0</v>
      </c>
      <c r="C11" s="9" t="s">
        <v>35</v>
      </c>
    </row>
    <row r="12" spans="1:3" x14ac:dyDescent="0.2">
      <c r="A12" s="7" t="s">
        <v>36</v>
      </c>
      <c r="B12" s="10">
        <v>0.02</v>
      </c>
      <c r="C12" s="9" t="s">
        <v>37</v>
      </c>
    </row>
    <row r="13" spans="1:3" x14ac:dyDescent="0.2">
      <c r="A13" s="7" t="s">
        <v>38</v>
      </c>
      <c r="B13" s="11">
        <v>3</v>
      </c>
      <c r="C13" s="9" t="s">
        <v>27</v>
      </c>
    </row>
    <row r="14" spans="1:3" x14ac:dyDescent="0.2">
      <c r="A14" s="7" t="s">
        <v>39</v>
      </c>
      <c r="B14" s="8">
        <v>20000000</v>
      </c>
      <c r="C14" s="9" t="s">
        <v>21</v>
      </c>
    </row>
    <row r="15" spans="1:3" x14ac:dyDescent="0.2">
      <c r="A15" s="7" t="s">
        <v>40</v>
      </c>
      <c r="B15" s="8">
        <v>70000</v>
      </c>
      <c r="C15" s="9" t="s">
        <v>21</v>
      </c>
    </row>
    <row r="16" spans="1:3" x14ac:dyDescent="0.2">
      <c r="A16" s="7" t="s">
        <v>41</v>
      </c>
      <c r="B16" s="8">
        <v>2500000</v>
      </c>
      <c r="C16" s="9" t="s">
        <v>42</v>
      </c>
    </row>
    <row r="17" spans="1:3" x14ac:dyDescent="0.2">
      <c r="A17" s="7" t="s">
        <v>43</v>
      </c>
      <c r="B17" s="8">
        <v>2000000</v>
      </c>
      <c r="C17" s="9" t="s">
        <v>42</v>
      </c>
    </row>
    <row r="18" spans="1:3" x14ac:dyDescent="0.2">
      <c r="A18" s="7" t="s">
        <v>44</v>
      </c>
      <c r="B18" s="8">
        <v>3000000</v>
      </c>
      <c r="C18" s="9" t="s">
        <v>45</v>
      </c>
    </row>
    <row r="19" spans="1:3" x14ac:dyDescent="0.2">
      <c r="A19" s="7" t="s">
        <v>46</v>
      </c>
      <c r="B19" s="11">
        <v>3</v>
      </c>
      <c r="C19" s="9" t="s">
        <v>47</v>
      </c>
    </row>
    <row r="20" spans="1:3" x14ac:dyDescent="0.2">
      <c r="A20" s="7" t="s">
        <v>48</v>
      </c>
      <c r="B20" s="8">
        <v>1300000</v>
      </c>
      <c r="C20" s="9" t="s">
        <v>49</v>
      </c>
    </row>
    <row r="21" spans="1:3" ht="15.75" customHeight="1" x14ac:dyDescent="0.2">
      <c r="A21" s="7" t="s">
        <v>50</v>
      </c>
      <c r="B21" s="8">
        <v>500000</v>
      </c>
      <c r="C21" s="9" t="s">
        <v>51</v>
      </c>
    </row>
    <row r="22" spans="1:3" ht="15.75" customHeight="1" x14ac:dyDescent="0.2">
      <c r="A22" s="7" t="s">
        <v>52</v>
      </c>
      <c r="B22" s="8">
        <v>500000</v>
      </c>
      <c r="C22" s="9" t="s">
        <v>53</v>
      </c>
    </row>
    <row r="23" spans="1:3" ht="15.75" customHeight="1" x14ac:dyDescent="0.2">
      <c r="A23" s="35" t="s">
        <v>54</v>
      </c>
      <c r="B23" s="8">
        <v>0</v>
      </c>
      <c r="C23" s="36" t="s">
        <v>55</v>
      </c>
    </row>
    <row r="24" spans="1:3" ht="15.75" customHeight="1" x14ac:dyDescent="0.2">
      <c r="A24" s="35" t="s">
        <v>56</v>
      </c>
      <c r="B24" s="8">
        <v>100000</v>
      </c>
      <c r="C24" s="36" t="s">
        <v>57</v>
      </c>
    </row>
    <row r="25" spans="1:3" ht="15.75" customHeight="1" x14ac:dyDescent="0.2">
      <c r="A25" s="35" t="s">
        <v>58</v>
      </c>
      <c r="B25" s="8">
        <v>0</v>
      </c>
      <c r="C25" s="36" t="s">
        <v>59</v>
      </c>
    </row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baseColWidth="10" defaultColWidth="14.5" defaultRowHeight="15" customHeight="1" x14ac:dyDescent="0.2"/>
  <cols>
    <col min="1" max="1" width="34" customWidth="1"/>
    <col min="2" max="2" width="46" customWidth="1"/>
    <col min="3" max="3" width="40" customWidth="1"/>
    <col min="4" max="4" width="12" customWidth="1"/>
    <col min="5" max="6" width="18" customWidth="1"/>
    <col min="7" max="26" width="8.6640625" customWidth="1"/>
  </cols>
  <sheetData>
    <row r="1" spans="1:6" ht="17" customHeight="1" x14ac:dyDescent="0.2">
      <c r="A1" s="1" t="s">
        <v>60</v>
      </c>
    </row>
    <row r="3" spans="1:6" x14ac:dyDescent="0.2">
      <c r="A3" s="12" t="s">
        <v>61</v>
      </c>
    </row>
    <row r="4" spans="1:6" x14ac:dyDescent="0.2">
      <c r="A4" s="13" t="s">
        <v>62</v>
      </c>
      <c r="B4" s="14">
        <v>15</v>
      </c>
      <c r="D4" s="3" t="s">
        <v>63</v>
      </c>
      <c r="E4" s="4">
        <f>B4*Assumptions!$B$3+B5*Assumptions!$B$16+B6*Assumptions!$B$17+B8*Assumptions!$B$18</f>
        <v>7500000</v>
      </c>
    </row>
    <row r="5" spans="1:6" x14ac:dyDescent="0.2">
      <c r="A5" s="13" t="s">
        <v>64</v>
      </c>
      <c r="B5" s="14">
        <v>0</v>
      </c>
      <c r="D5" s="3" t="s">
        <v>65</v>
      </c>
      <c r="E5" s="4">
        <f>E4-B9</f>
        <v>0</v>
      </c>
    </row>
    <row r="6" spans="1:6" x14ac:dyDescent="0.2">
      <c r="A6" s="13" t="s">
        <v>66</v>
      </c>
      <c r="B6" s="14">
        <v>0</v>
      </c>
      <c r="D6" s="3" t="s">
        <v>67</v>
      </c>
      <c r="E6" s="15">
        <f>E5/E4</f>
        <v>0</v>
      </c>
    </row>
    <row r="7" spans="1:6" x14ac:dyDescent="0.2">
      <c r="A7" s="13" t="s">
        <v>68</v>
      </c>
      <c r="B7" s="14">
        <v>0</v>
      </c>
      <c r="D7" s="3" t="s">
        <v>69</v>
      </c>
      <c r="E7" s="4">
        <f>B9/B4</f>
        <v>500000</v>
      </c>
    </row>
    <row r="8" spans="1:6" x14ac:dyDescent="0.2">
      <c r="A8" s="13" t="s">
        <v>70</v>
      </c>
      <c r="B8" s="14">
        <v>0</v>
      </c>
    </row>
    <row r="9" spans="1:6" x14ac:dyDescent="0.2">
      <c r="A9" s="13" t="s">
        <v>71</v>
      </c>
      <c r="B9" s="16">
        <v>7500000</v>
      </c>
    </row>
    <row r="10" spans="1:6" x14ac:dyDescent="0.2">
      <c r="A10" s="13" t="s">
        <v>72</v>
      </c>
      <c r="B10" s="17">
        <f>B4/Assumptions!$B$13</f>
        <v>5</v>
      </c>
    </row>
    <row r="12" spans="1:6" x14ac:dyDescent="0.2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</row>
    <row r="13" spans="1:6" x14ac:dyDescent="0.2">
      <c r="A13" s="13" t="s">
        <v>79</v>
      </c>
      <c r="B13" s="13" t="s">
        <v>80</v>
      </c>
      <c r="C13" s="13" t="s">
        <v>81</v>
      </c>
      <c r="D13" s="18">
        <f>B4</f>
        <v>15</v>
      </c>
      <c r="E13" s="4">
        <f>Assumptions!$B$5</f>
        <v>350000</v>
      </c>
      <c r="F13" s="4">
        <f t="shared" ref="F13:F19" si="0">D13*E13</f>
        <v>5250000</v>
      </c>
    </row>
    <row r="14" spans="1:6" x14ac:dyDescent="0.2">
      <c r="A14" s="13" t="s">
        <v>79</v>
      </c>
      <c r="B14" s="13" t="s">
        <v>82</v>
      </c>
      <c r="C14" s="13" t="s">
        <v>83</v>
      </c>
      <c r="D14" s="18">
        <f>B4</f>
        <v>15</v>
      </c>
      <c r="E14" s="4">
        <f>Assumptions!$B$6</f>
        <v>35000</v>
      </c>
      <c r="F14" s="4">
        <f t="shared" si="0"/>
        <v>525000</v>
      </c>
    </row>
    <row r="15" spans="1:6" x14ac:dyDescent="0.2">
      <c r="A15" s="13" t="s">
        <v>84</v>
      </c>
      <c r="B15" s="13" t="s">
        <v>85</v>
      </c>
      <c r="C15" s="13" t="s">
        <v>86</v>
      </c>
      <c r="D15" s="18">
        <f>B5*B10</f>
        <v>0</v>
      </c>
      <c r="E15" s="4">
        <f>Assumptions!$B$7</f>
        <v>70000</v>
      </c>
      <c r="F15" s="4">
        <f t="shared" si="0"/>
        <v>0</v>
      </c>
    </row>
    <row r="16" spans="1:6" x14ac:dyDescent="0.2">
      <c r="A16" s="13" t="s">
        <v>87</v>
      </c>
      <c r="B16" s="13" t="s">
        <v>88</v>
      </c>
      <c r="C16" s="13" t="s">
        <v>89</v>
      </c>
      <c r="D16" s="18">
        <f>B6</f>
        <v>0</v>
      </c>
      <c r="E16" s="4">
        <f>Assumptions!$B$8</f>
        <v>750000</v>
      </c>
      <c r="F16" s="4">
        <f t="shared" si="0"/>
        <v>0</v>
      </c>
    </row>
    <row r="17" spans="1:6" x14ac:dyDescent="0.2">
      <c r="A17" s="13" t="s">
        <v>90</v>
      </c>
      <c r="B17" s="13" t="s">
        <v>91</v>
      </c>
      <c r="C17" s="13" t="s">
        <v>83</v>
      </c>
      <c r="D17" s="18">
        <f>B8</f>
        <v>0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92</v>
      </c>
      <c r="B18" s="13" t="s">
        <v>93</v>
      </c>
      <c r="C18" s="13" t="s">
        <v>89</v>
      </c>
      <c r="D18" s="18">
        <v>1</v>
      </c>
      <c r="E18" s="4">
        <f>Assumptions!$B$10</f>
        <v>0</v>
      </c>
      <c r="F18" s="4">
        <f t="shared" si="0"/>
        <v>0</v>
      </c>
    </row>
    <row r="19" spans="1:6" x14ac:dyDescent="0.2">
      <c r="A19" s="13" t="s">
        <v>92</v>
      </c>
      <c r="B19" s="13" t="s">
        <v>31</v>
      </c>
      <c r="C19" s="13" t="s">
        <v>94</v>
      </c>
      <c r="D19" s="18">
        <v>1</v>
      </c>
      <c r="E19" s="4">
        <f>Assumptions!$B$9</f>
        <v>150000</v>
      </c>
      <c r="F19" s="4">
        <f t="shared" si="0"/>
        <v>150000</v>
      </c>
    </row>
    <row r="20" spans="1:6" x14ac:dyDescent="0.2">
      <c r="E20" s="3" t="s">
        <v>95</v>
      </c>
      <c r="F20" s="19">
        <f>SUM(F13:F19)</f>
        <v>5925000</v>
      </c>
    </row>
    <row r="21" spans="1:6" ht="15.75" customHeight="1" x14ac:dyDescent="0.2">
      <c r="E21" s="3" t="s">
        <v>96</v>
      </c>
      <c r="F21" s="20">
        <f>F20/B10</f>
        <v>1185000</v>
      </c>
    </row>
    <row r="22" spans="1:6" ht="15.75" customHeight="1" x14ac:dyDescent="0.2"/>
    <row r="23" spans="1:6" ht="15.75" customHeight="1" x14ac:dyDescent="0.2">
      <c r="A23" s="21" t="s">
        <v>97</v>
      </c>
      <c r="B23" s="21" t="s">
        <v>98</v>
      </c>
      <c r="C23" s="21" t="s">
        <v>99</v>
      </c>
      <c r="D23" s="21" t="s">
        <v>100</v>
      </c>
    </row>
    <row r="24" spans="1:6" ht="15.75" customHeight="1" x14ac:dyDescent="0.2">
      <c r="A24" s="22">
        <v>0.3</v>
      </c>
      <c r="B24" s="23">
        <f t="shared" ref="B24:B29" si="1">$F$20*(1+A24)</f>
        <v>7702500</v>
      </c>
      <c r="C24" s="4">
        <f t="shared" ref="C24:C29" si="2">B24/$B$10</f>
        <v>1540500</v>
      </c>
      <c r="D24" s="24">
        <f t="shared" ref="D24:D29" si="3">B24-$F$20</f>
        <v>1777500</v>
      </c>
    </row>
    <row r="25" spans="1:6" ht="15.75" customHeight="1" x14ac:dyDescent="0.2">
      <c r="A25" s="22">
        <v>0.4</v>
      </c>
      <c r="B25" s="23">
        <f t="shared" si="1"/>
        <v>8294999.9999999991</v>
      </c>
      <c r="C25" s="4">
        <f t="shared" si="2"/>
        <v>1658999.9999999998</v>
      </c>
      <c r="D25" s="24">
        <f t="shared" si="3"/>
        <v>2369999.9999999991</v>
      </c>
    </row>
    <row r="26" spans="1:6" ht="15.75" customHeight="1" x14ac:dyDescent="0.2">
      <c r="A26" s="22">
        <v>0.5</v>
      </c>
      <c r="B26" s="23">
        <f t="shared" si="1"/>
        <v>8887500</v>
      </c>
      <c r="C26" s="4">
        <f t="shared" si="2"/>
        <v>1777500</v>
      </c>
      <c r="D26" s="24">
        <f t="shared" si="3"/>
        <v>2962500</v>
      </c>
    </row>
    <row r="27" spans="1:6" ht="15.75" customHeight="1" x14ac:dyDescent="0.2">
      <c r="A27" s="22">
        <v>0.8</v>
      </c>
      <c r="B27" s="23">
        <f t="shared" si="1"/>
        <v>10665000</v>
      </c>
      <c r="C27" s="4">
        <f t="shared" si="2"/>
        <v>2133000</v>
      </c>
      <c r="D27" s="24">
        <f t="shared" si="3"/>
        <v>4740000</v>
      </c>
    </row>
    <row r="28" spans="1:6" ht="15.75" customHeight="1" x14ac:dyDescent="0.2">
      <c r="A28" s="22">
        <v>1</v>
      </c>
      <c r="B28" s="23">
        <f t="shared" si="1"/>
        <v>11850000</v>
      </c>
      <c r="C28" s="4">
        <f t="shared" si="2"/>
        <v>2370000</v>
      </c>
      <c r="D28" s="24">
        <f t="shared" si="3"/>
        <v>5925000</v>
      </c>
    </row>
    <row r="29" spans="1:6" ht="15.75" customHeight="1" x14ac:dyDescent="0.2">
      <c r="A29" s="22">
        <v>1.5</v>
      </c>
      <c r="B29" s="23">
        <f t="shared" si="1"/>
        <v>14812500</v>
      </c>
      <c r="C29" s="4">
        <f t="shared" si="2"/>
        <v>2962500</v>
      </c>
      <c r="D29" s="24">
        <f t="shared" si="3"/>
        <v>8887500</v>
      </c>
    </row>
    <row r="30" spans="1:6" ht="15.75" customHeight="1" x14ac:dyDescent="0.2">
      <c r="A30" s="3" t="s">
        <v>6</v>
      </c>
      <c r="B30" s="25">
        <f>B9</f>
        <v>7500000</v>
      </c>
      <c r="C30" s="20">
        <f>B30/B10</f>
        <v>1500000</v>
      </c>
      <c r="D30" s="26">
        <f>B30-F20</f>
        <v>1575000</v>
      </c>
      <c r="E30" s="27">
        <f>D30/F20</f>
        <v>0.26582278481012656</v>
      </c>
      <c r="F30" s="28" t="s">
        <v>101</v>
      </c>
    </row>
    <row r="31" spans="1:6" ht="15.75" customHeight="1" x14ac:dyDescent="0.2"/>
    <row r="32" spans="1:6" ht="15.75" customHeight="1" x14ac:dyDescent="0.2">
      <c r="A32" s="3" t="s">
        <v>102</v>
      </c>
      <c r="B32" s="29">
        <f>B9</f>
        <v>7500000</v>
      </c>
    </row>
    <row r="33" spans="1:3" ht="15.75" customHeight="1" x14ac:dyDescent="0.2">
      <c r="A33" s="3" t="s">
        <v>103</v>
      </c>
      <c r="B33" s="29">
        <f>B9*(1-Assumptions!$B$12)</f>
        <v>7350000</v>
      </c>
    </row>
    <row r="34" spans="1:3" ht="15.75" customHeight="1" x14ac:dyDescent="0.2">
      <c r="A34" s="3" t="s">
        <v>104</v>
      </c>
      <c r="B34" s="30">
        <f>B33-F20</f>
        <v>1425000</v>
      </c>
    </row>
    <row r="35" spans="1:3" ht="15.75" customHeight="1" x14ac:dyDescent="0.2">
      <c r="A35" s="31" t="s">
        <v>105</v>
      </c>
      <c r="B35" s="30">
        <f>B34+F13</f>
        <v>6675000</v>
      </c>
    </row>
    <row r="36" spans="1:3" ht="15.75" customHeight="1" x14ac:dyDescent="0.2">
      <c r="A36" s="13" t="s">
        <v>106</v>
      </c>
      <c r="B36" s="4">
        <f>Assumptions!$B$14*Assumptions!$B$19</f>
        <v>60000000</v>
      </c>
    </row>
    <row r="37" spans="1:3" ht="15.75" customHeight="1" x14ac:dyDescent="0.2">
      <c r="A37" s="13" t="s">
        <v>107</v>
      </c>
      <c r="B37" s="5">
        <f>B35/B36</f>
        <v>0.11125</v>
      </c>
    </row>
    <row r="38" spans="1:3" ht="15.75" customHeight="1" x14ac:dyDescent="0.2">
      <c r="A38" s="13" t="s">
        <v>13</v>
      </c>
      <c r="B38" s="4">
        <f>B35/Assumptions!$B$19</f>
        <v>2225000</v>
      </c>
    </row>
    <row r="39" spans="1:3" ht="15.75" customHeight="1" x14ac:dyDescent="0.2">
      <c r="A39" s="13" t="s">
        <v>108</v>
      </c>
      <c r="B39" s="5">
        <f>B34/B36</f>
        <v>2.375E-2</v>
      </c>
    </row>
    <row r="40" spans="1:3" ht="15.75" customHeight="1" x14ac:dyDescent="0.2"/>
    <row r="41" spans="1:3" ht="15.75" customHeight="1" x14ac:dyDescent="0.2">
      <c r="A41" s="12" t="s">
        <v>109</v>
      </c>
    </row>
    <row r="42" spans="1:3" ht="15.75" customHeight="1" x14ac:dyDescent="0.2">
      <c r="A42" s="2" t="s">
        <v>73</v>
      </c>
      <c r="B42" s="2" t="s">
        <v>110</v>
      </c>
      <c r="C42" s="2" t="s">
        <v>111</v>
      </c>
    </row>
    <row r="43" spans="1:3" ht="15.75" customHeight="1" x14ac:dyDescent="0.2">
      <c r="A43" s="32" t="s">
        <v>79</v>
      </c>
      <c r="B43" s="32" t="str">
        <f>B4&amp;" sesi konseling online (60 menit) - ~"&amp;TEXT(B10,"0")&amp;" pegawai x "&amp;Assumptions!$B$13&amp;" sesi"</f>
        <v>15 sesi konseling online (60 menit) - ~5 pegawai x 3 sesi</v>
      </c>
      <c r="C43" s="43">
        <v>7500000</v>
      </c>
    </row>
    <row r="44" spans="1:3" ht="15.75" customHeight="1" x14ac:dyDescent="0.2">
      <c r="A44" s="32" t="s">
        <v>112</v>
      </c>
      <c r="B44" s="32" t="s">
        <v>113</v>
      </c>
      <c r="C44" s="44"/>
    </row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43:C44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baseColWidth="10" defaultColWidth="14.5" defaultRowHeight="15" customHeight="1" x14ac:dyDescent="0.2"/>
  <cols>
    <col min="1" max="1" width="34" customWidth="1"/>
    <col min="2" max="2" width="46" customWidth="1"/>
    <col min="3" max="3" width="40" customWidth="1"/>
    <col min="4" max="4" width="12" customWidth="1"/>
    <col min="5" max="6" width="18" customWidth="1"/>
    <col min="7" max="26" width="8.6640625" customWidth="1"/>
  </cols>
  <sheetData>
    <row r="1" spans="1:6" ht="17" customHeight="1" x14ac:dyDescent="0.2">
      <c r="A1" s="1" t="s">
        <v>114</v>
      </c>
    </row>
    <row r="3" spans="1:6" x14ac:dyDescent="0.2">
      <c r="A3" s="12" t="s">
        <v>61</v>
      </c>
    </row>
    <row r="4" spans="1:6" x14ac:dyDescent="0.2">
      <c r="A4" s="13" t="s">
        <v>62</v>
      </c>
      <c r="B4" s="14">
        <v>24</v>
      </c>
      <c r="D4" s="3" t="s">
        <v>63</v>
      </c>
      <c r="E4" s="4">
        <f>B4*Assumptions!$B$3+B5*Assumptions!$B$16+B6*Assumptions!$B$17+B8*Assumptions!$B$18</f>
        <v>16500000</v>
      </c>
    </row>
    <row r="5" spans="1:6" x14ac:dyDescent="0.2">
      <c r="A5" s="13" t="s">
        <v>64</v>
      </c>
      <c r="B5" s="14">
        <v>1</v>
      </c>
      <c r="D5" s="3" t="s">
        <v>65</v>
      </c>
      <c r="E5" s="4">
        <f>E4-B9</f>
        <v>2500000</v>
      </c>
    </row>
    <row r="6" spans="1:6" x14ac:dyDescent="0.2">
      <c r="A6" s="13" t="s">
        <v>66</v>
      </c>
      <c r="B6" s="14">
        <v>1</v>
      </c>
      <c r="D6" s="3" t="s">
        <v>67</v>
      </c>
      <c r="E6" s="15">
        <f>E5/E4</f>
        <v>0.15151515151515152</v>
      </c>
    </row>
    <row r="7" spans="1:6" x14ac:dyDescent="0.2">
      <c r="A7" s="13" t="s">
        <v>68</v>
      </c>
      <c r="B7" s="14">
        <v>0</v>
      </c>
      <c r="D7" s="3" t="s">
        <v>69</v>
      </c>
      <c r="E7" s="4">
        <f>B9/B4</f>
        <v>583333.33333333337</v>
      </c>
    </row>
    <row r="8" spans="1:6" x14ac:dyDescent="0.2">
      <c r="A8" s="13" t="s">
        <v>70</v>
      </c>
      <c r="B8" s="14">
        <v>0</v>
      </c>
    </row>
    <row r="9" spans="1:6" x14ac:dyDescent="0.2">
      <c r="A9" s="13" t="s">
        <v>71</v>
      </c>
      <c r="B9" s="16">
        <v>14000000</v>
      </c>
    </row>
    <row r="10" spans="1:6" x14ac:dyDescent="0.2">
      <c r="A10" s="13" t="s">
        <v>72</v>
      </c>
      <c r="B10" s="17">
        <f>B4/Assumptions!$B$13</f>
        <v>8</v>
      </c>
    </row>
    <row r="12" spans="1:6" x14ac:dyDescent="0.2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</row>
    <row r="13" spans="1:6" x14ac:dyDescent="0.2">
      <c r="A13" s="13" t="s">
        <v>79</v>
      </c>
      <c r="B13" s="13" t="s">
        <v>80</v>
      </c>
      <c r="C13" s="13" t="s">
        <v>81</v>
      </c>
      <c r="D13" s="18">
        <f>B4</f>
        <v>24</v>
      </c>
      <c r="E13" s="4">
        <f>Assumptions!$B$5</f>
        <v>350000</v>
      </c>
      <c r="F13" s="4">
        <f t="shared" ref="F13:F19" si="0">D13*E13</f>
        <v>8400000</v>
      </c>
    </row>
    <row r="14" spans="1:6" x14ac:dyDescent="0.2">
      <c r="A14" s="13" t="s">
        <v>79</v>
      </c>
      <c r="B14" s="13" t="s">
        <v>82</v>
      </c>
      <c r="C14" s="13" t="s">
        <v>83</v>
      </c>
      <c r="D14" s="18">
        <f>B4</f>
        <v>24</v>
      </c>
      <c r="E14" s="4">
        <f>Assumptions!$B$6</f>
        <v>35000</v>
      </c>
      <c r="F14" s="4">
        <f t="shared" si="0"/>
        <v>840000</v>
      </c>
    </row>
    <row r="15" spans="1:6" x14ac:dyDescent="0.2">
      <c r="A15" s="13" t="s">
        <v>84</v>
      </c>
      <c r="B15" s="13" t="s">
        <v>85</v>
      </c>
      <c r="C15" s="13" t="s">
        <v>86</v>
      </c>
      <c r="D15" s="18">
        <f>B5*B10</f>
        <v>8</v>
      </c>
      <c r="E15" s="4">
        <f>Assumptions!$B$7</f>
        <v>70000</v>
      </c>
      <c r="F15" s="4">
        <f t="shared" si="0"/>
        <v>560000</v>
      </c>
    </row>
    <row r="16" spans="1:6" x14ac:dyDescent="0.2">
      <c r="A16" s="13" t="s">
        <v>87</v>
      </c>
      <c r="B16" s="13" t="s">
        <v>88</v>
      </c>
      <c r="C16" s="13" t="s">
        <v>89</v>
      </c>
      <c r="D16" s="18">
        <f>B6</f>
        <v>1</v>
      </c>
      <c r="E16" s="4">
        <f>Assumptions!$B$8</f>
        <v>750000</v>
      </c>
      <c r="F16" s="4">
        <f t="shared" si="0"/>
        <v>750000</v>
      </c>
    </row>
    <row r="17" spans="1:6" x14ac:dyDescent="0.2">
      <c r="A17" s="13" t="s">
        <v>90</v>
      </c>
      <c r="B17" s="13" t="s">
        <v>91</v>
      </c>
      <c r="C17" s="13" t="s">
        <v>83</v>
      </c>
      <c r="D17" s="18">
        <f>B8</f>
        <v>0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92</v>
      </c>
      <c r="B18" s="13" t="s">
        <v>93</v>
      </c>
      <c r="C18" s="13" t="s">
        <v>89</v>
      </c>
      <c r="D18" s="18">
        <v>1</v>
      </c>
      <c r="E18" s="4">
        <f>Assumptions!$B$10</f>
        <v>0</v>
      </c>
      <c r="F18" s="4">
        <f t="shared" si="0"/>
        <v>0</v>
      </c>
    </row>
    <row r="19" spans="1:6" x14ac:dyDescent="0.2">
      <c r="A19" s="13" t="s">
        <v>92</v>
      </c>
      <c r="B19" s="13" t="s">
        <v>31</v>
      </c>
      <c r="C19" s="13" t="s">
        <v>94</v>
      </c>
      <c r="D19" s="18">
        <v>1</v>
      </c>
      <c r="E19" s="4">
        <f>Assumptions!$B$9</f>
        <v>150000</v>
      </c>
      <c r="F19" s="4">
        <f t="shared" si="0"/>
        <v>150000</v>
      </c>
    </row>
    <row r="20" spans="1:6" x14ac:dyDescent="0.2">
      <c r="E20" s="3" t="s">
        <v>95</v>
      </c>
      <c r="F20" s="19">
        <f>SUM(F13:F19)</f>
        <v>10700000</v>
      </c>
    </row>
    <row r="21" spans="1:6" ht="15.75" customHeight="1" x14ac:dyDescent="0.2">
      <c r="E21" s="3" t="s">
        <v>96</v>
      </c>
      <c r="F21" s="20">
        <f>F20/B10</f>
        <v>1337500</v>
      </c>
    </row>
    <row r="22" spans="1:6" ht="15.75" customHeight="1" x14ac:dyDescent="0.2"/>
    <row r="23" spans="1:6" ht="15.75" customHeight="1" x14ac:dyDescent="0.2">
      <c r="A23" s="21" t="s">
        <v>97</v>
      </c>
      <c r="B23" s="21" t="s">
        <v>98</v>
      </c>
      <c r="C23" s="21" t="s">
        <v>99</v>
      </c>
      <c r="D23" s="21" t="s">
        <v>100</v>
      </c>
    </row>
    <row r="24" spans="1:6" ht="15.75" customHeight="1" x14ac:dyDescent="0.2">
      <c r="A24" s="22">
        <v>0.3</v>
      </c>
      <c r="B24" s="23">
        <f t="shared" ref="B24:B29" si="1">$F$20*(1+A24)</f>
        <v>13910000</v>
      </c>
      <c r="C24" s="4">
        <f t="shared" ref="C24:C29" si="2">B24/$B$10</f>
        <v>1738750</v>
      </c>
      <c r="D24" s="24">
        <f t="shared" ref="D24:D29" si="3">B24-$F$20</f>
        <v>3210000</v>
      </c>
    </row>
    <row r="25" spans="1:6" ht="15.75" customHeight="1" x14ac:dyDescent="0.2">
      <c r="A25" s="22">
        <v>0.4</v>
      </c>
      <c r="B25" s="23">
        <f t="shared" si="1"/>
        <v>14979999.999999998</v>
      </c>
      <c r="C25" s="4">
        <f t="shared" si="2"/>
        <v>1872499.9999999998</v>
      </c>
      <c r="D25" s="24">
        <f t="shared" si="3"/>
        <v>4279999.9999999981</v>
      </c>
    </row>
    <row r="26" spans="1:6" ht="15.75" customHeight="1" x14ac:dyDescent="0.2">
      <c r="A26" s="22">
        <v>0.5</v>
      </c>
      <c r="B26" s="23">
        <f t="shared" si="1"/>
        <v>16050000</v>
      </c>
      <c r="C26" s="4">
        <f t="shared" si="2"/>
        <v>2006250</v>
      </c>
      <c r="D26" s="24">
        <f t="shared" si="3"/>
        <v>5350000</v>
      </c>
    </row>
    <row r="27" spans="1:6" ht="15.75" customHeight="1" x14ac:dyDescent="0.2">
      <c r="A27" s="22">
        <v>0.8</v>
      </c>
      <c r="B27" s="23">
        <f t="shared" si="1"/>
        <v>19260000</v>
      </c>
      <c r="C27" s="4">
        <f t="shared" si="2"/>
        <v>2407500</v>
      </c>
      <c r="D27" s="24">
        <f t="shared" si="3"/>
        <v>8560000</v>
      </c>
    </row>
    <row r="28" spans="1:6" ht="15.75" customHeight="1" x14ac:dyDescent="0.2">
      <c r="A28" s="22">
        <v>1</v>
      </c>
      <c r="B28" s="23">
        <f t="shared" si="1"/>
        <v>21400000</v>
      </c>
      <c r="C28" s="4">
        <f t="shared" si="2"/>
        <v>2675000</v>
      </c>
      <c r="D28" s="24">
        <f t="shared" si="3"/>
        <v>10700000</v>
      </c>
    </row>
    <row r="29" spans="1:6" ht="15.75" customHeight="1" x14ac:dyDescent="0.2">
      <c r="A29" s="22">
        <v>1.5</v>
      </c>
      <c r="B29" s="23">
        <f t="shared" si="1"/>
        <v>26750000</v>
      </c>
      <c r="C29" s="4">
        <f t="shared" si="2"/>
        <v>3343750</v>
      </c>
      <c r="D29" s="24">
        <f t="shared" si="3"/>
        <v>16050000</v>
      </c>
    </row>
    <row r="30" spans="1:6" ht="15.75" customHeight="1" x14ac:dyDescent="0.2">
      <c r="A30" s="3" t="s">
        <v>6</v>
      </c>
      <c r="B30" s="25">
        <f>B9</f>
        <v>14000000</v>
      </c>
      <c r="C30" s="20">
        <f>B30/B10</f>
        <v>1750000</v>
      </c>
      <c r="D30" s="26">
        <f>B30-F20</f>
        <v>3300000</v>
      </c>
      <c r="E30" s="27">
        <f>D30/F20</f>
        <v>0.30841121495327101</v>
      </c>
      <c r="F30" s="28" t="s">
        <v>101</v>
      </c>
    </row>
    <row r="31" spans="1:6" ht="15.75" customHeight="1" x14ac:dyDescent="0.2"/>
    <row r="32" spans="1:6" ht="15.75" customHeight="1" x14ac:dyDescent="0.2">
      <c r="A32" s="3" t="s">
        <v>102</v>
      </c>
      <c r="B32" s="29">
        <f>B9</f>
        <v>14000000</v>
      </c>
    </row>
    <row r="33" spans="1:3" ht="15.75" customHeight="1" x14ac:dyDescent="0.2">
      <c r="A33" s="3" t="s">
        <v>103</v>
      </c>
      <c r="B33" s="29">
        <f>B9*(1-Assumptions!$B$12)</f>
        <v>13720000</v>
      </c>
    </row>
    <row r="34" spans="1:3" ht="15.75" customHeight="1" x14ac:dyDescent="0.2">
      <c r="A34" s="3" t="s">
        <v>104</v>
      </c>
      <c r="B34" s="30">
        <f>B33-F20</f>
        <v>3020000</v>
      </c>
    </row>
    <row r="35" spans="1:3" ht="15.75" customHeight="1" x14ac:dyDescent="0.2">
      <c r="A35" s="31" t="s">
        <v>105</v>
      </c>
      <c r="B35" s="30">
        <f>B34+F13</f>
        <v>11420000</v>
      </c>
    </row>
    <row r="36" spans="1:3" ht="15.75" customHeight="1" x14ac:dyDescent="0.2">
      <c r="A36" s="13" t="s">
        <v>106</v>
      </c>
      <c r="B36" s="4">
        <f>Assumptions!$B$14*Assumptions!$B$19</f>
        <v>60000000</v>
      </c>
    </row>
    <row r="37" spans="1:3" ht="15.75" customHeight="1" x14ac:dyDescent="0.2">
      <c r="A37" s="13" t="s">
        <v>107</v>
      </c>
      <c r="B37" s="5">
        <f>B35/B36</f>
        <v>0.19033333333333333</v>
      </c>
    </row>
    <row r="38" spans="1:3" ht="15.75" customHeight="1" x14ac:dyDescent="0.2">
      <c r="A38" s="13" t="s">
        <v>13</v>
      </c>
      <c r="B38" s="4">
        <f>B35/Assumptions!$B$19</f>
        <v>3806666.6666666665</v>
      </c>
    </row>
    <row r="39" spans="1:3" ht="15.75" customHeight="1" x14ac:dyDescent="0.2">
      <c r="A39" s="13" t="s">
        <v>108</v>
      </c>
      <c r="B39" s="5">
        <f>B34/B36</f>
        <v>5.0333333333333334E-2</v>
      </c>
    </row>
    <row r="40" spans="1:3" ht="15.75" customHeight="1" x14ac:dyDescent="0.2"/>
    <row r="41" spans="1:3" ht="15.75" customHeight="1" x14ac:dyDescent="0.2">
      <c r="A41" s="12" t="s">
        <v>109</v>
      </c>
    </row>
    <row r="42" spans="1:3" ht="15.75" customHeight="1" x14ac:dyDescent="0.2">
      <c r="A42" s="2" t="s">
        <v>73</v>
      </c>
      <c r="B42" s="2" t="s">
        <v>110</v>
      </c>
      <c r="C42" s="2" t="s">
        <v>111</v>
      </c>
    </row>
    <row r="43" spans="1:3" ht="15.75" customHeight="1" x14ac:dyDescent="0.2">
      <c r="A43" s="32" t="s">
        <v>79</v>
      </c>
      <c r="B43" s="32" t="str">
        <f>B4&amp;" sesi konseling online (60 menit) - ~"&amp;TEXT(B10,"0")&amp;" pegawai x "&amp;Assumptions!$B$13&amp;" sesi"</f>
        <v>24 sesi konseling online (60 menit) - ~8 pegawai x 3 sesi</v>
      </c>
      <c r="C43" s="43">
        <v>14000000</v>
      </c>
    </row>
    <row r="44" spans="1:3" ht="15.75" customHeight="1" x14ac:dyDescent="0.2">
      <c r="A44" s="32" t="s">
        <v>115</v>
      </c>
      <c r="B44" s="32" t="str">
        <f>B5&amp;"x MHCU ("&amp;IF(B5=2,"pre &amp; post","baseline")&amp;")"</f>
        <v>1x MHCU (baseline)</v>
      </c>
      <c r="C44" s="45"/>
    </row>
    <row r="45" spans="1:3" ht="15.75" customHeight="1" x14ac:dyDescent="0.2">
      <c r="A45" s="32" t="s">
        <v>87</v>
      </c>
      <c r="B45" s="32" t="s">
        <v>88</v>
      </c>
      <c r="C45" s="45"/>
    </row>
    <row r="46" spans="1:3" ht="15.75" customHeight="1" x14ac:dyDescent="0.2">
      <c r="A46" s="32" t="s">
        <v>112</v>
      </c>
      <c r="B46" s="32" t="s">
        <v>113</v>
      </c>
      <c r="C46" s="44"/>
    </row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43:C46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2"/>
  <sheetViews>
    <sheetView workbookViewId="0"/>
  </sheetViews>
  <sheetFormatPr baseColWidth="10" defaultColWidth="8.83203125" defaultRowHeight="15" x14ac:dyDescent="0.2"/>
  <cols>
    <col min="1" max="1" width="34" customWidth="1"/>
    <col min="2" max="2" width="46" customWidth="1"/>
    <col min="3" max="3" width="40" customWidth="1"/>
    <col min="4" max="4" width="12" customWidth="1"/>
    <col min="5" max="5" width="18" customWidth="1"/>
    <col min="7" max="7" width="8.6640625" customWidth="1"/>
  </cols>
  <sheetData>
    <row r="1" spans="1:6" ht="17" customHeight="1" x14ac:dyDescent="0.2">
      <c r="A1" s="39" t="s">
        <v>116</v>
      </c>
      <c r="B1" s="40"/>
      <c r="C1" s="40"/>
      <c r="D1" s="40"/>
      <c r="E1" s="40"/>
      <c r="F1" s="40"/>
    </row>
    <row r="2" spans="1:6" x14ac:dyDescent="0.2">
      <c r="A2" s="40"/>
      <c r="B2" s="40"/>
      <c r="C2" s="40"/>
      <c r="D2" s="40"/>
      <c r="E2" s="40"/>
      <c r="F2" s="40"/>
    </row>
    <row r="3" spans="1:6" x14ac:dyDescent="0.2">
      <c r="A3" s="41" t="s">
        <v>61</v>
      </c>
      <c r="B3" s="40"/>
      <c r="C3" s="40"/>
      <c r="D3" s="40"/>
      <c r="E3" s="40"/>
      <c r="F3" s="40"/>
    </row>
    <row r="4" spans="1:6" x14ac:dyDescent="0.2">
      <c r="A4" s="13" t="s">
        <v>62</v>
      </c>
      <c r="B4" s="14">
        <v>36</v>
      </c>
      <c r="C4" s="40"/>
      <c r="D4" s="3" t="s">
        <v>63</v>
      </c>
      <c r="E4" s="4">
        <f>B4*Assumptions!$B$3+B5*Assumptions!$B$16+B6*Assumptions!$B$17+B8*Assumptions!$B$18+E10</f>
        <v>30000000</v>
      </c>
      <c r="F4" s="40"/>
    </row>
    <row r="5" spans="1:6" x14ac:dyDescent="0.2">
      <c r="A5" s="13" t="s">
        <v>64</v>
      </c>
      <c r="B5" s="14">
        <v>2</v>
      </c>
      <c r="C5" s="40"/>
      <c r="D5" s="3" t="s">
        <v>65</v>
      </c>
      <c r="E5" s="4">
        <f>E4-B9</f>
        <v>7000000</v>
      </c>
      <c r="F5" s="40"/>
    </row>
    <row r="6" spans="1:6" x14ac:dyDescent="0.2">
      <c r="A6" s="13" t="s">
        <v>66</v>
      </c>
      <c r="B6" s="14">
        <v>1</v>
      </c>
      <c r="C6" s="40"/>
      <c r="D6" s="3" t="s">
        <v>67</v>
      </c>
      <c r="E6" s="15">
        <f>E5/E4</f>
        <v>0.23333333333333334</v>
      </c>
      <c r="F6" s="40"/>
    </row>
    <row r="7" spans="1:6" x14ac:dyDescent="0.2">
      <c r="A7" s="13" t="s">
        <v>68</v>
      </c>
      <c r="B7" s="14">
        <v>1</v>
      </c>
      <c r="C7" s="40"/>
      <c r="D7" s="3" t="s">
        <v>69</v>
      </c>
      <c r="E7" s="4">
        <f>B9/B4</f>
        <v>638888.88888888888</v>
      </c>
      <c r="F7" s="40"/>
    </row>
    <row r="8" spans="1:6" x14ac:dyDescent="0.2">
      <c r="A8" s="13" t="s">
        <v>117</v>
      </c>
      <c r="B8" s="14">
        <v>1</v>
      </c>
      <c r="C8" s="40"/>
      <c r="D8" s="3" t="s">
        <v>118</v>
      </c>
      <c r="E8" s="14">
        <v>2</v>
      </c>
      <c r="F8" s="40"/>
    </row>
    <row r="9" spans="1:6" x14ac:dyDescent="0.2">
      <c r="A9" s="13" t="s">
        <v>71</v>
      </c>
      <c r="B9" s="16">
        <v>23000000</v>
      </c>
      <c r="C9" s="40"/>
      <c r="D9" s="3" t="s">
        <v>119</v>
      </c>
      <c r="E9" s="38">
        <f>Penyuluhan!E9</f>
        <v>0.33333333333333331</v>
      </c>
      <c r="F9" s="40"/>
    </row>
    <row r="10" spans="1:6" x14ac:dyDescent="0.2">
      <c r="A10" s="13" t="s">
        <v>72</v>
      </c>
      <c r="B10" s="17">
        <f>B4/Assumptions!$B$13</f>
        <v>12</v>
      </c>
      <c r="C10" s="40"/>
      <c r="D10" s="3" t="s">
        <v>120</v>
      </c>
      <c r="E10" s="4">
        <f>E8*E9*Assumptions!$B$18</f>
        <v>2000000</v>
      </c>
      <c r="F10" s="40"/>
    </row>
    <row r="11" spans="1:6" x14ac:dyDescent="0.2">
      <c r="A11" s="40"/>
      <c r="B11" s="40"/>
      <c r="C11" s="40"/>
      <c r="D11" s="40"/>
      <c r="E11" s="40"/>
      <c r="F11" s="40"/>
    </row>
    <row r="12" spans="1:6" x14ac:dyDescent="0.2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</row>
    <row r="13" spans="1:6" x14ac:dyDescent="0.2">
      <c r="A13" s="13" t="s">
        <v>79</v>
      </c>
      <c r="B13" s="13" t="s">
        <v>80</v>
      </c>
      <c r="C13" s="13" t="s">
        <v>81</v>
      </c>
      <c r="D13" s="18">
        <f>B4</f>
        <v>36</v>
      </c>
      <c r="E13" s="4">
        <f>Assumptions!$B$5</f>
        <v>350000</v>
      </c>
      <c r="F13" s="4">
        <f t="shared" ref="F13:F22" si="0">D13*E13</f>
        <v>12600000</v>
      </c>
    </row>
    <row r="14" spans="1:6" x14ac:dyDescent="0.2">
      <c r="A14" s="13" t="s">
        <v>79</v>
      </c>
      <c r="B14" s="13" t="s">
        <v>82</v>
      </c>
      <c r="C14" s="13" t="s">
        <v>83</v>
      </c>
      <c r="D14" s="18">
        <f>B4</f>
        <v>36</v>
      </c>
      <c r="E14" s="4">
        <f>Assumptions!$B$6</f>
        <v>35000</v>
      </c>
      <c r="F14" s="4">
        <f t="shared" si="0"/>
        <v>1260000</v>
      </c>
    </row>
    <row r="15" spans="1:6" x14ac:dyDescent="0.2">
      <c r="A15" s="13" t="s">
        <v>84</v>
      </c>
      <c r="B15" s="13" t="s">
        <v>85</v>
      </c>
      <c r="C15" s="13" t="s">
        <v>86</v>
      </c>
      <c r="D15" s="18">
        <f>B5*B10</f>
        <v>24</v>
      </c>
      <c r="E15" s="4">
        <f>Assumptions!$B$7</f>
        <v>70000</v>
      </c>
      <c r="F15" s="4">
        <f t="shared" si="0"/>
        <v>1680000</v>
      </c>
    </row>
    <row r="16" spans="1:6" x14ac:dyDescent="0.2">
      <c r="A16" s="13" t="s">
        <v>87</v>
      </c>
      <c r="B16" s="13" t="s">
        <v>88</v>
      </c>
      <c r="C16" s="13" t="s">
        <v>89</v>
      </c>
      <c r="D16" s="18">
        <f>B6</f>
        <v>1</v>
      </c>
      <c r="E16" s="4">
        <f>Assumptions!$B$8</f>
        <v>750000</v>
      </c>
      <c r="F16" s="4">
        <f t="shared" si="0"/>
        <v>750000</v>
      </c>
    </row>
    <row r="17" spans="1:6" x14ac:dyDescent="0.2">
      <c r="A17" s="13" t="s">
        <v>90</v>
      </c>
      <c r="B17" s="13" t="s">
        <v>121</v>
      </c>
      <c r="C17" s="13" t="s">
        <v>83</v>
      </c>
      <c r="D17" s="18">
        <f>B8</f>
        <v>1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122</v>
      </c>
      <c r="B18" s="13" t="s">
        <v>123</v>
      </c>
      <c r="C18" s="13" t="s">
        <v>83</v>
      </c>
      <c r="D18" s="18">
        <f>E8</f>
        <v>2</v>
      </c>
      <c r="E18" s="4">
        <f>Assumptions!$B$23</f>
        <v>0</v>
      </c>
      <c r="F18" s="4">
        <f t="shared" si="0"/>
        <v>0</v>
      </c>
    </row>
    <row r="19" spans="1:6" x14ac:dyDescent="0.2">
      <c r="A19" s="13" t="s">
        <v>122</v>
      </c>
      <c r="B19" s="13" t="s">
        <v>124</v>
      </c>
      <c r="C19" s="13" t="s">
        <v>83</v>
      </c>
      <c r="D19" s="18">
        <f>E8</f>
        <v>2</v>
      </c>
      <c r="E19" s="4">
        <f>Assumptions!$B$24</f>
        <v>100000</v>
      </c>
      <c r="F19" s="4">
        <f t="shared" si="0"/>
        <v>200000</v>
      </c>
    </row>
    <row r="20" spans="1:6" x14ac:dyDescent="0.2">
      <c r="A20" s="13" t="s">
        <v>122</v>
      </c>
      <c r="B20" s="13" t="s">
        <v>125</v>
      </c>
      <c r="C20" s="13" t="s">
        <v>83</v>
      </c>
      <c r="D20" s="18">
        <f>E8</f>
        <v>2</v>
      </c>
      <c r="E20" s="4">
        <f>Assumptions!$B$25</f>
        <v>0</v>
      </c>
      <c r="F20" s="4">
        <f t="shared" si="0"/>
        <v>0</v>
      </c>
    </row>
    <row r="21" spans="1:6" x14ac:dyDescent="0.2">
      <c r="A21" s="13" t="s">
        <v>92</v>
      </c>
      <c r="B21" s="13" t="s">
        <v>93</v>
      </c>
      <c r="C21" s="13" t="s">
        <v>89</v>
      </c>
      <c r="D21" s="18">
        <v>1</v>
      </c>
      <c r="E21" s="4">
        <f>Assumptions!$B$10</f>
        <v>0</v>
      </c>
      <c r="F21" s="4">
        <f t="shared" si="0"/>
        <v>0</v>
      </c>
    </row>
    <row r="22" spans="1:6" x14ac:dyDescent="0.2">
      <c r="A22" s="13" t="s">
        <v>92</v>
      </c>
      <c r="B22" s="13" t="s">
        <v>31</v>
      </c>
      <c r="C22" s="13" t="s">
        <v>94</v>
      </c>
      <c r="D22" s="18">
        <v>1</v>
      </c>
      <c r="E22" s="4">
        <f>Assumptions!$B$9</f>
        <v>150000</v>
      </c>
      <c r="F22" s="4">
        <f t="shared" si="0"/>
        <v>150000</v>
      </c>
    </row>
    <row r="23" spans="1:6" x14ac:dyDescent="0.2">
      <c r="A23" s="40"/>
      <c r="B23" s="40"/>
      <c r="C23" s="40"/>
      <c r="D23" s="40"/>
      <c r="E23" s="3" t="s">
        <v>95</v>
      </c>
      <c r="F23" s="19">
        <f>SUM(F13:F22)</f>
        <v>16640000</v>
      </c>
    </row>
    <row r="24" spans="1:6" x14ac:dyDescent="0.2">
      <c r="A24" s="40"/>
      <c r="B24" s="40"/>
      <c r="C24" s="40"/>
      <c r="D24" s="40"/>
      <c r="E24" s="3" t="s">
        <v>96</v>
      </c>
      <c r="F24" s="20">
        <f>F23/B10</f>
        <v>1386666.6666666667</v>
      </c>
    </row>
    <row r="25" spans="1:6" x14ac:dyDescent="0.2">
      <c r="A25" s="40"/>
      <c r="B25" s="40"/>
      <c r="C25" s="40"/>
      <c r="D25" s="40"/>
      <c r="E25" s="40"/>
      <c r="F25" s="40"/>
    </row>
    <row r="26" spans="1:6" x14ac:dyDescent="0.2">
      <c r="A26" s="21" t="s">
        <v>97</v>
      </c>
      <c r="B26" s="21" t="s">
        <v>98</v>
      </c>
      <c r="C26" s="21" t="s">
        <v>99</v>
      </c>
      <c r="D26" s="21" t="s">
        <v>100</v>
      </c>
      <c r="E26" s="40"/>
      <c r="F26" s="40"/>
    </row>
    <row r="27" spans="1:6" x14ac:dyDescent="0.2">
      <c r="A27" s="22">
        <v>0.3</v>
      </c>
      <c r="B27" s="23">
        <f t="shared" ref="B27:B32" si="1">$F$23*(1+A27)</f>
        <v>21632000</v>
      </c>
      <c r="C27" s="4">
        <f t="shared" ref="C27:C32" si="2">B27/$B$10</f>
        <v>1802666.6666666667</v>
      </c>
      <c r="D27" s="24">
        <f t="shared" ref="D27:D32" si="3">B27-$F$23</f>
        <v>4992000</v>
      </c>
      <c r="E27" s="40"/>
      <c r="F27" s="40"/>
    </row>
    <row r="28" spans="1:6" x14ac:dyDescent="0.2">
      <c r="A28" s="22">
        <v>0.4</v>
      </c>
      <c r="B28" s="23">
        <f t="shared" si="1"/>
        <v>23296000</v>
      </c>
      <c r="C28" s="4">
        <f t="shared" si="2"/>
        <v>1941333.3333333333</v>
      </c>
      <c r="D28" s="24">
        <f t="shared" si="3"/>
        <v>6656000</v>
      </c>
      <c r="E28" s="40"/>
      <c r="F28" s="40"/>
    </row>
    <row r="29" spans="1:6" x14ac:dyDescent="0.2">
      <c r="A29" s="22">
        <v>0.5</v>
      </c>
      <c r="B29" s="23">
        <f t="shared" si="1"/>
        <v>24960000</v>
      </c>
      <c r="C29" s="4">
        <f t="shared" si="2"/>
        <v>2080000</v>
      </c>
      <c r="D29" s="24">
        <f t="shared" si="3"/>
        <v>8320000</v>
      </c>
      <c r="E29" s="40"/>
      <c r="F29" s="40"/>
    </row>
    <row r="30" spans="1:6" x14ac:dyDescent="0.2">
      <c r="A30" s="22">
        <v>0.8</v>
      </c>
      <c r="B30" s="23">
        <f t="shared" si="1"/>
        <v>29952000</v>
      </c>
      <c r="C30" s="4">
        <f t="shared" si="2"/>
        <v>2496000</v>
      </c>
      <c r="D30" s="24">
        <f t="shared" si="3"/>
        <v>13312000</v>
      </c>
      <c r="E30" s="40"/>
      <c r="F30" s="40"/>
    </row>
    <row r="31" spans="1:6" x14ac:dyDescent="0.2">
      <c r="A31" s="22">
        <v>1</v>
      </c>
      <c r="B31" s="23">
        <f t="shared" si="1"/>
        <v>33280000</v>
      </c>
      <c r="C31" s="4">
        <f t="shared" si="2"/>
        <v>2773333.3333333335</v>
      </c>
      <c r="D31" s="24">
        <f t="shared" si="3"/>
        <v>16640000</v>
      </c>
      <c r="E31" s="40"/>
      <c r="F31" s="40"/>
    </row>
    <row r="32" spans="1:6" x14ac:dyDescent="0.2">
      <c r="A32" s="22">
        <v>1.5</v>
      </c>
      <c r="B32" s="23">
        <f t="shared" si="1"/>
        <v>41600000</v>
      </c>
      <c r="C32" s="4">
        <f t="shared" si="2"/>
        <v>3466666.6666666665</v>
      </c>
      <c r="D32" s="24">
        <f t="shared" si="3"/>
        <v>24960000</v>
      </c>
      <c r="E32" s="40"/>
      <c r="F32" s="40"/>
    </row>
    <row r="33" spans="1:6" x14ac:dyDescent="0.2">
      <c r="A33" s="3" t="s">
        <v>6</v>
      </c>
      <c r="B33" s="25">
        <f>B9</f>
        <v>23000000</v>
      </c>
      <c r="C33" s="20">
        <f>B33/B10</f>
        <v>1916666.6666666667</v>
      </c>
      <c r="D33" s="26">
        <f>B33-F23</f>
        <v>6360000</v>
      </c>
      <c r="E33" s="27">
        <f>D33/F23</f>
        <v>0.38221153846153844</v>
      </c>
      <c r="F33" s="42" t="s">
        <v>101</v>
      </c>
    </row>
    <row r="34" spans="1:6" x14ac:dyDescent="0.2">
      <c r="A34" s="40"/>
      <c r="B34" s="40"/>
      <c r="C34" s="40"/>
      <c r="D34" s="40"/>
      <c r="E34" s="40"/>
      <c r="F34" s="40"/>
    </row>
    <row r="35" spans="1:6" ht="16" customHeight="1" x14ac:dyDescent="0.2">
      <c r="A35" s="3" t="s">
        <v>102</v>
      </c>
      <c r="B35" s="29">
        <f>B9</f>
        <v>23000000</v>
      </c>
      <c r="C35" s="40"/>
      <c r="D35" s="40"/>
      <c r="E35" s="40"/>
      <c r="F35" s="40"/>
    </row>
    <row r="36" spans="1:6" ht="16" customHeight="1" x14ac:dyDescent="0.2">
      <c r="A36" s="3" t="s">
        <v>103</v>
      </c>
      <c r="B36" s="29">
        <f>B9*(1-Assumptions!$B$12)</f>
        <v>22540000</v>
      </c>
      <c r="C36" s="40"/>
      <c r="D36" s="40"/>
      <c r="E36" s="40"/>
      <c r="F36" s="40"/>
    </row>
    <row r="37" spans="1:6" ht="16" customHeight="1" x14ac:dyDescent="0.2">
      <c r="A37" s="3" t="s">
        <v>104</v>
      </c>
      <c r="B37" s="30">
        <f>B36-F23</f>
        <v>5900000</v>
      </c>
      <c r="C37" s="40"/>
      <c r="D37" s="40"/>
      <c r="E37" s="40"/>
      <c r="F37" s="40"/>
    </row>
    <row r="38" spans="1:6" ht="29" customHeight="1" x14ac:dyDescent="0.2">
      <c r="A38" s="31" t="s">
        <v>105</v>
      </c>
      <c r="B38" s="30">
        <f>B37+F13</f>
        <v>18500000</v>
      </c>
      <c r="C38" s="40"/>
      <c r="D38" s="40"/>
      <c r="E38" s="40"/>
      <c r="F38" s="40"/>
    </row>
    <row r="39" spans="1:6" x14ac:dyDescent="0.2">
      <c r="A39" s="13" t="s">
        <v>106</v>
      </c>
      <c r="B39" s="4">
        <f>Assumptions!$B$14*Assumptions!$B$19</f>
        <v>60000000</v>
      </c>
      <c r="C39" s="40"/>
      <c r="D39" s="40"/>
      <c r="E39" s="40"/>
      <c r="F39" s="40"/>
    </row>
    <row r="40" spans="1:6" x14ac:dyDescent="0.2">
      <c r="A40" s="13" t="s">
        <v>107</v>
      </c>
      <c r="B40" s="5">
        <f>B38/B39</f>
        <v>0.30833333333333335</v>
      </c>
      <c r="C40" s="40"/>
      <c r="D40" s="40"/>
      <c r="E40" s="40"/>
      <c r="F40" s="40"/>
    </row>
    <row r="41" spans="1:6" x14ac:dyDescent="0.2">
      <c r="A41" s="13" t="s">
        <v>13</v>
      </c>
      <c r="B41" s="4">
        <f>B38/Assumptions!$B$19</f>
        <v>6166666.666666667</v>
      </c>
      <c r="C41" s="40"/>
      <c r="D41" s="40"/>
      <c r="E41" s="40"/>
      <c r="F41" s="40"/>
    </row>
    <row r="42" spans="1:6" x14ac:dyDescent="0.2">
      <c r="A42" s="13" t="s">
        <v>108</v>
      </c>
      <c r="B42" s="5">
        <f>B37/B39</f>
        <v>9.8333333333333328E-2</v>
      </c>
      <c r="C42" s="40"/>
      <c r="D42" s="40"/>
      <c r="E42" s="40"/>
      <c r="F42" s="40"/>
    </row>
    <row r="43" spans="1:6" x14ac:dyDescent="0.2">
      <c r="A43" s="40"/>
      <c r="B43" s="40"/>
      <c r="C43" s="40"/>
      <c r="D43" s="40"/>
      <c r="E43" s="40"/>
      <c r="F43" s="40"/>
    </row>
    <row r="44" spans="1:6" x14ac:dyDescent="0.2">
      <c r="A44" s="41" t="s">
        <v>109</v>
      </c>
      <c r="B44" s="40"/>
      <c r="C44" s="40"/>
      <c r="D44" s="40"/>
      <c r="E44" s="40"/>
      <c r="F44" s="40"/>
    </row>
    <row r="45" spans="1:6" x14ac:dyDescent="0.2">
      <c r="A45" s="2" t="s">
        <v>73</v>
      </c>
      <c r="B45" s="2" t="s">
        <v>110</v>
      </c>
      <c r="C45" s="2" t="s">
        <v>111</v>
      </c>
      <c r="D45" s="40"/>
      <c r="E45" s="40"/>
      <c r="F45" s="40"/>
    </row>
    <row r="46" spans="1:6" x14ac:dyDescent="0.2">
      <c r="A46" s="32" t="s">
        <v>79</v>
      </c>
      <c r="B46" s="32" t="str">
        <f>B4&amp;" sesi konseling online (60 menit) - ~"&amp;TEXT(B10,"0")&amp;" pegawai x "&amp;Assumptions!$B$13&amp;" sesi"</f>
        <v>36 sesi konseling online (60 menit) - ~12 pegawai x 3 sesi</v>
      </c>
      <c r="C46" s="43">
        <v>23000000</v>
      </c>
      <c r="D46" s="40"/>
      <c r="E46" s="40"/>
      <c r="F46" s="40"/>
    </row>
    <row r="47" spans="1:6" x14ac:dyDescent="0.2">
      <c r="A47" s="32" t="s">
        <v>115</v>
      </c>
      <c r="B47" s="32" t="str">
        <f>B5&amp;"x MHCU ("&amp;IF(B5=2,"pre &amp; post","baseline")&amp;")"</f>
        <v>2x MHCU (pre &amp; post)</v>
      </c>
      <c r="C47" s="45"/>
      <c r="D47" s="40"/>
      <c r="E47" s="40"/>
      <c r="F47" s="40"/>
    </row>
    <row r="48" spans="1:6" x14ac:dyDescent="0.2">
      <c r="A48" s="32" t="s">
        <v>87</v>
      </c>
      <c r="B48" s="32" t="s">
        <v>126</v>
      </c>
      <c r="C48" s="45"/>
      <c r="D48" s="40"/>
      <c r="E48" s="40"/>
      <c r="F48" s="40"/>
    </row>
    <row r="49" spans="1:6" x14ac:dyDescent="0.2">
      <c r="A49" s="32" t="s">
        <v>87</v>
      </c>
      <c r="B49" s="32" t="s">
        <v>127</v>
      </c>
      <c r="C49" s="45"/>
      <c r="D49" s="40"/>
      <c r="E49" s="40"/>
      <c r="F49" s="40"/>
    </row>
    <row r="50" spans="1:6" x14ac:dyDescent="0.2">
      <c r="A50" s="32" t="s">
        <v>128</v>
      </c>
      <c r="B50" s="32" t="str">
        <f>B8&amp;" webinar premium online, privat untuk pegawai BI (interaktif, dengan sesi tanya jawab)"</f>
        <v>1 webinar premium online, privat untuk pegawai BI (interaktif, dengan sesi tanya jawab)</v>
      </c>
      <c r="C50" s="45"/>
      <c r="D50" s="40"/>
      <c r="E50" s="40"/>
      <c r="F50" s="40"/>
    </row>
    <row r="51" spans="1:6" x14ac:dyDescent="0.2">
      <c r="A51" s="32" t="s">
        <v>129</v>
      </c>
      <c r="B51" s="32" t="str">
        <f>E8&amp;" sesi penyuluhan online (30 menit, jam kerja), gratis - terbuka untuk umum (nilai Rp"&amp;E10/1000000&amp;"jt)"</f>
        <v>2 sesi penyuluhan online (30 menit, jam kerja), gratis - terbuka untuk umum (nilai Rp2jt)</v>
      </c>
      <c r="C51" s="45"/>
      <c r="D51" s="40"/>
      <c r="E51" s="40"/>
      <c r="F51" s="40"/>
    </row>
    <row r="52" spans="1:6" x14ac:dyDescent="0.2">
      <c r="A52" s="32" t="s">
        <v>112</v>
      </c>
      <c r="B52" s="32" t="s">
        <v>113</v>
      </c>
      <c r="C52" s="44"/>
    </row>
  </sheetData>
  <mergeCells count="1">
    <mergeCell ref="C46:C5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workbookViewId="0"/>
  </sheetViews>
  <sheetFormatPr baseColWidth="10" defaultColWidth="8.83203125" defaultRowHeight="15" x14ac:dyDescent="0.2"/>
  <cols>
    <col min="1" max="1" width="34" customWidth="1"/>
    <col min="2" max="2" width="46" customWidth="1"/>
    <col min="3" max="3" width="40" customWidth="1"/>
    <col min="4" max="4" width="12" customWidth="1"/>
    <col min="5" max="5" width="18" customWidth="1"/>
    <col min="7" max="7" width="8.6640625" customWidth="1"/>
  </cols>
  <sheetData>
    <row r="1" spans="1:6" ht="17" customHeight="1" x14ac:dyDescent="0.2">
      <c r="A1" s="1" t="s">
        <v>130</v>
      </c>
    </row>
    <row r="3" spans="1:6" x14ac:dyDescent="0.2">
      <c r="A3" s="12" t="s">
        <v>61</v>
      </c>
    </row>
    <row r="4" spans="1:6" x14ac:dyDescent="0.2">
      <c r="A4" s="13" t="s">
        <v>62</v>
      </c>
      <c r="B4" s="14">
        <v>36</v>
      </c>
      <c r="D4" s="3" t="s">
        <v>63</v>
      </c>
      <c r="E4" s="4">
        <f>B4*Assumptions!$B$3+B5*Assumptions!$B$16+B6*Assumptions!$B$17+B8*Assumptions!$B$18</f>
        <v>28000000</v>
      </c>
    </row>
    <row r="5" spans="1:6" x14ac:dyDescent="0.2">
      <c r="A5" s="13" t="s">
        <v>64</v>
      </c>
      <c r="B5" s="14">
        <v>2</v>
      </c>
      <c r="D5" s="3" t="s">
        <v>65</v>
      </c>
      <c r="E5" s="4">
        <f>E4-B9</f>
        <v>8000000</v>
      </c>
    </row>
    <row r="6" spans="1:6" x14ac:dyDescent="0.2">
      <c r="A6" s="13" t="s">
        <v>66</v>
      </c>
      <c r="B6" s="14">
        <v>1</v>
      </c>
      <c r="D6" s="3" t="s">
        <v>67</v>
      </c>
      <c r="E6" s="15">
        <f>E5/E4</f>
        <v>0.2857142857142857</v>
      </c>
    </row>
    <row r="7" spans="1:6" x14ac:dyDescent="0.2">
      <c r="A7" s="13" t="s">
        <v>68</v>
      </c>
      <c r="B7" s="14">
        <v>1</v>
      </c>
      <c r="D7" s="3" t="s">
        <v>69</v>
      </c>
      <c r="E7" s="4">
        <f>B9/B4</f>
        <v>555555.5555555555</v>
      </c>
    </row>
    <row r="8" spans="1:6" x14ac:dyDescent="0.2">
      <c r="A8" s="13" t="s">
        <v>70</v>
      </c>
      <c r="B8" s="14">
        <v>1</v>
      </c>
    </row>
    <row r="9" spans="1:6" x14ac:dyDescent="0.2">
      <c r="A9" s="13" t="s">
        <v>71</v>
      </c>
      <c r="B9" s="16">
        <v>20000000</v>
      </c>
      <c r="C9" s="33" t="s">
        <v>131</v>
      </c>
    </row>
    <row r="10" spans="1:6" x14ac:dyDescent="0.2">
      <c r="A10" s="13" t="s">
        <v>72</v>
      </c>
      <c r="B10" s="17">
        <f>B4/Assumptions!$B$13</f>
        <v>12</v>
      </c>
    </row>
    <row r="12" spans="1:6" x14ac:dyDescent="0.2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</row>
    <row r="13" spans="1:6" x14ac:dyDescent="0.2">
      <c r="A13" s="13" t="s">
        <v>79</v>
      </c>
      <c r="B13" s="13" t="s">
        <v>80</v>
      </c>
      <c r="C13" s="13" t="s">
        <v>81</v>
      </c>
      <c r="D13" s="18">
        <f>B4</f>
        <v>36</v>
      </c>
      <c r="E13" s="4">
        <f>Assumptions!$B$5</f>
        <v>350000</v>
      </c>
      <c r="F13" s="4">
        <f t="shared" ref="F13:F22" si="0">D13*E13</f>
        <v>12600000</v>
      </c>
    </row>
    <row r="14" spans="1:6" x14ac:dyDescent="0.2">
      <c r="A14" s="13" t="s">
        <v>79</v>
      </c>
      <c r="B14" s="13" t="s">
        <v>82</v>
      </c>
      <c r="C14" s="13" t="s">
        <v>83</v>
      </c>
      <c r="D14" s="18">
        <f>B4</f>
        <v>36</v>
      </c>
      <c r="E14" s="4">
        <f>Assumptions!$B$6</f>
        <v>35000</v>
      </c>
      <c r="F14" s="4">
        <f t="shared" si="0"/>
        <v>1260000</v>
      </c>
    </row>
    <row r="15" spans="1:6" x14ac:dyDescent="0.2">
      <c r="A15" s="13" t="s">
        <v>84</v>
      </c>
      <c r="B15" s="13" t="s">
        <v>85</v>
      </c>
      <c r="C15" s="13" t="s">
        <v>86</v>
      </c>
      <c r="D15" s="18">
        <f>B5*B10</f>
        <v>24</v>
      </c>
      <c r="E15" s="4">
        <f>Assumptions!$B$7</f>
        <v>70000</v>
      </c>
      <c r="F15" s="4">
        <f t="shared" si="0"/>
        <v>1680000</v>
      </c>
    </row>
    <row r="16" spans="1:6" x14ac:dyDescent="0.2">
      <c r="A16" s="13" t="s">
        <v>87</v>
      </c>
      <c r="B16" s="13" t="s">
        <v>88</v>
      </c>
      <c r="C16" s="13" t="s">
        <v>89</v>
      </c>
      <c r="D16" s="18">
        <f>B6</f>
        <v>1</v>
      </c>
      <c r="E16" s="4">
        <f>Assumptions!$B$8</f>
        <v>750000</v>
      </c>
      <c r="F16" s="4">
        <f t="shared" si="0"/>
        <v>750000</v>
      </c>
    </row>
    <row r="17" spans="1:6" x14ac:dyDescent="0.2">
      <c r="A17" s="13" t="s">
        <v>90</v>
      </c>
      <c r="B17" s="13" t="s">
        <v>132</v>
      </c>
      <c r="C17" s="13" t="s">
        <v>83</v>
      </c>
      <c r="D17" s="18">
        <f>B8</f>
        <v>1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133</v>
      </c>
      <c r="B18" s="13" t="s">
        <v>134</v>
      </c>
      <c r="C18" s="13" t="s">
        <v>135</v>
      </c>
      <c r="D18" s="18">
        <f>B8</f>
        <v>1</v>
      </c>
      <c r="E18" s="4">
        <f>Assumptions!$B$20</f>
        <v>1300000</v>
      </c>
      <c r="F18" s="4">
        <f t="shared" si="0"/>
        <v>1300000</v>
      </c>
    </row>
    <row r="19" spans="1:6" x14ac:dyDescent="0.2">
      <c r="A19" s="13" t="s">
        <v>133</v>
      </c>
      <c r="B19" s="13" t="s">
        <v>136</v>
      </c>
      <c r="C19" s="13" t="s">
        <v>135</v>
      </c>
      <c r="D19" s="18">
        <f>B8</f>
        <v>1</v>
      </c>
      <c r="E19" s="4">
        <f>Assumptions!$B$21</f>
        <v>500000</v>
      </c>
      <c r="F19" s="4">
        <f t="shared" si="0"/>
        <v>500000</v>
      </c>
    </row>
    <row r="20" spans="1:6" x14ac:dyDescent="0.2">
      <c r="A20" s="13" t="s">
        <v>133</v>
      </c>
      <c r="B20" s="13" t="s">
        <v>137</v>
      </c>
      <c r="C20" s="13" t="s">
        <v>135</v>
      </c>
      <c r="D20" s="18">
        <f>B8</f>
        <v>1</v>
      </c>
      <c r="E20" s="4">
        <f>Assumptions!$B$22</f>
        <v>500000</v>
      </c>
      <c r="F20" s="4">
        <f t="shared" si="0"/>
        <v>500000</v>
      </c>
    </row>
    <row r="21" spans="1:6" x14ac:dyDescent="0.2">
      <c r="A21" s="13" t="s">
        <v>92</v>
      </c>
      <c r="B21" s="13" t="s">
        <v>93</v>
      </c>
      <c r="C21" s="13" t="s">
        <v>89</v>
      </c>
      <c r="D21" s="18">
        <v>1</v>
      </c>
      <c r="E21" s="4">
        <f>Assumptions!$B$10</f>
        <v>0</v>
      </c>
      <c r="F21" s="4">
        <f t="shared" si="0"/>
        <v>0</v>
      </c>
    </row>
    <row r="22" spans="1:6" x14ac:dyDescent="0.2">
      <c r="A22" s="13" t="s">
        <v>92</v>
      </c>
      <c r="B22" s="13" t="s">
        <v>31</v>
      </c>
      <c r="C22" s="13" t="s">
        <v>94</v>
      </c>
      <c r="D22" s="18">
        <v>1</v>
      </c>
      <c r="E22" s="4">
        <f>Assumptions!$B$9</f>
        <v>150000</v>
      </c>
      <c r="F22" s="4">
        <f t="shared" si="0"/>
        <v>150000</v>
      </c>
    </row>
    <row r="23" spans="1:6" x14ac:dyDescent="0.2">
      <c r="E23" s="3" t="s">
        <v>95</v>
      </c>
      <c r="F23" s="19">
        <f>SUM(F13:F22)</f>
        <v>18740000</v>
      </c>
    </row>
    <row r="24" spans="1:6" x14ac:dyDescent="0.2">
      <c r="E24" s="3" t="s">
        <v>96</v>
      </c>
      <c r="F24" s="20">
        <f>F23/B10</f>
        <v>1561666.6666666667</v>
      </c>
    </row>
    <row r="26" spans="1:6" x14ac:dyDescent="0.2">
      <c r="A26" s="21" t="s">
        <v>97</v>
      </c>
      <c r="B26" s="21" t="s">
        <v>98</v>
      </c>
      <c r="C26" s="21" t="s">
        <v>99</v>
      </c>
      <c r="D26" s="21" t="s">
        <v>100</v>
      </c>
    </row>
    <row r="27" spans="1:6" x14ac:dyDescent="0.2">
      <c r="A27" s="22">
        <v>0.3</v>
      </c>
      <c r="B27" s="23">
        <f t="shared" ref="B27:B32" si="1">$F$23*(1+A27)</f>
        <v>24362000</v>
      </c>
      <c r="C27" s="4">
        <f t="shared" ref="C27:C32" si="2">B27/$B$10</f>
        <v>2030166.6666666667</v>
      </c>
      <c r="D27" s="24">
        <f t="shared" ref="D27:D32" si="3">B27-$F$23</f>
        <v>5622000</v>
      </c>
    </row>
    <row r="28" spans="1:6" x14ac:dyDescent="0.2">
      <c r="A28" s="22">
        <v>0.4</v>
      </c>
      <c r="B28" s="23">
        <f t="shared" si="1"/>
        <v>26236000</v>
      </c>
      <c r="C28" s="4">
        <f t="shared" si="2"/>
        <v>2186333.3333333335</v>
      </c>
      <c r="D28" s="24">
        <f t="shared" si="3"/>
        <v>7496000</v>
      </c>
    </row>
    <row r="29" spans="1:6" x14ac:dyDescent="0.2">
      <c r="A29" s="22">
        <v>0.5</v>
      </c>
      <c r="B29" s="23">
        <f t="shared" si="1"/>
        <v>28110000</v>
      </c>
      <c r="C29" s="4">
        <f t="shared" si="2"/>
        <v>2342500</v>
      </c>
      <c r="D29" s="24">
        <f t="shared" si="3"/>
        <v>9370000</v>
      </c>
    </row>
    <row r="30" spans="1:6" x14ac:dyDescent="0.2">
      <c r="A30" s="22">
        <v>0.8</v>
      </c>
      <c r="B30" s="23">
        <f t="shared" si="1"/>
        <v>33732000</v>
      </c>
      <c r="C30" s="4">
        <f t="shared" si="2"/>
        <v>2811000</v>
      </c>
      <c r="D30" s="24">
        <f t="shared" si="3"/>
        <v>14992000</v>
      </c>
    </row>
    <row r="31" spans="1:6" x14ac:dyDescent="0.2">
      <c r="A31" s="22">
        <v>1</v>
      </c>
      <c r="B31" s="23">
        <f t="shared" si="1"/>
        <v>37480000</v>
      </c>
      <c r="C31" s="4">
        <f t="shared" si="2"/>
        <v>3123333.3333333335</v>
      </c>
      <c r="D31" s="24">
        <f t="shared" si="3"/>
        <v>18740000</v>
      </c>
    </row>
    <row r="32" spans="1:6" x14ac:dyDescent="0.2">
      <c r="A32" s="22">
        <v>1.5</v>
      </c>
      <c r="B32" s="23">
        <f t="shared" si="1"/>
        <v>46850000</v>
      </c>
      <c r="C32" s="4">
        <f t="shared" si="2"/>
        <v>3904166.6666666665</v>
      </c>
      <c r="D32" s="24">
        <f t="shared" si="3"/>
        <v>28110000</v>
      </c>
    </row>
    <row r="33" spans="1:6" x14ac:dyDescent="0.2">
      <c r="A33" s="3" t="s">
        <v>6</v>
      </c>
      <c r="B33" s="25">
        <f>B9</f>
        <v>20000000</v>
      </c>
      <c r="C33" s="20">
        <f>B33/B10</f>
        <v>1666666.6666666667</v>
      </c>
      <c r="D33" s="26">
        <f>B33-F23</f>
        <v>1260000</v>
      </c>
      <c r="E33" s="27">
        <f>D33/F23</f>
        <v>6.7235859124866598E-2</v>
      </c>
      <c r="F33" s="28" t="s">
        <v>101</v>
      </c>
    </row>
    <row r="34" spans="1:6" ht="43" customHeight="1" x14ac:dyDescent="0.2">
      <c r="D34" s="21" t="s">
        <v>138</v>
      </c>
      <c r="E34" s="21"/>
    </row>
    <row r="35" spans="1:6" ht="16" customHeight="1" x14ac:dyDescent="0.2">
      <c r="A35" s="3" t="s">
        <v>102</v>
      </c>
      <c r="B35" s="29">
        <f>B9</f>
        <v>20000000</v>
      </c>
      <c r="D35" s="13" t="s">
        <v>139</v>
      </c>
      <c r="E35" s="4">
        <f>SUM(F17:F20)</f>
        <v>2300000</v>
      </c>
    </row>
    <row r="36" spans="1:6" ht="16" customHeight="1" x14ac:dyDescent="0.2">
      <c r="A36" s="3" t="s">
        <v>103</v>
      </c>
      <c r="B36" s="29">
        <f>B9*(1-Assumptions!$B$12)</f>
        <v>19600000</v>
      </c>
      <c r="D36" s="13" t="s">
        <v>140</v>
      </c>
      <c r="E36" s="4">
        <f>B8*Assumptions!$B$18</f>
        <v>3000000</v>
      </c>
    </row>
    <row r="37" spans="1:6" ht="16" customHeight="1" x14ac:dyDescent="0.2">
      <c r="A37" s="3" t="s">
        <v>104</v>
      </c>
      <c r="B37" s="30">
        <f>B36-F23</f>
        <v>860000</v>
      </c>
      <c r="D37" s="13" t="s">
        <v>141</v>
      </c>
      <c r="E37" s="4">
        <f>B37-Seperjalanan!B37</f>
        <v>-5040000</v>
      </c>
    </row>
    <row r="38" spans="1:6" ht="29" customHeight="1" x14ac:dyDescent="0.2">
      <c r="A38" s="31" t="s">
        <v>105</v>
      </c>
      <c r="B38" s="30">
        <f>B37+F13</f>
        <v>13460000</v>
      </c>
      <c r="D38" s="13" t="s">
        <v>142</v>
      </c>
      <c r="E38" s="4">
        <f>B38-Seperjalanan!B38</f>
        <v>-5040000</v>
      </c>
    </row>
    <row r="39" spans="1:6" x14ac:dyDescent="0.2">
      <c r="A39" s="13" t="s">
        <v>106</v>
      </c>
      <c r="B39" s="4">
        <f>Assumptions!$B$14*Assumptions!$B$19</f>
        <v>60000000</v>
      </c>
    </row>
    <row r="40" spans="1:6" x14ac:dyDescent="0.2">
      <c r="A40" s="13" t="s">
        <v>107</v>
      </c>
      <c r="B40" s="5">
        <f>B38/B39</f>
        <v>0.22433333333333333</v>
      </c>
    </row>
    <row r="41" spans="1:6" x14ac:dyDescent="0.2">
      <c r="A41" s="13" t="s">
        <v>13</v>
      </c>
      <c r="B41" s="4">
        <f>B38/Assumptions!$B$19</f>
        <v>4486666.666666667</v>
      </c>
    </row>
    <row r="42" spans="1:6" x14ac:dyDescent="0.2">
      <c r="A42" s="13" t="s">
        <v>108</v>
      </c>
      <c r="B42" s="5">
        <f>B37/B39</f>
        <v>1.4333333333333333E-2</v>
      </c>
    </row>
    <row r="44" spans="1:6" x14ac:dyDescent="0.2">
      <c r="A44" s="12" t="s">
        <v>109</v>
      </c>
    </row>
    <row r="45" spans="1:6" x14ac:dyDescent="0.2">
      <c r="A45" s="2" t="s">
        <v>73</v>
      </c>
      <c r="B45" s="2" t="s">
        <v>110</v>
      </c>
      <c r="C45" s="2" t="s">
        <v>111</v>
      </c>
    </row>
    <row r="46" spans="1:6" x14ac:dyDescent="0.2">
      <c r="A46" s="32" t="s">
        <v>79</v>
      </c>
      <c r="B46" s="32" t="str">
        <f>B4&amp;" sesi konseling online (60 menit) - ~"&amp;TEXT(B10,"0")&amp;" pegawai x "&amp;Assumptions!$B$13&amp;" sesi"</f>
        <v>36 sesi konseling online (60 menit) - ~12 pegawai x 3 sesi</v>
      </c>
      <c r="C46" s="43">
        <f>B9</f>
        <v>20000000</v>
      </c>
    </row>
    <row r="47" spans="1:6" x14ac:dyDescent="0.2">
      <c r="A47" s="32" t="s">
        <v>115</v>
      </c>
      <c r="B47" s="32" t="str">
        <f>B5&amp;"x MHCU ("&amp;IF(B5=2,"pre &amp; post","baseline")&amp;")"</f>
        <v>2x MHCU (pre &amp; post)</v>
      </c>
      <c r="C47" s="45"/>
    </row>
    <row r="48" spans="1:6" x14ac:dyDescent="0.2">
      <c r="A48" s="32" t="s">
        <v>87</v>
      </c>
      <c r="B48" s="32" t="s">
        <v>126</v>
      </c>
      <c r="C48" s="45"/>
    </row>
    <row r="49" spans="1:3" x14ac:dyDescent="0.2">
      <c r="A49" s="32" t="s">
        <v>87</v>
      </c>
      <c r="B49" s="32" t="s">
        <v>127</v>
      </c>
      <c r="C49" s="45"/>
    </row>
    <row r="50" spans="1:3" x14ac:dyDescent="0.2">
      <c r="A50" s="32" t="s">
        <v>143</v>
      </c>
      <c r="B50" s="32" t="s">
        <v>144</v>
      </c>
      <c r="C50" s="45"/>
    </row>
    <row r="51" spans="1:3" x14ac:dyDescent="0.2">
      <c r="A51" s="32" t="s">
        <v>112</v>
      </c>
      <c r="B51" s="32" t="s">
        <v>113</v>
      </c>
      <c r="C51" s="44"/>
    </row>
  </sheetData>
  <mergeCells count="1">
    <mergeCell ref="C46:C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1"/>
  <sheetViews>
    <sheetView workbookViewId="0"/>
  </sheetViews>
  <sheetFormatPr baseColWidth="10" defaultColWidth="8.83203125" defaultRowHeight="15" x14ac:dyDescent="0.2"/>
  <cols>
    <col min="1" max="1" width="34" customWidth="1"/>
    <col min="2" max="2" width="46" customWidth="1"/>
    <col min="3" max="3" width="40" customWidth="1"/>
    <col min="4" max="4" width="12" customWidth="1"/>
    <col min="5" max="5" width="18" customWidth="1"/>
    <col min="7" max="7" width="8.6640625" customWidth="1"/>
  </cols>
  <sheetData>
    <row r="1" spans="1:6" ht="17" customHeight="1" x14ac:dyDescent="0.2">
      <c r="A1" s="1" t="s">
        <v>145</v>
      </c>
    </row>
    <row r="3" spans="1:6" x14ac:dyDescent="0.2">
      <c r="A3" s="12" t="s">
        <v>61</v>
      </c>
    </row>
    <row r="4" spans="1:6" x14ac:dyDescent="0.2">
      <c r="A4" s="13" t="s">
        <v>62</v>
      </c>
      <c r="B4" s="14">
        <v>36</v>
      </c>
      <c r="D4" s="3" t="s">
        <v>63</v>
      </c>
      <c r="E4" s="4">
        <f>B4*Assumptions!$B$3+B5*Assumptions!$B$16+B6*Assumptions!$B$17+B8*Assumptions!$B$18*E9</f>
        <v>27000000</v>
      </c>
    </row>
    <row r="5" spans="1:6" x14ac:dyDescent="0.2">
      <c r="A5" s="13" t="s">
        <v>64</v>
      </c>
      <c r="B5" s="14">
        <v>2</v>
      </c>
      <c r="D5" s="3" t="s">
        <v>65</v>
      </c>
      <c r="E5" s="4">
        <f>E4-B9</f>
        <v>7000000</v>
      </c>
    </row>
    <row r="6" spans="1:6" x14ac:dyDescent="0.2">
      <c r="A6" s="13" t="s">
        <v>66</v>
      </c>
      <c r="B6" s="14">
        <v>1</v>
      </c>
      <c r="D6" s="3" t="s">
        <v>67</v>
      </c>
      <c r="E6" s="15">
        <f>E5/E4</f>
        <v>0.25925925925925924</v>
      </c>
    </row>
    <row r="7" spans="1:6" x14ac:dyDescent="0.2">
      <c r="A7" s="13" t="s">
        <v>68</v>
      </c>
      <c r="B7" s="14">
        <v>1</v>
      </c>
      <c r="D7" s="3" t="s">
        <v>69</v>
      </c>
      <c r="E7" s="4">
        <f>B9/B4</f>
        <v>555555.5555555555</v>
      </c>
    </row>
    <row r="8" spans="1:6" x14ac:dyDescent="0.2">
      <c r="A8" s="13" t="s">
        <v>146</v>
      </c>
      <c r="B8" s="14">
        <v>2</v>
      </c>
      <c r="D8" s="3" t="s">
        <v>147</v>
      </c>
      <c r="E8" s="16">
        <v>20000000</v>
      </c>
    </row>
    <row r="9" spans="1:6" x14ac:dyDescent="0.2">
      <c r="A9" s="13" t="s">
        <v>71</v>
      </c>
      <c r="B9" s="23">
        <f>E8+E10*E11</f>
        <v>20000000</v>
      </c>
      <c r="C9" s="37" t="s">
        <v>148</v>
      </c>
      <c r="D9" s="3" t="s">
        <v>119</v>
      </c>
      <c r="E9" s="38">
        <v>0.33333333333333331</v>
      </c>
    </row>
    <row r="10" spans="1:6" x14ac:dyDescent="0.2">
      <c r="A10" s="13" t="s">
        <v>72</v>
      </c>
      <c r="B10" s="17">
        <f>B4/Assumptions!$B$13</f>
        <v>12</v>
      </c>
      <c r="D10" s="3" t="s">
        <v>120</v>
      </c>
      <c r="E10" s="4">
        <f>B8*E9*Assumptions!$B$18</f>
        <v>2000000</v>
      </c>
    </row>
    <row r="11" spans="1:6" x14ac:dyDescent="0.2">
      <c r="D11" s="3" t="s">
        <v>149</v>
      </c>
      <c r="E11" s="38">
        <v>0</v>
      </c>
    </row>
    <row r="12" spans="1:6" x14ac:dyDescent="0.2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</row>
    <row r="13" spans="1:6" x14ac:dyDescent="0.2">
      <c r="A13" s="13" t="s">
        <v>79</v>
      </c>
      <c r="B13" s="13" t="s">
        <v>80</v>
      </c>
      <c r="C13" s="13" t="s">
        <v>81</v>
      </c>
      <c r="D13" s="18">
        <f>B4</f>
        <v>36</v>
      </c>
      <c r="E13" s="4">
        <f>Assumptions!$B$5</f>
        <v>350000</v>
      </c>
      <c r="F13" s="4">
        <f t="shared" ref="F13:F22" si="0">D13*E13</f>
        <v>12600000</v>
      </c>
    </row>
    <row r="14" spans="1:6" x14ac:dyDescent="0.2">
      <c r="A14" s="13" t="s">
        <v>79</v>
      </c>
      <c r="B14" s="13" t="s">
        <v>82</v>
      </c>
      <c r="C14" s="13" t="s">
        <v>83</v>
      </c>
      <c r="D14" s="18">
        <f>B4</f>
        <v>36</v>
      </c>
      <c r="E14" s="4">
        <f>Assumptions!$B$6</f>
        <v>35000</v>
      </c>
      <c r="F14" s="4">
        <f t="shared" si="0"/>
        <v>1260000</v>
      </c>
    </row>
    <row r="15" spans="1:6" x14ac:dyDescent="0.2">
      <c r="A15" s="13" t="s">
        <v>84</v>
      </c>
      <c r="B15" s="13" t="s">
        <v>85</v>
      </c>
      <c r="C15" s="13" t="s">
        <v>86</v>
      </c>
      <c r="D15" s="18">
        <f>B5*B10</f>
        <v>24</v>
      </c>
      <c r="E15" s="4">
        <f>Assumptions!$B$7</f>
        <v>70000</v>
      </c>
      <c r="F15" s="4">
        <f t="shared" si="0"/>
        <v>1680000</v>
      </c>
    </row>
    <row r="16" spans="1:6" x14ac:dyDescent="0.2">
      <c r="A16" s="13" t="s">
        <v>87</v>
      </c>
      <c r="B16" s="13" t="s">
        <v>88</v>
      </c>
      <c r="C16" s="13" t="s">
        <v>89</v>
      </c>
      <c r="D16" s="18">
        <f>B6</f>
        <v>1</v>
      </c>
      <c r="E16" s="4">
        <f>Assumptions!$B$8</f>
        <v>750000</v>
      </c>
      <c r="F16" s="4">
        <f t="shared" si="0"/>
        <v>750000</v>
      </c>
    </row>
    <row r="17" spans="1:6" x14ac:dyDescent="0.2">
      <c r="A17" s="13" t="s">
        <v>5</v>
      </c>
      <c r="B17" s="13" t="s">
        <v>150</v>
      </c>
      <c r="C17" s="13" t="s">
        <v>151</v>
      </c>
      <c r="D17" s="18">
        <f>B8</f>
        <v>2</v>
      </c>
      <c r="E17" s="4">
        <f>Assumptions!$B$11</f>
        <v>0</v>
      </c>
      <c r="F17" s="4">
        <f t="shared" si="0"/>
        <v>0</v>
      </c>
    </row>
    <row r="18" spans="1:6" x14ac:dyDescent="0.2">
      <c r="A18" s="13" t="s">
        <v>122</v>
      </c>
      <c r="B18" s="13" t="s">
        <v>152</v>
      </c>
      <c r="C18" s="13" t="s">
        <v>83</v>
      </c>
      <c r="D18" s="18">
        <f>B8</f>
        <v>2</v>
      </c>
      <c r="E18" s="4">
        <f>Assumptions!$B$23</f>
        <v>0</v>
      </c>
      <c r="F18" s="4">
        <f t="shared" si="0"/>
        <v>0</v>
      </c>
    </row>
    <row r="19" spans="1:6" x14ac:dyDescent="0.2">
      <c r="A19" s="13" t="s">
        <v>122</v>
      </c>
      <c r="B19" s="13" t="s">
        <v>153</v>
      </c>
      <c r="C19" s="13" t="s">
        <v>83</v>
      </c>
      <c r="D19" s="18">
        <f>B8</f>
        <v>2</v>
      </c>
      <c r="E19" s="4">
        <f>Assumptions!$B$24</f>
        <v>100000</v>
      </c>
      <c r="F19" s="4">
        <f t="shared" si="0"/>
        <v>200000</v>
      </c>
    </row>
    <row r="20" spans="1:6" x14ac:dyDescent="0.2">
      <c r="A20" s="13" t="s">
        <v>122</v>
      </c>
      <c r="B20" s="13" t="s">
        <v>154</v>
      </c>
      <c r="C20" s="13" t="s">
        <v>83</v>
      </c>
      <c r="D20" s="18">
        <f>B8</f>
        <v>2</v>
      </c>
      <c r="E20" s="4">
        <f>Assumptions!$B$25</f>
        <v>0</v>
      </c>
      <c r="F20" s="4">
        <f t="shared" si="0"/>
        <v>0</v>
      </c>
    </row>
    <row r="21" spans="1:6" x14ac:dyDescent="0.2">
      <c r="A21" s="13" t="s">
        <v>92</v>
      </c>
      <c r="B21" s="13" t="s">
        <v>93</v>
      </c>
      <c r="C21" s="13" t="s">
        <v>89</v>
      </c>
      <c r="D21" s="18">
        <v>1</v>
      </c>
      <c r="E21" s="4">
        <f>Assumptions!$B$10</f>
        <v>0</v>
      </c>
      <c r="F21" s="4">
        <f t="shared" si="0"/>
        <v>0</v>
      </c>
    </row>
    <row r="22" spans="1:6" x14ac:dyDescent="0.2">
      <c r="A22" s="13" t="s">
        <v>92</v>
      </c>
      <c r="B22" s="13" t="s">
        <v>31</v>
      </c>
      <c r="C22" s="13" t="s">
        <v>94</v>
      </c>
      <c r="D22" s="18">
        <v>1</v>
      </c>
      <c r="E22" s="4">
        <f>Assumptions!$B$9</f>
        <v>150000</v>
      </c>
      <c r="F22" s="4">
        <f t="shared" si="0"/>
        <v>150000</v>
      </c>
    </row>
    <row r="23" spans="1:6" x14ac:dyDescent="0.2">
      <c r="E23" s="3" t="s">
        <v>95</v>
      </c>
      <c r="F23" s="19">
        <f>SUM(F13:F22)</f>
        <v>16640000</v>
      </c>
    </row>
    <row r="24" spans="1:6" x14ac:dyDescent="0.2">
      <c r="E24" s="3" t="s">
        <v>96</v>
      </c>
      <c r="F24" s="20">
        <f>F23/B10</f>
        <v>1386666.6666666667</v>
      </c>
    </row>
    <row r="26" spans="1:6" x14ac:dyDescent="0.2">
      <c r="A26" s="21" t="s">
        <v>97</v>
      </c>
      <c r="B26" s="21" t="s">
        <v>98</v>
      </c>
      <c r="C26" s="21" t="s">
        <v>99</v>
      </c>
      <c r="D26" s="21" t="s">
        <v>100</v>
      </c>
    </row>
    <row r="27" spans="1:6" x14ac:dyDescent="0.2">
      <c r="A27" s="22">
        <v>0.3</v>
      </c>
      <c r="B27" s="23">
        <f t="shared" ref="B27:B32" si="1">$F$23*(1+A27)</f>
        <v>21632000</v>
      </c>
      <c r="C27" s="4">
        <f t="shared" ref="C27:C32" si="2">B27/$B$10</f>
        <v>1802666.6666666667</v>
      </c>
      <c r="D27" s="24">
        <f t="shared" ref="D27:D32" si="3">B27-$F$23</f>
        <v>4992000</v>
      </c>
    </row>
    <row r="28" spans="1:6" x14ac:dyDescent="0.2">
      <c r="A28" s="22">
        <v>0.4</v>
      </c>
      <c r="B28" s="23">
        <f t="shared" si="1"/>
        <v>23296000</v>
      </c>
      <c r="C28" s="4">
        <f t="shared" si="2"/>
        <v>1941333.3333333333</v>
      </c>
      <c r="D28" s="24">
        <f t="shared" si="3"/>
        <v>6656000</v>
      </c>
    </row>
    <row r="29" spans="1:6" x14ac:dyDescent="0.2">
      <c r="A29" s="22">
        <v>0.5</v>
      </c>
      <c r="B29" s="23">
        <f t="shared" si="1"/>
        <v>24960000</v>
      </c>
      <c r="C29" s="4">
        <f t="shared" si="2"/>
        <v>2080000</v>
      </c>
      <c r="D29" s="24">
        <f t="shared" si="3"/>
        <v>8320000</v>
      </c>
    </row>
    <row r="30" spans="1:6" x14ac:dyDescent="0.2">
      <c r="A30" s="22">
        <v>0.8</v>
      </c>
      <c r="B30" s="23">
        <f t="shared" si="1"/>
        <v>29952000</v>
      </c>
      <c r="C30" s="4">
        <f t="shared" si="2"/>
        <v>2496000</v>
      </c>
      <c r="D30" s="24">
        <f t="shared" si="3"/>
        <v>13312000</v>
      </c>
    </row>
    <row r="31" spans="1:6" x14ac:dyDescent="0.2">
      <c r="A31" s="22">
        <v>1</v>
      </c>
      <c r="B31" s="23">
        <f t="shared" si="1"/>
        <v>33280000</v>
      </c>
      <c r="C31" s="4">
        <f t="shared" si="2"/>
        <v>2773333.3333333335</v>
      </c>
      <c r="D31" s="24">
        <f t="shared" si="3"/>
        <v>16640000</v>
      </c>
    </row>
    <row r="32" spans="1:6" x14ac:dyDescent="0.2">
      <c r="A32" s="22">
        <v>1.5</v>
      </c>
      <c r="B32" s="23">
        <f t="shared" si="1"/>
        <v>41600000</v>
      </c>
      <c r="C32" s="4">
        <f t="shared" si="2"/>
        <v>3466666.6666666665</v>
      </c>
      <c r="D32" s="24">
        <f t="shared" si="3"/>
        <v>24960000</v>
      </c>
    </row>
    <row r="33" spans="1:6" x14ac:dyDescent="0.2">
      <c r="A33" s="3" t="s">
        <v>6</v>
      </c>
      <c r="B33" s="25">
        <f>B9</f>
        <v>20000000</v>
      </c>
      <c r="C33" s="20">
        <f>B33/B10</f>
        <v>1666666.6666666667</v>
      </c>
      <c r="D33" s="26">
        <f>B33-F23</f>
        <v>3360000</v>
      </c>
      <c r="E33" s="27">
        <f>D33/F23</f>
        <v>0.20192307692307693</v>
      </c>
      <c r="F33" s="28" t="s">
        <v>101</v>
      </c>
    </row>
    <row r="34" spans="1:6" ht="43" customHeight="1" x14ac:dyDescent="0.2">
      <c r="D34" s="21" t="s">
        <v>155</v>
      </c>
      <c r="E34" s="21"/>
    </row>
    <row r="35" spans="1:6" ht="16" customHeight="1" x14ac:dyDescent="0.2">
      <c r="A35" s="3" t="s">
        <v>102</v>
      </c>
      <c r="B35" s="29">
        <f>B9</f>
        <v>20000000</v>
      </c>
      <c r="D35" s="13" t="s">
        <v>156</v>
      </c>
      <c r="E35" s="4">
        <f>E10</f>
        <v>2000000</v>
      </c>
    </row>
    <row r="36" spans="1:6" ht="16" customHeight="1" x14ac:dyDescent="0.2">
      <c r="A36" s="3" t="s">
        <v>103</v>
      </c>
      <c r="B36" s="29">
        <f>B9*(1-Assumptions!$B$12)</f>
        <v>19600000</v>
      </c>
      <c r="D36" s="13" t="s">
        <v>157</v>
      </c>
      <c r="E36" s="4">
        <f>SUM(F17:F20)</f>
        <v>200000</v>
      </c>
    </row>
    <row r="37" spans="1:6" ht="16" customHeight="1" x14ac:dyDescent="0.2">
      <c r="A37" s="3" t="s">
        <v>104</v>
      </c>
      <c r="B37" s="30">
        <f>B36-F23</f>
        <v>2960000</v>
      </c>
      <c r="D37" s="13" t="s">
        <v>141</v>
      </c>
      <c r="E37" s="4">
        <f>B37-Seperjalanan!B37</f>
        <v>-2940000</v>
      </c>
    </row>
    <row r="38" spans="1:6" ht="29" customHeight="1" x14ac:dyDescent="0.2">
      <c r="A38" s="31" t="s">
        <v>105</v>
      </c>
      <c r="B38" s="30">
        <f>B37+F13</f>
        <v>15560000</v>
      </c>
      <c r="D38" s="13" t="s">
        <v>158</v>
      </c>
      <c r="E38" s="4">
        <f>B37-Berbagi!B37</f>
        <v>2100000</v>
      </c>
    </row>
    <row r="39" spans="1:6" x14ac:dyDescent="0.2">
      <c r="A39" s="13" t="s">
        <v>106</v>
      </c>
      <c r="B39" s="4">
        <f>Assumptions!$B$14*Assumptions!$B$19</f>
        <v>60000000</v>
      </c>
    </row>
    <row r="40" spans="1:6" x14ac:dyDescent="0.2">
      <c r="A40" s="13" t="s">
        <v>107</v>
      </c>
      <c r="B40" s="5">
        <f>B38/B39</f>
        <v>0.25933333333333336</v>
      </c>
    </row>
    <row r="41" spans="1:6" x14ac:dyDescent="0.2">
      <c r="A41" s="13" t="s">
        <v>13</v>
      </c>
      <c r="B41" s="4">
        <f>B38/Assumptions!$B$19</f>
        <v>5186666.666666667</v>
      </c>
    </row>
    <row r="42" spans="1:6" x14ac:dyDescent="0.2">
      <c r="A42" s="13" t="s">
        <v>108</v>
      </c>
      <c r="B42" s="5">
        <f>B37/B39</f>
        <v>4.9333333333333333E-2</v>
      </c>
    </row>
    <row r="44" spans="1:6" x14ac:dyDescent="0.2">
      <c r="A44" s="12" t="s">
        <v>109</v>
      </c>
    </row>
    <row r="45" spans="1:6" x14ac:dyDescent="0.2">
      <c r="A45" s="2" t="s">
        <v>73</v>
      </c>
      <c r="B45" s="2" t="s">
        <v>110</v>
      </c>
      <c r="C45" s="2" t="s">
        <v>111</v>
      </c>
    </row>
    <row r="46" spans="1:6" x14ac:dyDescent="0.2">
      <c r="A46" s="32" t="s">
        <v>79</v>
      </c>
      <c r="B46" s="32" t="str">
        <f>B4&amp;" sesi konseling online (60 menit) - ~"&amp;TEXT(B10,"0")&amp;" pegawai x "&amp;Assumptions!$B$13&amp;" sesi"</f>
        <v>36 sesi konseling online (60 menit) - ~12 pegawai x 3 sesi</v>
      </c>
      <c r="C46" s="43">
        <f>B9</f>
        <v>20000000</v>
      </c>
    </row>
    <row r="47" spans="1:6" x14ac:dyDescent="0.2">
      <c r="A47" s="32" t="s">
        <v>115</v>
      </c>
      <c r="B47" s="32" t="str">
        <f>B5&amp;"x MHCU ("&amp;IF(B5=2,"pre &amp; post","baseline")&amp;")"</f>
        <v>2x MHCU (pre &amp; post)</v>
      </c>
      <c r="C47" s="45"/>
    </row>
    <row r="48" spans="1:6" x14ac:dyDescent="0.2">
      <c r="A48" s="32" t="s">
        <v>87</v>
      </c>
      <c r="B48" s="32" t="s">
        <v>126</v>
      </c>
      <c r="C48" s="45"/>
    </row>
    <row r="49" spans="1:3" x14ac:dyDescent="0.2">
      <c r="A49" s="32" t="s">
        <v>87</v>
      </c>
      <c r="B49" s="32" t="s">
        <v>127</v>
      </c>
      <c r="C49" s="45"/>
    </row>
    <row r="50" spans="1:3" x14ac:dyDescent="0.2">
      <c r="A50" s="32" t="s">
        <v>129</v>
      </c>
      <c r="B50" s="32" t="str">
        <f>B8&amp;" sesi penyuluhan online (30 menit, jam kerja), gratis - terbuka untuk umum: pegawai BI dan organisasi lain dapat ikut (nilai Rp"&amp;E10/1000000&amp;"jt)"</f>
        <v>2 sesi penyuluhan online (30 menit, jam kerja), gratis - terbuka untuk umum: pegawai BI dan organisasi lain dapat ikut (nilai Rp2jt)</v>
      </c>
      <c r="C50" s="45"/>
    </row>
    <row r="51" spans="1:3" x14ac:dyDescent="0.2">
      <c r="A51" s="32" t="s">
        <v>112</v>
      </c>
      <c r="B51" s="32" t="s">
        <v>113</v>
      </c>
      <c r="C51" s="44"/>
    </row>
  </sheetData>
  <mergeCells count="1">
    <mergeCell ref="C46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Ringkasan</vt:lpstr>
      <vt:lpstr>Assumptions</vt:lpstr>
      <vt:lpstr>Sapa</vt:lpstr>
      <vt:lpstr>Tumbuh</vt:lpstr>
      <vt:lpstr>Seperjalanan</vt:lpstr>
      <vt:lpstr>Berbagi</vt:lpstr>
      <vt:lpstr>Penyuluhan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Galih Muji Agung</cp:lastModifiedBy>
  <dcterms:created xsi:type="dcterms:W3CDTF">2026-10-16T04:39:44Z</dcterms:created>
  <dcterms:modified xsi:type="dcterms:W3CDTF">2026-10-16T05:51:56Z</dcterms:modified>
</cp:coreProperties>
</file>