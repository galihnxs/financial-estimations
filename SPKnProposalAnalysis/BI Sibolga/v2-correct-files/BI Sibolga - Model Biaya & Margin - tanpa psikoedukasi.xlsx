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galihmujiagung/Documents/GitHub/core-itera/financial-estimations/SPKnProposalAnalysis/BI Sibolga/v2-correct-files/"/>
    </mc:Choice>
  </mc:AlternateContent>
  <xr:revisionPtr revIDLastSave="0" documentId="13_ncr:1_{5050889C-7266-CA4A-AE88-8EC478E75F8C}" xr6:coauthVersionLast="47" xr6:coauthVersionMax="47" xr10:uidLastSave="{00000000-0000-0000-0000-000000000000}"/>
  <bookViews>
    <workbookView xWindow="0" yWindow="780" windowWidth="16380" windowHeight="8200" tabRatio="500" xr2:uid="{00000000-000D-0000-FFFF-FFFF00000000}"/>
  </bookViews>
  <sheets>
    <sheet name="1. Ringkasan Internal" sheetId="1" r:id="rId1"/>
    <sheet name="2. Ringkasan Klien" sheetId="2" r:id="rId2"/>
    <sheet name="Analisis Lengkap" sheetId="3" r:id="rId3"/>
    <sheet name="Input Tarif" sheetId="4" r:id="rId4"/>
    <sheet name="Desain Program" sheetId="5" r:id="rId5"/>
    <sheet name="Rincian Biaya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6" l="1"/>
  <c r="J27" i="6"/>
  <c r="I27" i="6"/>
  <c r="H27" i="6"/>
  <c r="G27" i="6"/>
  <c r="F27" i="6"/>
  <c r="E27" i="6"/>
  <c r="D27" i="6"/>
  <c r="K26" i="6"/>
  <c r="K28" i="6" s="1"/>
  <c r="J14" i="3" s="1"/>
  <c r="J26" i="6"/>
  <c r="J28" i="6" s="1"/>
  <c r="I14" i="3" s="1"/>
  <c r="I26" i="6"/>
  <c r="I28" i="6" s="1"/>
  <c r="H14" i="3" s="1"/>
  <c r="H26" i="6"/>
  <c r="H28" i="6" s="1"/>
  <c r="G14" i="3" s="1"/>
  <c r="G26" i="6"/>
  <c r="G28" i="6" s="1"/>
  <c r="F14" i="3" s="1"/>
  <c r="F26" i="6"/>
  <c r="F28" i="6" s="1"/>
  <c r="E14" i="3" s="1"/>
  <c r="E26" i="6"/>
  <c r="E28" i="6" s="1"/>
  <c r="D14" i="3" s="1"/>
  <c r="D26" i="6"/>
  <c r="D28" i="6" s="1"/>
  <c r="C14" i="3" s="1"/>
  <c r="K22" i="6"/>
  <c r="J22" i="6"/>
  <c r="I22" i="6"/>
  <c r="H22" i="6"/>
  <c r="G22" i="6"/>
  <c r="F22" i="6"/>
  <c r="E22" i="6"/>
  <c r="D22" i="6"/>
  <c r="K21" i="6"/>
  <c r="J21" i="6"/>
  <c r="I21" i="6"/>
  <c r="H21" i="6"/>
  <c r="G21" i="6"/>
  <c r="F21" i="6"/>
  <c r="E21" i="6"/>
  <c r="D21" i="6"/>
  <c r="D23" i="6" s="1"/>
  <c r="C13" i="3" s="1"/>
  <c r="K17" i="6"/>
  <c r="J17" i="6"/>
  <c r="I17" i="6"/>
  <c r="H17" i="6"/>
  <c r="G17" i="6"/>
  <c r="F17" i="6"/>
  <c r="E17" i="6"/>
  <c r="D17" i="6"/>
  <c r="K16" i="6"/>
  <c r="K18" i="6" s="1"/>
  <c r="J12" i="3" s="1"/>
  <c r="J16" i="6"/>
  <c r="J18" i="6" s="1"/>
  <c r="I12" i="3" s="1"/>
  <c r="I16" i="6"/>
  <c r="H16" i="6"/>
  <c r="G16" i="6"/>
  <c r="F16" i="6"/>
  <c r="E16" i="6"/>
  <c r="D16" i="6"/>
  <c r="G12" i="6"/>
  <c r="F12" i="6"/>
  <c r="E12" i="6"/>
  <c r="D12" i="6"/>
  <c r="G7" i="6"/>
  <c r="F7" i="6"/>
  <c r="E7" i="6"/>
  <c r="D7" i="6"/>
  <c r="G6" i="6"/>
  <c r="G8" i="6" s="1"/>
  <c r="F6" i="6"/>
  <c r="F8" i="6" s="1"/>
  <c r="E6" i="6"/>
  <c r="E8" i="6" s="1"/>
  <c r="D6" i="6"/>
  <c r="D8" i="6" s="1"/>
  <c r="G15" i="5"/>
  <c r="F15" i="5"/>
  <c r="E15" i="5"/>
  <c r="D15" i="5"/>
  <c r="K12" i="5"/>
  <c r="J12" i="5"/>
  <c r="I12" i="5"/>
  <c r="H12" i="5"/>
  <c r="K11" i="5"/>
  <c r="K12" i="6" s="1"/>
  <c r="J11" i="5"/>
  <c r="J12" i="6" s="1"/>
  <c r="I11" i="5"/>
  <c r="I12" i="6" s="1"/>
  <c r="H11" i="5"/>
  <c r="H12" i="6" s="1"/>
  <c r="K10" i="5"/>
  <c r="J10" i="5"/>
  <c r="I10" i="5"/>
  <c r="H10" i="5"/>
  <c r="G9" i="5"/>
  <c r="F9" i="5"/>
  <c r="E9" i="5"/>
  <c r="D9" i="5"/>
  <c r="K8" i="5"/>
  <c r="J8" i="5"/>
  <c r="I8" i="5"/>
  <c r="H8" i="5"/>
  <c r="K7" i="5"/>
  <c r="J7" i="5"/>
  <c r="I7" i="5"/>
  <c r="H7" i="5"/>
  <c r="K6" i="5"/>
  <c r="J35" i="3" s="1"/>
  <c r="J6" i="5"/>
  <c r="I35" i="3" s="1"/>
  <c r="I6" i="5"/>
  <c r="H6" i="5"/>
  <c r="H35" i="3"/>
  <c r="G35" i="3"/>
  <c r="F35" i="3"/>
  <c r="E35" i="3"/>
  <c r="D35" i="3"/>
  <c r="C35" i="3"/>
  <c r="J30" i="3"/>
  <c r="J14" i="2" s="1"/>
  <c r="I30" i="3"/>
  <c r="I14" i="2" s="1"/>
  <c r="H30" i="3"/>
  <c r="H14" i="2" s="1"/>
  <c r="G30" i="3"/>
  <c r="G14" i="2" s="1"/>
  <c r="F30" i="3"/>
  <c r="F14" i="2" s="1"/>
  <c r="E30" i="3"/>
  <c r="E14" i="2" s="1"/>
  <c r="D30" i="3"/>
  <c r="D14" i="2" s="1"/>
  <c r="C30" i="3"/>
  <c r="C14" i="2" s="1"/>
  <c r="J26" i="3"/>
  <c r="I26" i="3"/>
  <c r="H26" i="3"/>
  <c r="G26" i="3"/>
  <c r="F26" i="3"/>
  <c r="E26" i="3"/>
  <c r="D26" i="3"/>
  <c r="C26" i="3"/>
  <c r="J20" i="3"/>
  <c r="I20" i="3"/>
  <c r="H20" i="3"/>
  <c r="G20" i="3"/>
  <c r="F20" i="3"/>
  <c r="E20" i="3"/>
  <c r="D20" i="3"/>
  <c r="C20" i="3"/>
  <c r="F8" i="3"/>
  <c r="E8" i="3"/>
  <c r="D8" i="3"/>
  <c r="C8" i="3"/>
  <c r="J7" i="3"/>
  <c r="I7" i="3"/>
  <c r="H7" i="3"/>
  <c r="G7" i="3"/>
  <c r="F7" i="3"/>
  <c r="E7" i="3"/>
  <c r="D7" i="3"/>
  <c r="C7" i="3"/>
  <c r="J6" i="3"/>
  <c r="I6" i="3"/>
  <c r="H6" i="3"/>
  <c r="G6" i="3"/>
  <c r="F6" i="3"/>
  <c r="E6" i="3"/>
  <c r="E15" i="2" s="1"/>
  <c r="D6" i="3"/>
  <c r="D15" i="2" s="1"/>
  <c r="C6" i="3"/>
  <c r="C15" i="2" s="1"/>
  <c r="C24" i="2"/>
  <c r="C22" i="2"/>
  <c r="F18" i="2"/>
  <c r="E18" i="2"/>
  <c r="D18" i="2"/>
  <c r="C18" i="2"/>
  <c r="J17" i="2"/>
  <c r="I17" i="2"/>
  <c r="H17" i="2"/>
  <c r="G17" i="2"/>
  <c r="F17" i="2"/>
  <c r="E17" i="2"/>
  <c r="D17" i="2"/>
  <c r="C17" i="2"/>
  <c r="J16" i="2"/>
  <c r="I16" i="2"/>
  <c r="H16" i="2"/>
  <c r="G16" i="2"/>
  <c r="F16" i="2"/>
  <c r="E16" i="2"/>
  <c r="D16" i="2"/>
  <c r="C16" i="2"/>
  <c r="J15" i="2"/>
  <c r="I15" i="2"/>
  <c r="H15" i="2"/>
  <c r="G15" i="2"/>
  <c r="F15" i="2"/>
  <c r="J12" i="2"/>
  <c r="I12" i="2"/>
  <c r="H12" i="2"/>
  <c r="G12" i="2"/>
  <c r="F12" i="2"/>
  <c r="E12" i="2"/>
  <c r="D12" i="2"/>
  <c r="C12" i="2"/>
  <c r="J11" i="2"/>
  <c r="I11" i="2"/>
  <c r="H11" i="2"/>
  <c r="G11" i="2"/>
  <c r="F11" i="2"/>
  <c r="E11" i="2"/>
  <c r="D11" i="2"/>
  <c r="C11" i="2"/>
  <c r="J10" i="2"/>
  <c r="I10" i="2"/>
  <c r="H10" i="2"/>
  <c r="G10" i="2"/>
  <c r="F10" i="2"/>
  <c r="E10" i="2"/>
  <c r="D10" i="2"/>
  <c r="C10" i="2"/>
  <c r="J9" i="2"/>
  <c r="I9" i="2"/>
  <c r="H9" i="2"/>
  <c r="G9" i="2"/>
  <c r="F9" i="2"/>
  <c r="E9" i="2"/>
  <c r="D9" i="2"/>
  <c r="C9" i="2"/>
  <c r="J8" i="2"/>
  <c r="I8" i="2"/>
  <c r="H8" i="2"/>
  <c r="G8" i="2"/>
  <c r="F8" i="2"/>
  <c r="E8" i="2"/>
  <c r="D8" i="2"/>
  <c r="C8" i="2"/>
  <c r="F7" i="2"/>
  <c r="E7" i="2"/>
  <c r="D7" i="2"/>
  <c r="C7" i="2"/>
  <c r="J6" i="2"/>
  <c r="I6" i="2"/>
  <c r="H6" i="2"/>
  <c r="G6" i="2"/>
  <c r="F6" i="2"/>
  <c r="E6" i="2"/>
  <c r="D6" i="2"/>
  <c r="C6" i="2"/>
  <c r="J20" i="1"/>
  <c r="I20" i="1"/>
  <c r="H20" i="1"/>
  <c r="G20" i="1"/>
  <c r="F20" i="1"/>
  <c r="E20" i="1"/>
  <c r="D20" i="1"/>
  <c r="C20" i="1"/>
  <c r="J6" i="1"/>
  <c r="I6" i="1"/>
  <c r="H6" i="1"/>
  <c r="G6" i="1"/>
  <c r="F6" i="1"/>
  <c r="E6" i="1"/>
  <c r="D6" i="1"/>
  <c r="C6" i="1"/>
  <c r="I31" i="3" l="1"/>
  <c r="E31" i="3"/>
  <c r="K23" i="6"/>
  <c r="J13" i="3" s="1"/>
  <c r="J23" i="6"/>
  <c r="I13" i="3" s="1"/>
  <c r="I23" i="6"/>
  <c r="H13" i="3" s="1"/>
  <c r="H23" i="6"/>
  <c r="G13" i="3" s="1"/>
  <c r="G23" i="6"/>
  <c r="F13" i="3" s="1"/>
  <c r="F23" i="6"/>
  <c r="E13" i="3" s="1"/>
  <c r="E23" i="6"/>
  <c r="D13" i="3" s="1"/>
  <c r="H31" i="3"/>
  <c r="F31" i="3"/>
  <c r="C31" i="3"/>
  <c r="I18" i="6"/>
  <c r="H12" i="3" s="1"/>
  <c r="H18" i="6"/>
  <c r="G12" i="3" s="1"/>
  <c r="G18" i="6"/>
  <c r="F12" i="3" s="1"/>
  <c r="F18" i="6"/>
  <c r="E12" i="3" s="1"/>
  <c r="E18" i="6"/>
  <c r="D12" i="3" s="1"/>
  <c r="D18" i="6"/>
  <c r="C12" i="3" s="1"/>
  <c r="J31" i="3"/>
  <c r="G31" i="3"/>
  <c r="D31" i="3"/>
  <c r="F10" i="3"/>
  <c r="E10" i="3"/>
  <c r="D10" i="3"/>
  <c r="C10" i="3"/>
  <c r="K15" i="5"/>
  <c r="K11" i="6" s="1"/>
  <c r="K13" i="6" s="1"/>
  <c r="J11" i="3" s="1"/>
  <c r="G11" i="6"/>
  <c r="G13" i="6" s="1"/>
  <c r="J15" i="5"/>
  <c r="J11" i="6" s="1"/>
  <c r="J13" i="6" s="1"/>
  <c r="I11" i="3" s="1"/>
  <c r="F11" i="6"/>
  <c r="F13" i="6" s="1"/>
  <c r="E11" i="6"/>
  <c r="E13" i="6" s="1"/>
  <c r="I15" i="5"/>
  <c r="I11" i="6" s="1"/>
  <c r="I13" i="6" s="1"/>
  <c r="H11" i="3" s="1"/>
  <c r="D11" i="6"/>
  <c r="D13" i="6" s="1"/>
  <c r="H15" i="5"/>
  <c r="H11" i="6" s="1"/>
  <c r="H13" i="6" s="1"/>
  <c r="G11" i="3" s="1"/>
  <c r="K7" i="6"/>
  <c r="K6" i="6"/>
  <c r="K8" i="6" s="1"/>
  <c r="K9" i="5"/>
  <c r="J7" i="6"/>
  <c r="J6" i="6"/>
  <c r="J8" i="6" s="1"/>
  <c r="J9" i="5"/>
  <c r="I7" i="6"/>
  <c r="I6" i="6"/>
  <c r="I8" i="6" s="1"/>
  <c r="I9" i="5"/>
  <c r="H7" i="6"/>
  <c r="H6" i="6"/>
  <c r="H8" i="6" s="1"/>
  <c r="H9" i="5"/>
  <c r="K30" i="6" l="1"/>
  <c r="J10" i="3"/>
  <c r="J18" i="2"/>
  <c r="J7" i="2"/>
  <c r="J8" i="3"/>
  <c r="I10" i="3"/>
  <c r="J30" i="6"/>
  <c r="I8" i="3"/>
  <c r="I7" i="2"/>
  <c r="I18" i="2"/>
  <c r="I30" i="6"/>
  <c r="H10" i="3"/>
  <c r="H18" i="2"/>
  <c r="H8" i="3"/>
  <c r="H7" i="2"/>
  <c r="H30" i="6"/>
  <c r="G10" i="3"/>
  <c r="G18" i="2"/>
  <c r="G7" i="2"/>
  <c r="G8" i="3"/>
  <c r="F11" i="3"/>
  <c r="G30" i="6"/>
  <c r="E11" i="3"/>
  <c r="F30" i="6"/>
  <c r="D11" i="3"/>
  <c r="E30" i="6"/>
  <c r="C11" i="3"/>
  <c r="D30" i="6"/>
  <c r="J18" i="3" l="1"/>
  <c r="J8" i="1" s="1"/>
  <c r="J28" i="3"/>
  <c r="J22" i="1" s="1"/>
  <c r="J33" i="3"/>
  <c r="J12" i="1" s="1"/>
  <c r="J34" i="3"/>
  <c r="J13" i="1" s="1"/>
  <c r="J36" i="3"/>
  <c r="J41" i="3"/>
  <c r="J18" i="1" s="1"/>
  <c r="J43" i="3"/>
  <c r="J14" i="1" s="1"/>
  <c r="J16" i="3"/>
  <c r="J21" i="3"/>
  <c r="J27" i="3"/>
  <c r="J21" i="1" s="1"/>
  <c r="J15" i="3"/>
  <c r="J7" i="1" s="1"/>
  <c r="J19" i="3"/>
  <c r="J22" i="3"/>
  <c r="J23" i="3" s="1"/>
  <c r="J24" i="3"/>
  <c r="J23" i="1" s="1"/>
  <c r="I16" i="3"/>
  <c r="I22" i="3"/>
  <c r="I23" i="3" s="1"/>
  <c r="I33" i="3"/>
  <c r="I12" i="1" s="1"/>
  <c r="I34" i="3"/>
  <c r="I13" i="1" s="1"/>
  <c r="I36" i="3"/>
  <c r="I41" i="3"/>
  <c r="I18" i="1" s="1"/>
  <c r="I43" i="3"/>
  <c r="I14" i="1" s="1"/>
  <c r="I18" i="3"/>
  <c r="I8" i="1" s="1"/>
  <c r="I19" i="3"/>
  <c r="I24" i="3"/>
  <c r="I23" i="1" s="1"/>
  <c r="I15" i="3"/>
  <c r="I7" i="1" s="1"/>
  <c r="I21" i="3"/>
  <c r="I27" i="3"/>
  <c r="I21" i="1" s="1"/>
  <c r="I28" i="3"/>
  <c r="I22" i="1" s="1"/>
  <c r="H15" i="3"/>
  <c r="H7" i="1" s="1"/>
  <c r="H19" i="3"/>
  <c r="H21" i="3"/>
  <c r="H27" i="3"/>
  <c r="H21" i="1" s="1"/>
  <c r="H28" i="3"/>
  <c r="H22" i="1" s="1"/>
  <c r="H33" i="3"/>
  <c r="H12" i="1" s="1"/>
  <c r="H34" i="3"/>
  <c r="H13" i="1" s="1"/>
  <c r="H36" i="3"/>
  <c r="H41" i="3"/>
  <c r="H18" i="1" s="1"/>
  <c r="H43" i="3"/>
  <c r="H14" i="1" s="1"/>
  <c r="H22" i="3"/>
  <c r="H23" i="3" s="1"/>
  <c r="H16" i="3"/>
  <c r="H18" i="3"/>
  <c r="H8" i="1" s="1"/>
  <c r="H24" i="3"/>
  <c r="H23" i="1" s="1"/>
  <c r="G24" i="3"/>
  <c r="G23" i="1" s="1"/>
  <c r="G33" i="3"/>
  <c r="G12" i="1" s="1"/>
  <c r="G34" i="3"/>
  <c r="G13" i="1" s="1"/>
  <c r="G36" i="3"/>
  <c r="G41" i="3"/>
  <c r="G18" i="1" s="1"/>
  <c r="G43" i="3"/>
  <c r="G14" i="1" s="1"/>
  <c r="G15" i="3"/>
  <c r="G7" i="1" s="1"/>
  <c r="G16" i="3"/>
  <c r="G18" i="3"/>
  <c r="G8" i="1" s="1"/>
  <c r="G21" i="3"/>
  <c r="G27" i="3"/>
  <c r="G21" i="1" s="1"/>
  <c r="G28" i="3"/>
  <c r="G22" i="1" s="1"/>
  <c r="G19" i="3"/>
  <c r="G22" i="3"/>
  <c r="G23" i="3" s="1"/>
  <c r="F27" i="3"/>
  <c r="F21" i="1" s="1"/>
  <c r="F24" i="3"/>
  <c r="F23" i="1" s="1"/>
  <c r="F21" i="3"/>
  <c r="F19" i="3"/>
  <c r="F43" i="3"/>
  <c r="F14" i="1" s="1"/>
  <c r="F41" i="3"/>
  <c r="F18" i="1" s="1"/>
  <c r="F36" i="3"/>
  <c r="F34" i="3"/>
  <c r="F13" i="1" s="1"/>
  <c r="F33" i="3"/>
  <c r="F12" i="1" s="1"/>
  <c r="F28" i="3"/>
  <c r="F22" i="1" s="1"/>
  <c r="F22" i="3"/>
  <c r="F23" i="3" s="1"/>
  <c r="F18" i="3"/>
  <c r="F8" i="1" s="1"/>
  <c r="F16" i="3"/>
  <c r="F15" i="3"/>
  <c r="F7" i="1" s="1"/>
  <c r="E28" i="3"/>
  <c r="E22" i="1" s="1"/>
  <c r="E18" i="3"/>
  <c r="E8" i="1" s="1"/>
  <c r="E16" i="3"/>
  <c r="E15" i="3"/>
  <c r="E7" i="1" s="1"/>
  <c r="E24" i="3"/>
  <c r="E23" i="1" s="1"/>
  <c r="E22" i="3"/>
  <c r="E23" i="3" s="1"/>
  <c r="E21" i="3"/>
  <c r="E43" i="3"/>
  <c r="E14" i="1" s="1"/>
  <c r="E41" i="3"/>
  <c r="E18" i="1" s="1"/>
  <c r="E36" i="3"/>
  <c r="E34" i="3"/>
  <c r="E13" i="1" s="1"/>
  <c r="E33" i="3"/>
  <c r="E12" i="1" s="1"/>
  <c r="E27" i="3"/>
  <c r="E21" i="1" s="1"/>
  <c r="E19" i="3"/>
  <c r="D22" i="3"/>
  <c r="D23" i="3" s="1"/>
  <c r="D19" i="3"/>
  <c r="D18" i="3"/>
  <c r="D8" i="1" s="1"/>
  <c r="D28" i="3"/>
  <c r="D22" i="1" s="1"/>
  <c r="D27" i="3"/>
  <c r="D21" i="1" s="1"/>
  <c r="D16" i="3"/>
  <c r="D15" i="3"/>
  <c r="D7" i="1" s="1"/>
  <c r="D43" i="3"/>
  <c r="D14" i="1" s="1"/>
  <c r="D41" i="3"/>
  <c r="D18" i="1" s="1"/>
  <c r="D36" i="3"/>
  <c r="D34" i="3"/>
  <c r="D13" i="1" s="1"/>
  <c r="D33" i="3"/>
  <c r="D12" i="1" s="1"/>
  <c r="D24" i="3"/>
  <c r="D23" i="1" s="1"/>
  <c r="D21" i="3"/>
  <c r="C24" i="3"/>
  <c r="C23" i="1" s="1"/>
  <c r="C21" i="3"/>
  <c r="C19" i="3"/>
  <c r="C43" i="3"/>
  <c r="C14" i="1" s="1"/>
  <c r="C41" i="3"/>
  <c r="C18" i="1" s="1"/>
  <c r="C36" i="3"/>
  <c r="C34" i="3"/>
  <c r="C13" i="1" s="1"/>
  <c r="C33" i="3"/>
  <c r="C12" i="1" s="1"/>
  <c r="C28" i="3"/>
  <c r="C22" i="1" s="1"/>
  <c r="C27" i="3"/>
  <c r="C21" i="1" s="1"/>
  <c r="C22" i="3"/>
  <c r="C23" i="3" s="1"/>
  <c r="C18" i="3"/>
  <c r="C8" i="1" s="1"/>
  <c r="C16" i="3"/>
  <c r="C15" i="3"/>
  <c r="C7" i="1" s="1"/>
  <c r="J37" i="3" l="1"/>
  <c r="J38" i="3"/>
  <c r="J39" i="3"/>
  <c r="J17" i="1" s="1"/>
  <c r="J40" i="3"/>
  <c r="J15" i="1"/>
  <c r="J9" i="1"/>
  <c r="J10" i="1"/>
  <c r="I37" i="3"/>
  <c r="I38" i="3"/>
  <c r="I39" i="3"/>
  <c r="I17" i="1" s="1"/>
  <c r="I40" i="3"/>
  <c r="I15" i="1"/>
  <c r="I9" i="1"/>
  <c r="I10" i="1"/>
  <c r="H9" i="1"/>
  <c r="H10" i="1"/>
  <c r="H37" i="3"/>
  <c r="H38" i="3"/>
  <c r="H39" i="3"/>
  <c r="H17" i="1" s="1"/>
  <c r="H40" i="3"/>
  <c r="H15" i="1"/>
  <c r="G37" i="3"/>
  <c r="G38" i="3"/>
  <c r="G39" i="3"/>
  <c r="G17" i="1" s="1"/>
  <c r="G40" i="3"/>
  <c r="G15" i="1"/>
  <c r="G9" i="1"/>
  <c r="G10" i="1"/>
  <c r="F9" i="1"/>
  <c r="F10" i="1"/>
  <c r="F37" i="3"/>
  <c r="F38" i="3"/>
  <c r="F39" i="3"/>
  <c r="F17" i="1" s="1"/>
  <c r="F40" i="3"/>
  <c r="F15" i="1"/>
  <c r="E37" i="3"/>
  <c r="E38" i="3"/>
  <c r="E39" i="3"/>
  <c r="E17" i="1" s="1"/>
  <c r="E40" i="3"/>
  <c r="E15" i="1"/>
  <c r="E10" i="1"/>
  <c r="E9" i="1"/>
  <c r="D10" i="1"/>
  <c r="D9" i="1"/>
  <c r="D37" i="3"/>
  <c r="D38" i="3"/>
  <c r="D39" i="3"/>
  <c r="D17" i="1" s="1"/>
  <c r="D40" i="3"/>
  <c r="D15" i="1"/>
  <c r="C9" i="1"/>
  <c r="C10" i="1"/>
  <c r="C37" i="3"/>
  <c r="C38" i="3"/>
  <c r="C39" i="3"/>
  <c r="C17" i="1" s="1"/>
  <c r="C40" i="3"/>
  <c r="C15" i="1"/>
  <c r="J42" i="3" l="1"/>
  <c r="J25" i="1" s="1"/>
  <c r="J16" i="1"/>
  <c r="I42" i="3"/>
  <c r="I25" i="1" s="1"/>
  <c r="I16" i="1"/>
  <c r="H42" i="3"/>
  <c r="H25" i="1" s="1"/>
  <c r="H16" i="1"/>
  <c r="G42" i="3"/>
  <c r="G25" i="1" s="1"/>
  <c r="G16" i="1"/>
  <c r="F42" i="3"/>
  <c r="F25" i="1" s="1"/>
  <c r="F16" i="1"/>
  <c r="E42" i="3"/>
  <c r="E25" i="1" s="1"/>
  <c r="E16" i="1"/>
  <c r="D42" i="3"/>
  <c r="D25" i="1" s="1"/>
  <c r="D16" i="1"/>
  <c r="C42" i="3"/>
  <c r="C25" i="1" s="1"/>
  <c r="C16" i="1"/>
</calcChain>
</file>

<file path=xl/sharedStrings.xml><?xml version="1.0" encoding="utf-8"?>
<sst xmlns="http://schemas.openxmlformats.org/spreadsheetml/2006/main" count="313" uniqueCount="220">
  <si>
    <t>RINGKASAN INTERNAL - untuk keputusan (JANGAN dibagikan ke klien)</t>
  </si>
  <si>
    <t>Satu halaman: apakah harga sehat, berapa harga yang sebaiknya, dan apa dampaknya ke kas.</t>
  </si>
  <si>
    <t>Indikator</t>
  </si>
  <si>
    <t>Jeda</t>
  </si>
  <si>
    <t>Jeda Tahunan (per term)</t>
  </si>
  <si>
    <t>Tumbuh</t>
  </si>
  <si>
    <t>Seperjalanan</t>
  </si>
  <si>
    <t>Jeda tanpa psikoedukasi</t>
  </si>
  <si>
    <t>Jeda Tahunan tanpa psikoedukasi (per term)</t>
  </si>
  <si>
    <t>Tumbuh tanpa psikoedukasi</t>
  </si>
  <si>
    <t>Seperjalanan tanpa psikoedukasi</t>
  </si>
  <si>
    <t>APAKAH HARGA SEKARANG SEHAT?</t>
  </si>
  <si>
    <t>Harga sekarang</t>
  </si>
  <si>
    <t>Total biaya</t>
  </si>
  <si>
    <t>Laba bersih</t>
  </si>
  <si>
    <t>Margin bersih</t>
  </si>
  <si>
    <t>Posisi vs standar 15%-26%</t>
  </si>
  <si>
    <t>BERAPA HARGA YANG SEBAIKNYA?</t>
  </si>
  <si>
    <t>Harga minimum (15%)</t>
  </si>
  <si>
    <t>Harga ideal (26%)</t>
  </si>
  <si>
    <t>Harga margin 36% (pembanding)</t>
  </si>
  <si>
    <t>Harga rekomendasi</t>
  </si>
  <si>
    <t>Kenaikan yang dibutuhkan</t>
  </si>
  <si>
    <t>Laba bersih di harga rekomendasi</t>
  </si>
  <si>
    <t>Atau: hemat biaya (tanpa naik harga) utk 15%</t>
  </si>
  <si>
    <t>DAMPAK KE KAS &amp; OPERASIONAL</t>
  </si>
  <si>
    <t>Kas masuk saat SPK (DP, setelah PPh)</t>
  </si>
  <si>
    <t>Laba per bulan (harga sekarang)</t>
  </si>
  <si>
    <t>% opex 3 bulan yang tertutup</t>
  </si>
  <si>
    <t>Laba jika semua sesi oleh Vania/Kia</t>
  </si>
  <si>
    <t>KEPUTUSAN</t>
  </si>
  <si>
    <t>Rekomendasi</t>
  </si>
  <si>
    <t>Cara baca: merah = harga belum menutup standar minimum margin 15%. Ikuti baris 'Harga rekomendasi', atau hemat biaya sebesar angka di bawahnya.</t>
  </si>
  <si>
    <t>Angka di sini otomatis mengikuti 'Analisis Lengkap'. Ubah tarif di 'Input Tarif' dan kuantitas/harga/target di 'Desain Program'.</t>
  </si>
  <si>
    <t>Welcoming Package - Employee Wellbeing Program</t>
  </si>
  <si>
    <t>Bank Indonesia KPw Sibolga  |  PT Indo Medika Resolusi (Teman Journey)  |  Dapat dibagikan ke klien</t>
  </si>
  <si>
    <t>Yang Anda dapatkan</t>
  </si>
  <si>
    <t>Paket Jeda</t>
  </si>
  <si>
    <t>Paket Jeda Tahunan (per term)</t>
  </si>
  <si>
    <t>Paket Tumbuh</t>
  </si>
  <si>
    <t>Paket Seperjalanan</t>
  </si>
  <si>
    <t>Paket Jeda tanpa psikoedukasi</t>
  </si>
  <si>
    <t>Paket Jeda Tahunan tanpa psikoedukasi (per term)</t>
  </si>
  <si>
    <t>Paket Tumbuh tanpa psikoedukasi</t>
  </si>
  <si>
    <t>Paket Seperjalanan tanpa psikoedukasi</t>
  </si>
  <si>
    <t>LAYANAN</t>
  </si>
  <si>
    <t>Konseling psikologi online (60 menit)</t>
  </si>
  <si>
    <t>Perkiraan pegawai terlayani</t>
  </si>
  <si>
    <t>Mental Health Check-Up (MHCU)</t>
  </si>
  <si>
    <t>Laporan agregat anonim untuk manajemen</t>
  </si>
  <si>
    <t>Hasil MHCU individual untuk pegawai</t>
  </si>
  <si>
    <t>Psikoedukasi oleh psikolog</t>
  </si>
  <si>
    <t>Masa berlaku</t>
  </si>
  <si>
    <t>INVESTASI</t>
  </si>
  <si>
    <t>Nilai layanan (harga reguler)</t>
  </si>
  <si>
    <t>Harga Welcoming Package</t>
  </si>
  <si>
    <t>Anda hemat</t>
  </si>
  <si>
    <t>Setara per bulan</t>
  </si>
  <si>
    <t>Setara per pegawai</t>
  </si>
  <si>
    <t>KETENTUAN</t>
  </si>
  <si>
    <t>Batas penandatanganan SPK</t>
  </si>
  <si>
    <t>31 Oktober 2026</t>
  </si>
  <si>
    <t>Pembayaran</t>
  </si>
  <si>
    <t>Pajak</t>
  </si>
  <si>
    <t>Teman Journey non-PKP (tanpa PPN); PPh 23 dipotong oleh pemberi kerja</t>
  </si>
  <si>
    <t>Sesi tambahan</t>
  </si>
  <si>
    <t>Kerahasiaan</t>
  </si>
  <si>
    <t>Manajemen hanya menerima data agregat anonim. Hasil MHCU individual (Seperjalanan) hanya diberikan ke pegawai yang bersangkutan</t>
  </si>
  <si>
    <t>Penyelenggara</t>
  </si>
  <si>
    <t>PT Indo Medika Resolusi (Teman Journey) - info@temanjourney.id</t>
  </si>
  <si>
    <t>ANALISIS LENGKAP - BI KPw Sibolga (INTERNAL)</t>
  </si>
  <si>
    <t>Margin = laba bersih / harga jual. Target margin diatur di sheet 'Desain Program'.</t>
  </si>
  <si>
    <t>HARGA</t>
  </si>
  <si>
    <t>Harga jual</t>
  </si>
  <si>
    <t>Jumlah sesi / pegawai terlayani</t>
  </si>
  <si>
    <t>BIAYA PER KATEGORI</t>
  </si>
  <si>
    <t>A. Delivery konseling</t>
  </si>
  <si>
    <t>B. Asesmen</t>
  </si>
  <si>
    <t>C. Psikoedukasi</t>
  </si>
  <si>
    <t>D. Administrasi proyek</t>
  </si>
  <si>
    <t>E. Pajak &amp; overhead</t>
  </si>
  <si>
    <t>Biaya sebagai % harga</t>
  </si>
  <si>
    <t>LABA &amp; MARGIN</t>
  </si>
  <si>
    <t>Margin bersih aktual</t>
  </si>
  <si>
    <t>Target margin</t>
  </si>
  <si>
    <t>Harga minimum utk capai target</t>
  </si>
  <si>
    <t>Selisih harga jual vs harga minimum</t>
  </si>
  <si>
    <t>Status</t>
  </si>
  <si>
    <t>Laba bersih jika semua sesi in-house</t>
  </si>
  <si>
    <t>KAS &amp; KONTRIBUSI</t>
  </si>
  <si>
    <t>Kas diterima saat SPK (DP, setelah PPh)</t>
  </si>
  <si>
    <t>Laba bersih per bulan</t>
  </si>
  <si>
    <t>% opex masa paket yang tertutup</t>
  </si>
  <si>
    <t>NILAI UNTUK PROPOSAL</t>
  </si>
  <si>
    <t>Nilai normal (harga reguler)</t>
  </si>
  <si>
    <t>Hemat untuk BI</t>
  </si>
  <si>
    <t>REKOMENDASI HARGA</t>
  </si>
  <si>
    <t>Harga minimum (margin 15%)</t>
  </si>
  <si>
    <t>Harga ideal (margin 26%)</t>
  </si>
  <si>
    <t>Margin dipakai untuk rekomendasi</t>
  </si>
  <si>
    <t>HARGA REKOMENDASI</t>
  </si>
  <si>
    <t>Perubahan vs harga sekarang</t>
  </si>
  <si>
    <t>Margin bersih pada harga rekomendasi</t>
  </si>
  <si>
    <t>Laba bersih pada harga rekomendasi</t>
  </si>
  <si>
    <t>Setara per bulan (harga rekomendasi)</t>
  </si>
  <si>
    <t>Alternatif: penghematan biaya agar margin 15% tanpa naik harga</t>
  </si>
  <si>
    <t>Kesimpulan</t>
  </si>
  <si>
    <t>Cara pakai: (1) ubah tarif di 'Input Tarif', (2) ubah kuantitas, harga, dan target margin di 'Desain Program', (3) baca hasil di sini.</t>
  </si>
  <si>
    <t>Harga minimum = biaya non-pajak / (1 - PPh - overhead% - target margin). Jika harga jual di bawahnya, status merah.</t>
  </si>
  <si>
    <t>'Laba bersih jika semua sesi in-house' = skenario Vania/Kia membawakan semua sesi (honor sesi Rp0, gaji sudah di opex).</t>
  </si>
  <si>
    <t>REKOMENDASI: standar Teman Journey = margin bersih 15% (batas bawah) s/d 26% (ideal). Harga rekomendasi memakai target margin program, dibatasi 15-26%, dibulatkan ke atas Rp500rb, dan tidak pernah di bawah harga sekarang.</t>
  </si>
  <si>
    <t>Jika harga sekarang di bawah 'Harga minimum (margin 15%)', program merugikan jangka panjang. Pilihannya: naikkan harga, atau kurangi biaya sebesar angka 'Alternatif: penghematan biaya'.</t>
  </si>
  <si>
    <t>INPUT TARIF &amp; ASUMSI</t>
  </si>
  <si>
    <t>Ubah hanya sel biru berlatar kuning. Semua angka lain dihitung otomatis. Kolom 'Review CFO' = catatan kewajaran tarif.</t>
  </si>
  <si>
    <t>Kategori</t>
  </si>
  <si>
    <t>Komponen</t>
  </si>
  <si>
    <t>Satuan</t>
  </si>
  <si>
    <t>Tarif / Nilai</t>
  </si>
  <si>
    <t>Sumber</t>
  </si>
  <si>
    <t>Review CFO</t>
  </si>
  <si>
    <t>Honor psikolog per sesi konseling</t>
  </si>
  <si>
    <t>Rp / sesi 60 menit</t>
  </si>
  <si>
    <t>Kia</t>
  </si>
  <si>
    <t>TINGGI: 70% dari harga reguler Rp500rb. Praktik umum bagi hasil associate 50-60% (Rp250-300rb). Untuk Vania (gaji tetap), gunakan biaya internal per sesi = gaji / kapasitas sesi, bukan Rp350rb.</t>
  </si>
  <si>
    <t>Admin &amp; platform</t>
  </si>
  <si>
    <t>Rp / sesi</t>
  </si>
  <si>
    <t>Asumsi</t>
  </si>
  <si>
    <t>AGAK TINGGI bila Zoom &amp; tools sudah dibayar bulanan (masuk opex). Biaya marginal realistis Rp10-15rb/sesi (reminder, penjadwalan).</t>
  </si>
  <si>
    <t>MHCU (alat ukur + skoring)</t>
  </si>
  <si>
    <t>Rp / orang / putaran</t>
  </si>
  <si>
    <t>Coreitera (tes saja; dinegosiasi turun dari Rp70rb ke Rp35rb/tes, 16 Okt 2026)</t>
  </si>
  <si>
    <t>WAJAR jika termasuk interpretasi psikolog. Jika memakai alat ukur bebas lisensi (mis. DASS-21, Copenhagen Burnout Inventory) dan skoring otomatis, biaya bisa ditekan.</t>
  </si>
  <si>
    <t>Laporan agregat anonim</t>
  </si>
  <si>
    <t>Rp / program</t>
  </si>
  <si>
    <t>WAJAR (± 0,5-1 hari kerja psikolog). Bisa dibuat template agar program berikutnya lebih murah.</t>
  </si>
  <si>
    <t>Webinar online oleh psikolog</t>
  </si>
  <si>
    <t>WAJAR untuk narasumber eksternal. Jika dibawakan Kia/Vania (gaji/opex), biaya marginal mendekati Rp0-500rb (moderator, materi).</t>
  </si>
  <si>
    <t>Seminar offline oleh psikolog</t>
  </si>
  <si>
    <t>KEMUNGKINAN TERLALU RENDAH jika narasumber berangkat dari Jakarta: tiket ke Sibolga (via Medan) + hotel + uang harian bisa melebihi Rp3jt sebelum honor. Cek ulang, atau pakai psikolog mitra di Sumut.</t>
  </si>
  <si>
    <t>PIC / Project Officer</t>
  </si>
  <si>
    <t>Belum ada</t>
  </si>
  <si>
    <t>KURANG: koordinasi jadwal 12 pegawai x 3 bulan tetap memakan waktu. Pertimbangkan Rp300-500rb/program agar margin tidak semu.</t>
  </si>
  <si>
    <t>Kontrak, materai, invoice</t>
  </si>
  <si>
    <t>WAJAR.</t>
  </si>
  <si>
    <t>PPh 23 dipotong BI</t>
  </si>
  <si>
    <t>% dari harga</t>
  </si>
  <si>
    <t>Ketentuan</t>
  </si>
  <si>
    <t>Non-PKP: tidak ada PPN. PPh 23 = kredit pajak, tapi mengurangi kas.</t>
  </si>
  <si>
    <t>Alokasi overhead kantor</t>
  </si>
  <si>
    <t>Belum diisi</t>
  </si>
  <si>
    <t>DISARANKAN 10-15% agar laba mencerminkan kontribusi nyata terhadap opex Rp20jt/bulan.</t>
  </si>
  <si>
    <t>Parameter umum</t>
  </si>
  <si>
    <t>Harga reguler per sesi</t>
  </si>
  <si>
    <t>Sesi konseling per pegawai</t>
  </si>
  <si>
    <t>sesi</t>
  </si>
  <si>
    <t>Asumsi praktik konseling singkat</t>
  </si>
  <si>
    <t>Masa paket</t>
  </si>
  <si>
    <t>bulan</t>
  </si>
  <si>
    <t>Biaya operasional bulanan Teman Journey</t>
  </si>
  <si>
    <t>Rp / bulan</t>
  </si>
  <si>
    <t>DP saat SPK</t>
  </si>
  <si>
    <t>Ketentuan proposal</t>
  </si>
  <si>
    <t>Nilai normal 1 putaran MHCU (untuk proposal)</t>
  </si>
  <si>
    <t>Rp</t>
  </si>
  <si>
    <t>Nilai jual, bukan biaya</t>
  </si>
  <si>
    <t>Nilai normal laporan agregat (untuk proposal)</t>
  </si>
  <si>
    <t>Nilai normal 1 sesi psikoedukasi (untuk proposal)</t>
  </si>
  <si>
    <t>Standar margin bersih minimum</t>
  </si>
  <si>
    <t>Kebijakan Teman Journey</t>
  </si>
  <si>
    <t>Standar margin bersih maksimum / ideal</t>
  </si>
  <si>
    <t>Pembulatan harga rekomendasi</t>
  </si>
  <si>
    <t>Dibulatkan ke atas</t>
  </si>
  <si>
    <t>Margin bersih pembanding (tinggi)</t>
  </si>
  <si>
    <t>Pembanding: harga Jeda, Tumbuh, Seperjalanan saat ini setara margin ini</t>
  </si>
  <si>
    <t>DESAIN PROGRAM (isi per paket)</t>
  </si>
  <si>
    <t>Kuantitas layanan, harga jual, dan TARGET MARGIN bisa diatur per program.</t>
  </si>
  <si>
    <t>Bagian</t>
  </si>
  <si>
    <t>Parameter</t>
  </si>
  <si>
    <t>Harga &amp; target</t>
  </si>
  <si>
    <t>Harga jual (proposal)</t>
  </si>
  <si>
    <t>Target margin bersih</t>
  </si>
  <si>
    <t>% sesi oleh psikolog berbayar</t>
  </si>
  <si>
    <t>%</t>
  </si>
  <si>
    <t>Layanan</t>
  </si>
  <si>
    <t>Jumlah sesi konseling</t>
  </si>
  <si>
    <t>Pegawai terlayani</t>
  </si>
  <si>
    <t>orang</t>
  </si>
  <si>
    <t>Putaran MHCU</t>
  </si>
  <si>
    <t>putaran</t>
  </si>
  <si>
    <t>Laporan agregat (1=ya)</t>
  </si>
  <si>
    <t>flag</t>
  </si>
  <si>
    <t>Hasil MHCU individual (1=ya)</t>
  </si>
  <si>
    <t>Psikoedukasi online (webinar)</t>
  </si>
  <si>
    <t>Psikoedukasi offline (seminar)</t>
  </si>
  <si>
    <t>Peserta MHCU (maks: 1 orang per sesi kuota)</t>
  </si>
  <si>
    <t>Catatan: '% sesi oleh psikolog berbayar' = 100% berarti semua sesi dibayar honor (skenario konservatif). Isi 0% jika semua sesi dibawakan Vania/Kia (gaji tetap).</t>
  </si>
  <si>
    <t>Kolom H-K = paket yang sama tanpa psikoedukasi (webinar/seminar = 0). Harga H5:K5 diisi manual (keputusan Galih, 16 Okt 2026): Jeda Rp11,5jt, Jeda Tahunan Rp10,5jt/term, Tumbuh Rp17,5jt, Seperjalanan Rp28,5jt. Kuantitas lain mengikuti kolom paket asli.</t>
  </si>
  <si>
    <t>Baris 15: MHCU hanya untuk pegawai yang konseling. Skenario terburuk: setiap pegawai hanya pakai 1 sesi, jadi peserta MHCU = jumlah sesi kuota (Tumbuh maks 24, Seperjalanan maks 36 x pre &amp; post = Rp140rb/orang). Jeda Tahunan: hanya yang baru pertama kali konseling, maks 15 per term.</t>
  </si>
  <si>
    <t>RINCIAN BIAYA PER KATEGORI</t>
  </si>
  <si>
    <t>Biaya = kuantitas (Desain Program) x tarif (Input Tarif). Jangan ketik angka di sini.</t>
  </si>
  <si>
    <t>Dasar perhitungan</t>
  </si>
  <si>
    <t>Honor psikolog</t>
  </si>
  <si>
    <t>sesi x % berbayar x tarif</t>
  </si>
  <si>
    <t>sesi x tarif</t>
  </si>
  <si>
    <t>Subtotal A. Delivery konseling</t>
  </si>
  <si>
    <t>MHCU</t>
  </si>
  <si>
    <t>putaran x peserta MHCU (maks 1 per sesi) x tarif</t>
  </si>
  <si>
    <t>Laporan agregat</t>
  </si>
  <si>
    <t>flag x tarif</t>
  </si>
  <si>
    <t>Subtotal B. Asesmen</t>
  </si>
  <si>
    <t>Webinar online</t>
  </si>
  <si>
    <t>Seminar offline</t>
  </si>
  <si>
    <t>Subtotal C. Psikoedukasi</t>
  </si>
  <si>
    <t>per program</t>
  </si>
  <si>
    <t>Subtotal D. Administrasi proyek</t>
  </si>
  <si>
    <t>PPh 23</t>
  </si>
  <si>
    <t>harga x %</t>
  </si>
  <si>
    <t>Alokasi overhead</t>
  </si>
  <si>
    <t>Subtotal E. Pajak &amp; overhead</t>
  </si>
  <si>
    <t>TOTAL BIAYA (A s/d 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</si>
</sst>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p&quot;#,##0;&quot;(Rp&quot;#,##0\);\-"/>
    <numFmt numFmtId="165" formatCode="0.0%;\(0.0%\);\-"/>
    <numFmt numFmtId="166" formatCode="#,##0;\(#,##0\);\-"/>
    <numFmt numFmtId="167" formatCode="#,##0.0;\(#,##0.0\);\-"/>
  </numFmts>
  <fonts count="11" x14ac:knownFonts="1">
    <font>
      <sz val="11"/>
      <color theme="1"/>
      <name val="Calibri"/>
      <family val="2"/>
      <charset val="1"/>
    </font>
    <font>
      <b/>
      <sz val="14"/>
      <color rgb="FF1C4587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sz val="9"/>
      <color rgb="FF666666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C4587"/>
        <bgColor rgb="FF003366"/>
      </patternFill>
    </fill>
    <fill>
      <patternFill patternType="solid">
        <fgColor rgb="FFDCE6F1"/>
        <bgColor rgb="FFC9DAF8"/>
      </patternFill>
    </fill>
    <fill>
      <patternFill patternType="solid">
        <fgColor rgb="FFC9DAF8"/>
        <bgColor rgb="FFDCE6F1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right" vertical="top" wrapText="1"/>
    </xf>
    <xf numFmtId="0" fontId="5" fillId="0" borderId="1" xfId="0" applyFont="1" applyBorder="1"/>
    <xf numFmtId="164" fontId="5" fillId="0" borderId="1" xfId="0" applyNumberFormat="1" applyFont="1" applyBorder="1" applyAlignment="1">
      <alignment horizontal="right" vertical="top" wrapText="1"/>
    </xf>
    <xf numFmtId="165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right" vertical="top" wrapText="1"/>
    </xf>
    <xf numFmtId="165" fontId="5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 vertical="top" wrapText="1"/>
    </xf>
    <xf numFmtId="164" fontId="6" fillId="5" borderId="1" xfId="0" applyNumberFormat="1" applyFont="1" applyFill="1" applyBorder="1"/>
    <xf numFmtId="0" fontId="7" fillId="0" borderId="1" xfId="0" applyFont="1" applyBorder="1"/>
    <xf numFmtId="0" fontId="8" fillId="0" borderId="1" xfId="0" applyFont="1" applyBorder="1" applyAlignment="1">
      <alignment vertical="top" wrapText="1"/>
    </xf>
    <xf numFmtId="165" fontId="6" fillId="5" borderId="1" xfId="0" applyNumberFormat="1" applyFont="1" applyFill="1" applyBorder="1"/>
    <xf numFmtId="0" fontId="0" fillId="3" borderId="0" xfId="0" applyFill="1"/>
    <xf numFmtId="166" fontId="6" fillId="5" borderId="1" xfId="0" applyNumberFormat="1" applyFont="1" applyFill="1" applyBorder="1"/>
    <xf numFmtId="167" fontId="5" fillId="0" borderId="1" xfId="0" applyNumberFormat="1" applyFont="1" applyBorder="1"/>
    <xf numFmtId="0" fontId="0" fillId="3" borderId="1" xfId="0" applyFill="1" applyBorder="1"/>
    <xf numFmtId="164" fontId="5" fillId="0" borderId="1" xfId="0" applyNumberFormat="1" applyFont="1" applyBorder="1"/>
    <xf numFmtId="0" fontId="5" fillId="6" borderId="1" xfId="0" applyFont="1" applyFill="1" applyBorder="1"/>
    <xf numFmtId="0" fontId="4" fillId="6" borderId="1" xfId="0" applyFont="1" applyFill="1" applyBorder="1"/>
    <xf numFmtId="164" fontId="4" fillId="6" borderId="1" xfId="0" applyNumberFormat="1" applyFont="1" applyFill="1" applyBorder="1"/>
    <xf numFmtId="0" fontId="5" fillId="4" borderId="1" xfId="0" applyFont="1" applyFill="1" applyBorder="1"/>
    <xf numFmtId="164" fontId="4" fillId="4" borderId="1" xfId="0" applyNumberFormat="1" applyFont="1" applyFill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6" fontId="10" fillId="0" borderId="1" xfId="0" applyNumberFormat="1" applyFont="1" applyBorder="1"/>
    <xf numFmtId="0" fontId="5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4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C458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42" customWidth="1"/>
    <col min="3" max="3" width="26" customWidth="1"/>
    <col min="4" max="6" width="13" customWidth="1"/>
    <col min="7" max="7" width="26" customWidth="1"/>
    <col min="8" max="10" width="13" customWidth="1"/>
  </cols>
  <sheetData>
    <row r="1" spans="1:10" ht="17.25" customHeight="1" x14ac:dyDescent="0.2">
      <c r="A1" s="1" t="s">
        <v>0</v>
      </c>
    </row>
    <row r="2" spans="1:10" ht="15" customHeight="1" x14ac:dyDescent="0.2">
      <c r="A2" s="2" t="s">
        <v>1</v>
      </c>
    </row>
    <row r="4" spans="1:10" ht="15" customHeight="1" x14ac:dyDescent="0.2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1:10" ht="15" customHeight="1" x14ac:dyDescent="0.2">
      <c r="B5" s="5" t="s">
        <v>11</v>
      </c>
      <c r="C5" s="6"/>
      <c r="D5" s="6"/>
      <c r="E5" s="6"/>
      <c r="F5" s="6"/>
      <c r="G5" s="6"/>
      <c r="H5" s="6"/>
      <c r="I5" s="6"/>
      <c r="J5" s="6"/>
    </row>
    <row r="6" spans="1:10" ht="15" customHeight="1" x14ac:dyDescent="0.2">
      <c r="B6" s="7" t="s">
        <v>12</v>
      </c>
      <c r="C6" s="8">
        <f>'Analisis Lengkap'!C6</f>
        <v>12000000</v>
      </c>
      <c r="D6" s="8">
        <f>'Analisis Lengkap'!D6</f>
        <v>11000000</v>
      </c>
      <c r="E6" s="8">
        <f>'Analisis Lengkap'!E6</f>
        <v>20000000</v>
      </c>
      <c r="F6" s="8">
        <f>'Analisis Lengkap'!F6</f>
        <v>31500000</v>
      </c>
      <c r="G6" s="8">
        <f>'Analisis Lengkap'!G6</f>
        <v>11500000</v>
      </c>
      <c r="H6" s="8">
        <f>'Analisis Lengkap'!H6</f>
        <v>10500000</v>
      </c>
      <c r="I6" s="8">
        <f>'Analisis Lengkap'!I6</f>
        <v>17500000</v>
      </c>
      <c r="J6" s="8">
        <f>'Analisis Lengkap'!J6</f>
        <v>28500000</v>
      </c>
    </row>
    <row r="7" spans="1:10" ht="15" customHeight="1" x14ac:dyDescent="0.2">
      <c r="B7" s="9" t="s">
        <v>13</v>
      </c>
      <c r="C7" s="10">
        <f>'Analisis Lengkap'!C15</f>
        <v>7665000</v>
      </c>
      <c r="D7" s="10">
        <f>'Analisis Lengkap'!D15</f>
        <v>8920000</v>
      </c>
      <c r="E7" s="10">
        <f>'Analisis Lengkap'!E15</f>
        <v>12880000</v>
      </c>
      <c r="F7" s="10">
        <f>'Analisis Lengkap'!F15</f>
        <v>20910000</v>
      </c>
      <c r="G7" s="10">
        <f>'Analisis Lengkap'!G15</f>
        <v>6155000</v>
      </c>
      <c r="H7" s="10">
        <f>'Analisis Lengkap'!H15</f>
        <v>7410000</v>
      </c>
      <c r="I7" s="10">
        <f>'Analisis Lengkap'!I15</f>
        <v>11330000</v>
      </c>
      <c r="J7" s="10">
        <f>'Analisis Lengkap'!J15</f>
        <v>17850000</v>
      </c>
    </row>
    <row r="8" spans="1:10" ht="15" customHeight="1" x14ac:dyDescent="0.2">
      <c r="B8" s="7" t="s">
        <v>14</v>
      </c>
      <c r="C8" s="8">
        <f>'Analisis Lengkap'!C18</f>
        <v>4335000</v>
      </c>
      <c r="D8" s="8">
        <f>'Analisis Lengkap'!D18</f>
        <v>2080000</v>
      </c>
      <c r="E8" s="8">
        <f>'Analisis Lengkap'!E18</f>
        <v>7120000</v>
      </c>
      <c r="F8" s="8">
        <f>'Analisis Lengkap'!F18</f>
        <v>10590000</v>
      </c>
      <c r="G8" s="8">
        <f>'Analisis Lengkap'!G18</f>
        <v>5345000</v>
      </c>
      <c r="H8" s="8">
        <f>'Analisis Lengkap'!H18</f>
        <v>3090000</v>
      </c>
      <c r="I8" s="8">
        <f>'Analisis Lengkap'!I18</f>
        <v>6170000</v>
      </c>
      <c r="J8" s="8">
        <f>'Analisis Lengkap'!J18</f>
        <v>10650000</v>
      </c>
    </row>
    <row r="9" spans="1:10" ht="15" customHeight="1" x14ac:dyDescent="0.2">
      <c r="B9" s="7" t="s">
        <v>15</v>
      </c>
      <c r="C9" s="11">
        <f>'Analisis Lengkap'!C19</f>
        <v>0.36125000000000002</v>
      </c>
      <c r="D9" s="11">
        <f>'Analisis Lengkap'!D19</f>
        <v>0.18909090909090909</v>
      </c>
      <c r="E9" s="11">
        <f>'Analisis Lengkap'!E19</f>
        <v>0.35599999999999998</v>
      </c>
      <c r="F9" s="11">
        <f>'Analisis Lengkap'!F19</f>
        <v>0.33619047619047621</v>
      </c>
      <c r="G9" s="11">
        <f>'Analisis Lengkap'!G19</f>
        <v>0.46478260869565219</v>
      </c>
      <c r="H9" s="11">
        <f>'Analisis Lengkap'!H19</f>
        <v>0.29428571428571426</v>
      </c>
      <c r="I9" s="11">
        <f>'Analisis Lengkap'!I19</f>
        <v>0.35257142857142859</v>
      </c>
      <c r="J9" s="11">
        <f>'Analisis Lengkap'!J19</f>
        <v>0.37368421052631579</v>
      </c>
    </row>
    <row r="10" spans="1:10" ht="15" customHeight="1" x14ac:dyDescent="0.2">
      <c r="B10" s="7" t="s">
        <v>16</v>
      </c>
      <c r="C10" s="12" t="str">
        <f>IF('Analisis Lengkap'!C19&lt;'Input Tarif'!$D$25,"Di bawah minimum",IF('Analisis Lengkap'!C19&lt;='Input Tarif'!$D$26,"Dalam rentang sehat","Di atas ideal"))</f>
        <v>Di atas ideal</v>
      </c>
      <c r="D10" s="12" t="str">
        <f>IF('Analisis Lengkap'!D19&lt;'Input Tarif'!$D$25,"Di bawah minimum",IF('Analisis Lengkap'!D19&lt;='Input Tarif'!$D$26,"Dalam rentang sehat","Di atas ideal"))</f>
        <v>Dalam rentang sehat</v>
      </c>
      <c r="E10" s="12" t="str">
        <f>IF('Analisis Lengkap'!E19&lt;'Input Tarif'!$D$25,"Di bawah minimum",IF('Analisis Lengkap'!E19&lt;='Input Tarif'!$D$26,"Dalam rentang sehat","Di atas ideal"))</f>
        <v>Di atas ideal</v>
      </c>
      <c r="F10" s="12" t="str">
        <f>IF('Analisis Lengkap'!F19&lt;'Input Tarif'!$D$25,"Di bawah minimum",IF('Analisis Lengkap'!F19&lt;='Input Tarif'!$D$26,"Dalam rentang sehat","Di atas ideal"))</f>
        <v>Di atas ideal</v>
      </c>
      <c r="G10" s="12" t="str">
        <f>IF('Analisis Lengkap'!G19&lt;'Input Tarif'!$D$25,"Di bawah minimum",IF('Analisis Lengkap'!G19&lt;='Input Tarif'!$D$26,"Dalam rentang sehat","Di atas ideal"))</f>
        <v>Di atas ideal</v>
      </c>
      <c r="H10" s="12" t="str">
        <f>IF('Analisis Lengkap'!H19&lt;'Input Tarif'!$D$25,"Di bawah minimum",IF('Analisis Lengkap'!H19&lt;='Input Tarif'!$D$26,"Dalam rentang sehat","Di atas ideal"))</f>
        <v>Di atas ideal</v>
      </c>
      <c r="I10" s="12" t="str">
        <f>IF('Analisis Lengkap'!I19&lt;'Input Tarif'!$D$25,"Di bawah minimum",IF('Analisis Lengkap'!I19&lt;='Input Tarif'!$D$26,"Dalam rentang sehat","Di atas ideal"))</f>
        <v>Di atas ideal</v>
      </c>
      <c r="J10" s="12" t="str">
        <f>IF('Analisis Lengkap'!J19&lt;'Input Tarif'!$D$25,"Di bawah minimum",IF('Analisis Lengkap'!J19&lt;='Input Tarif'!$D$26,"Dalam rentang sehat","Di atas ideal"))</f>
        <v>Di atas ideal</v>
      </c>
    </row>
    <row r="11" spans="1:10" ht="15" customHeight="1" x14ac:dyDescent="0.2">
      <c r="B11" s="5" t="s">
        <v>17</v>
      </c>
      <c r="C11" s="6"/>
      <c r="D11" s="6"/>
      <c r="E11" s="6"/>
      <c r="F11" s="6"/>
      <c r="G11" s="6"/>
      <c r="H11" s="6"/>
      <c r="I11" s="6"/>
      <c r="J11" s="6"/>
    </row>
    <row r="12" spans="1:10" ht="15" customHeight="1" x14ac:dyDescent="0.2">
      <c r="B12" s="9" t="s">
        <v>18</v>
      </c>
      <c r="C12" s="10">
        <f>'Analisis Lengkap'!C33</f>
        <v>9000000</v>
      </c>
      <c r="D12" s="10">
        <f>'Analisis Lengkap'!D33</f>
        <v>10500000</v>
      </c>
      <c r="E12" s="10">
        <f>'Analisis Lengkap'!E33</f>
        <v>15500000</v>
      </c>
      <c r="F12" s="10">
        <f>'Analisis Lengkap'!F33</f>
        <v>24500000</v>
      </c>
      <c r="G12" s="10">
        <f>'Analisis Lengkap'!G33</f>
        <v>7500000</v>
      </c>
      <c r="H12" s="10">
        <f>'Analisis Lengkap'!H33</f>
        <v>9000000</v>
      </c>
      <c r="I12" s="10">
        <f>'Analisis Lengkap'!I33</f>
        <v>13500000</v>
      </c>
      <c r="J12" s="10">
        <f>'Analisis Lengkap'!J33</f>
        <v>21000000</v>
      </c>
    </row>
    <row r="13" spans="1:10" ht="15" customHeight="1" x14ac:dyDescent="0.2">
      <c r="B13" s="9" t="s">
        <v>19</v>
      </c>
      <c r="C13" s="10">
        <f>'Analisis Lengkap'!C34</f>
        <v>10500000</v>
      </c>
      <c r="D13" s="10">
        <f>'Analisis Lengkap'!D34</f>
        <v>12500000</v>
      </c>
      <c r="E13" s="10">
        <f>'Analisis Lengkap'!E34</f>
        <v>17500000</v>
      </c>
      <c r="F13" s="10">
        <f>'Analisis Lengkap'!F34</f>
        <v>28500000</v>
      </c>
      <c r="G13" s="10">
        <f>'Analisis Lengkap'!G34</f>
        <v>8500000</v>
      </c>
      <c r="H13" s="10">
        <f>'Analisis Lengkap'!H34</f>
        <v>10000000</v>
      </c>
      <c r="I13" s="10">
        <f>'Analisis Lengkap'!I34</f>
        <v>15500000</v>
      </c>
      <c r="J13" s="10">
        <f>'Analisis Lengkap'!J34</f>
        <v>24000000</v>
      </c>
    </row>
    <row r="14" spans="1:10" ht="15" customHeight="1" x14ac:dyDescent="0.2">
      <c r="B14" s="9" t="s">
        <v>20</v>
      </c>
      <c r="C14" s="10">
        <f>'Analisis Lengkap'!C43</f>
        <v>12000000</v>
      </c>
      <c r="D14" s="10">
        <f>'Analisis Lengkap'!D43</f>
        <v>14500000</v>
      </c>
      <c r="E14" s="10">
        <f>'Analisis Lengkap'!E43</f>
        <v>20500000</v>
      </c>
      <c r="F14" s="10">
        <f>'Analisis Lengkap'!F43</f>
        <v>33000000</v>
      </c>
      <c r="G14" s="10">
        <f>'Analisis Lengkap'!G43</f>
        <v>10000000</v>
      </c>
      <c r="H14" s="10">
        <f>'Analisis Lengkap'!H43</f>
        <v>12000000</v>
      </c>
      <c r="I14" s="10">
        <f>'Analisis Lengkap'!I43</f>
        <v>18000000</v>
      </c>
      <c r="J14" s="10">
        <f>'Analisis Lengkap'!J43</f>
        <v>28000000</v>
      </c>
    </row>
    <row r="15" spans="1:10" ht="15" customHeight="1" x14ac:dyDescent="0.2">
      <c r="B15" s="13" t="s">
        <v>21</v>
      </c>
      <c r="C15" s="14">
        <f>'Analisis Lengkap'!C36</f>
        <v>12000000</v>
      </c>
      <c r="D15" s="14">
        <f>'Analisis Lengkap'!D36</f>
        <v>11500000</v>
      </c>
      <c r="E15" s="14">
        <f>'Analisis Lengkap'!E36</f>
        <v>20000000</v>
      </c>
      <c r="F15" s="14">
        <f>'Analisis Lengkap'!F36</f>
        <v>31500000</v>
      </c>
      <c r="G15" s="14">
        <f>'Analisis Lengkap'!G36</f>
        <v>11500000</v>
      </c>
      <c r="H15" s="14">
        <f>'Analisis Lengkap'!H36</f>
        <v>10500000</v>
      </c>
      <c r="I15" s="14">
        <f>'Analisis Lengkap'!I36</f>
        <v>17500000</v>
      </c>
      <c r="J15" s="14">
        <f>'Analisis Lengkap'!J36</f>
        <v>28500000</v>
      </c>
    </row>
    <row r="16" spans="1:10" ht="15" customHeight="1" x14ac:dyDescent="0.2">
      <c r="B16" s="9" t="s">
        <v>22</v>
      </c>
      <c r="C16" s="10">
        <f>'Analisis Lengkap'!C37</f>
        <v>0</v>
      </c>
      <c r="D16" s="10">
        <f>'Analisis Lengkap'!D37</f>
        <v>500000</v>
      </c>
      <c r="E16" s="10">
        <f>'Analisis Lengkap'!E37</f>
        <v>0</v>
      </c>
      <c r="F16" s="10">
        <f>'Analisis Lengkap'!F37</f>
        <v>0</v>
      </c>
      <c r="G16" s="10">
        <f>'Analisis Lengkap'!G37</f>
        <v>0</v>
      </c>
      <c r="H16" s="10">
        <f>'Analisis Lengkap'!H37</f>
        <v>0</v>
      </c>
      <c r="I16" s="10">
        <f>'Analisis Lengkap'!I37</f>
        <v>0</v>
      </c>
      <c r="J16" s="10">
        <f>'Analisis Lengkap'!J37</f>
        <v>0</v>
      </c>
    </row>
    <row r="17" spans="2:10" ht="15" customHeight="1" x14ac:dyDescent="0.2">
      <c r="B17" s="9" t="s">
        <v>23</v>
      </c>
      <c r="C17" s="10">
        <f>'Analisis Lengkap'!C39</f>
        <v>4335000</v>
      </c>
      <c r="D17" s="10">
        <f>'Analisis Lengkap'!D39</f>
        <v>2570000</v>
      </c>
      <c r="E17" s="10">
        <f>'Analisis Lengkap'!E39</f>
        <v>7120000</v>
      </c>
      <c r="F17" s="10">
        <f>'Analisis Lengkap'!F39</f>
        <v>10590000</v>
      </c>
      <c r="G17" s="10">
        <f>'Analisis Lengkap'!G39</f>
        <v>5345000</v>
      </c>
      <c r="H17" s="10">
        <f>'Analisis Lengkap'!H39</f>
        <v>3090000</v>
      </c>
      <c r="I17" s="10">
        <f>'Analisis Lengkap'!I39</f>
        <v>6170000</v>
      </c>
      <c r="J17" s="10">
        <f>'Analisis Lengkap'!J39</f>
        <v>10650000</v>
      </c>
    </row>
    <row r="18" spans="2:10" ht="15" customHeight="1" x14ac:dyDescent="0.2">
      <c r="B18" s="9" t="s">
        <v>24</v>
      </c>
      <c r="C18" s="10">
        <f>'Analisis Lengkap'!C41</f>
        <v>0</v>
      </c>
      <c r="D18" s="10">
        <f>'Analisis Lengkap'!D41</f>
        <v>0</v>
      </c>
      <c r="E18" s="10">
        <f>'Analisis Lengkap'!E41</f>
        <v>0</v>
      </c>
      <c r="F18" s="10">
        <f>'Analisis Lengkap'!F41</f>
        <v>0</v>
      </c>
      <c r="G18" s="10">
        <f>'Analisis Lengkap'!G41</f>
        <v>0</v>
      </c>
      <c r="H18" s="10">
        <f>'Analisis Lengkap'!H41</f>
        <v>0</v>
      </c>
      <c r="I18" s="10">
        <f>'Analisis Lengkap'!I41</f>
        <v>0</v>
      </c>
      <c r="J18" s="10">
        <f>'Analisis Lengkap'!J41</f>
        <v>0</v>
      </c>
    </row>
    <row r="19" spans="2:10" ht="15" customHeight="1" x14ac:dyDescent="0.2">
      <c r="B19" s="5" t="s">
        <v>25</v>
      </c>
      <c r="C19" s="6"/>
      <c r="D19" s="6"/>
      <c r="E19" s="6"/>
      <c r="F19" s="6"/>
      <c r="G19" s="6"/>
      <c r="H19" s="6"/>
      <c r="I19" s="6"/>
      <c r="J19" s="6"/>
    </row>
    <row r="20" spans="2:10" ht="15" customHeight="1" x14ac:dyDescent="0.2">
      <c r="B20" s="9" t="s">
        <v>26</v>
      </c>
      <c r="C20" s="10">
        <f>'Analisis Lengkap'!C26</f>
        <v>5880000</v>
      </c>
      <c r="D20" s="10">
        <f>'Analisis Lengkap'!D26</f>
        <v>5390000</v>
      </c>
      <c r="E20" s="10">
        <f>'Analisis Lengkap'!E26</f>
        <v>9800000</v>
      </c>
      <c r="F20" s="10">
        <f>'Analisis Lengkap'!F26</f>
        <v>15435000</v>
      </c>
      <c r="G20" s="10">
        <f>'Analisis Lengkap'!G26</f>
        <v>5635000</v>
      </c>
      <c r="H20" s="10">
        <f>'Analisis Lengkap'!H26</f>
        <v>5145000</v>
      </c>
      <c r="I20" s="10">
        <f>'Analisis Lengkap'!I26</f>
        <v>8575000</v>
      </c>
      <c r="J20" s="10">
        <f>'Analisis Lengkap'!J26</f>
        <v>13965000</v>
      </c>
    </row>
    <row r="21" spans="2:10" ht="15" customHeight="1" x14ac:dyDescent="0.2">
      <c r="B21" s="9" t="s">
        <v>27</v>
      </c>
      <c r="C21" s="10">
        <f>'Analisis Lengkap'!C27</f>
        <v>1445000</v>
      </c>
      <c r="D21" s="10">
        <f>'Analisis Lengkap'!D27</f>
        <v>693333.33333333337</v>
      </c>
      <c r="E21" s="10">
        <f>'Analisis Lengkap'!E27</f>
        <v>2373333.3333333335</v>
      </c>
      <c r="F21" s="10">
        <f>'Analisis Lengkap'!F27</f>
        <v>3530000</v>
      </c>
      <c r="G21" s="10">
        <f>'Analisis Lengkap'!G27</f>
        <v>1781666.6666666667</v>
      </c>
      <c r="H21" s="10">
        <f>'Analisis Lengkap'!H27</f>
        <v>1030000</v>
      </c>
      <c r="I21" s="10">
        <f>'Analisis Lengkap'!I27</f>
        <v>2056666.6666666667</v>
      </c>
      <c r="J21" s="10">
        <f>'Analisis Lengkap'!J27</f>
        <v>3550000</v>
      </c>
    </row>
    <row r="22" spans="2:10" ht="15" customHeight="1" x14ac:dyDescent="0.2">
      <c r="B22" s="9" t="s">
        <v>28</v>
      </c>
      <c r="C22" s="15">
        <f>'Analisis Lengkap'!C28</f>
        <v>7.2249999999999995E-2</v>
      </c>
      <c r="D22" s="15">
        <f>'Analisis Lengkap'!D28</f>
        <v>3.4666666666666665E-2</v>
      </c>
      <c r="E22" s="15">
        <f>'Analisis Lengkap'!E28</f>
        <v>0.11866666666666667</v>
      </c>
      <c r="F22" s="15">
        <f>'Analisis Lengkap'!F28</f>
        <v>0.17649999999999999</v>
      </c>
      <c r="G22" s="15">
        <f>'Analisis Lengkap'!G28</f>
        <v>8.9083333333333334E-2</v>
      </c>
      <c r="H22" s="15">
        <f>'Analisis Lengkap'!H28</f>
        <v>5.1499999999999997E-2</v>
      </c>
      <c r="I22" s="15">
        <f>'Analisis Lengkap'!I28</f>
        <v>0.10283333333333333</v>
      </c>
      <c r="J22" s="15">
        <f>'Analisis Lengkap'!J28</f>
        <v>0.17749999999999999</v>
      </c>
    </row>
    <row r="23" spans="2:10" ht="15" customHeight="1" x14ac:dyDescent="0.2">
      <c r="B23" s="9" t="s">
        <v>29</v>
      </c>
      <c r="C23" s="10">
        <f>'Analisis Lengkap'!C24</f>
        <v>9585000</v>
      </c>
      <c r="D23" s="10">
        <f>'Analisis Lengkap'!D24</f>
        <v>7330000</v>
      </c>
      <c r="E23" s="10">
        <f>'Analisis Lengkap'!E24</f>
        <v>15520000</v>
      </c>
      <c r="F23" s="10">
        <f>'Analisis Lengkap'!F24</f>
        <v>23190000</v>
      </c>
      <c r="G23" s="10">
        <f>'Analisis Lengkap'!G24</f>
        <v>10595000</v>
      </c>
      <c r="H23" s="10">
        <f>'Analisis Lengkap'!H24</f>
        <v>8340000</v>
      </c>
      <c r="I23" s="10">
        <f>'Analisis Lengkap'!I24</f>
        <v>14570000</v>
      </c>
      <c r="J23" s="10">
        <f>'Analisis Lengkap'!J24</f>
        <v>23250000</v>
      </c>
    </row>
    <row r="24" spans="2:10" ht="60" customHeight="1" x14ac:dyDescent="0.2">
      <c r="B24" s="5" t="s">
        <v>30</v>
      </c>
      <c r="C24" s="6"/>
      <c r="D24" s="6"/>
      <c r="E24" s="6"/>
      <c r="F24" s="6"/>
      <c r="G24" s="6"/>
      <c r="H24" s="6"/>
      <c r="I24" s="6"/>
      <c r="J24" s="6"/>
    </row>
    <row r="25" spans="2:10" x14ac:dyDescent="0.2">
      <c r="B25" s="7" t="s">
        <v>31</v>
      </c>
      <c r="C25" s="12" t="str">
        <f>'Analisis Lengkap'!C42</f>
        <v>Harga sekarang sudah sehat - pertahankan</v>
      </c>
      <c r="D25" s="12" t="str">
        <f>'Analisis Lengkap'!D42</f>
        <v>Naikkan Rp500000,0 (jadi Rp11500000,0), atau hemat biaya Rp,0 untuk minimal 15%</v>
      </c>
      <c r="E25" s="12" t="str">
        <f>'Analisis Lengkap'!E42</f>
        <v>Harga sekarang sudah sehat - pertahankan</v>
      </c>
      <c r="F25" s="12" t="str">
        <f>'Analisis Lengkap'!F42</f>
        <v>Harga sekarang sudah sehat - pertahankan</v>
      </c>
      <c r="G25" s="12" t="str">
        <f>'Analisis Lengkap'!G42</f>
        <v>Harga sekarang sudah sehat - pertahankan</v>
      </c>
      <c r="H25" s="12" t="str">
        <f>'Analisis Lengkap'!H42</f>
        <v>Harga sekarang sudah sehat - pertahankan</v>
      </c>
      <c r="I25" s="12" t="str">
        <f>'Analisis Lengkap'!I42</f>
        <v>Harga sekarang sudah sehat - pertahankan</v>
      </c>
      <c r="J25" s="12" t="str">
        <f>'Analisis Lengkap'!J42</f>
        <v>Harga sekarang sudah sehat - pertahankan</v>
      </c>
    </row>
    <row r="26" spans="2:10" ht="15" customHeight="1" x14ac:dyDescent="0.2"/>
    <row r="27" spans="2:10" ht="15" customHeight="1" x14ac:dyDescent="0.2">
      <c r="B27" s="2" t="s">
        <v>32</v>
      </c>
    </row>
    <row r="28" spans="2:10" x14ac:dyDescent="0.2">
      <c r="B28" s="2" t="s">
        <v>33</v>
      </c>
    </row>
  </sheetData>
  <conditionalFormatting sqref="C10:F10">
    <cfRule type="expression" dxfId="3" priority="2">
      <formula>C10="Di bawah minimum"</formula>
    </cfRule>
    <cfRule type="expression" dxfId="2" priority="3">
      <formula>C10&lt;&gt;"Di bawah minimum"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40" customWidth="1"/>
    <col min="3" max="3" width="26" customWidth="1"/>
    <col min="4" max="6" width="13" customWidth="1"/>
    <col min="7" max="7" width="26" customWidth="1"/>
    <col min="8" max="10" width="13" customWidth="1"/>
  </cols>
  <sheetData>
    <row r="1" spans="1:10" ht="17.25" customHeight="1" x14ac:dyDescent="0.2">
      <c r="A1" s="1" t="s">
        <v>34</v>
      </c>
    </row>
    <row r="2" spans="1:10" ht="15" customHeight="1" x14ac:dyDescent="0.2">
      <c r="A2" s="2" t="s">
        <v>35</v>
      </c>
    </row>
    <row r="4" spans="1:10" ht="23.75" customHeight="1" x14ac:dyDescent="0.2">
      <c r="A4" s="3"/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44</v>
      </c>
    </row>
    <row r="5" spans="1:10" ht="15" customHeight="1" x14ac:dyDescent="0.2">
      <c r="B5" s="5" t="s">
        <v>45</v>
      </c>
      <c r="C5" s="6"/>
      <c r="D5" s="6"/>
      <c r="E5" s="6"/>
      <c r="F5" s="6"/>
      <c r="G5" s="6"/>
      <c r="H5" s="6"/>
      <c r="I5" s="6"/>
      <c r="J5" s="6"/>
    </row>
    <row r="6" spans="1:10" ht="15" customHeight="1" x14ac:dyDescent="0.2">
      <c r="B6" s="9" t="s">
        <v>46</v>
      </c>
      <c r="C6" s="16" t="str">
        <f>'Desain Program'!D8&amp;" sesi"</f>
        <v>15 sesi</v>
      </c>
      <c r="D6" s="16" t="str">
        <f>'Desain Program'!E8&amp;" sesi"</f>
        <v>15 sesi</v>
      </c>
      <c r="E6" s="16" t="str">
        <f>'Desain Program'!F8&amp;" sesi"</f>
        <v>24 sesi</v>
      </c>
      <c r="F6" s="16" t="str">
        <f>'Desain Program'!G8&amp;" sesi"</f>
        <v>36 sesi</v>
      </c>
      <c r="G6" s="16" t="str">
        <f>'Desain Program'!H8&amp;" sesi"</f>
        <v>15 sesi</v>
      </c>
      <c r="H6" s="16" t="str">
        <f>'Desain Program'!I8&amp;" sesi"</f>
        <v>15 sesi</v>
      </c>
      <c r="I6" s="16" t="str">
        <f>'Desain Program'!J8&amp;" sesi"</f>
        <v>24 sesi</v>
      </c>
      <c r="J6" s="16" t="str">
        <f>'Desain Program'!K8&amp;" sesi"</f>
        <v>36 sesi</v>
      </c>
    </row>
    <row r="7" spans="1:10" ht="15" customHeight="1" x14ac:dyDescent="0.2">
      <c r="B7" s="9" t="s">
        <v>47</v>
      </c>
      <c r="C7" s="16" t="str">
        <f>"± "&amp;TEXT('Desain Program'!D9,"0")&amp;" pegawai (3 sesi/orang)"</f>
        <v>± 5 pegawai (3 sesi/orang)</v>
      </c>
      <c r="D7" s="16" t="str">
        <f>"± "&amp;TEXT('Desain Program'!E9,"0")&amp;" pegawai (3 sesi/orang)"</f>
        <v>± 5 pegawai (3 sesi/orang)</v>
      </c>
      <c r="E7" s="16" t="str">
        <f>"± "&amp;TEXT('Desain Program'!F9,"0")&amp;" pegawai (3 sesi/orang)"</f>
        <v>± 8 pegawai (3 sesi/orang)</v>
      </c>
      <c r="F7" s="16" t="str">
        <f>"± "&amp;TEXT('Desain Program'!G9,"0")&amp;" pegawai (3 sesi/orang)"</f>
        <v>± 12 pegawai (3 sesi/orang)</v>
      </c>
      <c r="G7" s="16" t="str">
        <f>"± "&amp;TEXT('Desain Program'!H9,"0")&amp;" pegawai (3 sesi/orang)"</f>
        <v>± 5 pegawai (3 sesi/orang)</v>
      </c>
      <c r="H7" s="16" t="str">
        <f>"± "&amp;TEXT('Desain Program'!I9,"0")&amp;" pegawai (3 sesi/orang)"</f>
        <v>± 5 pegawai (3 sesi/orang)</v>
      </c>
      <c r="I7" s="16" t="str">
        <f>"± "&amp;TEXT('Desain Program'!J9,"0")&amp;" pegawai (3 sesi/orang)"</f>
        <v>± 8 pegawai (3 sesi/orang)</v>
      </c>
      <c r="J7" s="16" t="str">
        <f>"± "&amp;TEXT('Desain Program'!K9,"0")&amp;" pegawai (3 sesi/orang)"</f>
        <v>± 12 pegawai (3 sesi/orang)</v>
      </c>
    </row>
    <row r="8" spans="1:10" ht="15" customHeight="1" x14ac:dyDescent="0.2">
      <c r="B8" s="9" t="s">
        <v>48</v>
      </c>
      <c r="C8" s="16" t="str">
        <f>IF('Desain Program'!D10=0,"-",'Desain Program'!D10&amp;"x ("&amp;IF('Desain Program'!D10&gt;=2,"pre &amp; post","baseline")&amp;") untuk setiap pegawai yang konseling")</f>
        <v>-</v>
      </c>
      <c r="D8" s="16" t="str">
        <f>IF('Desain Program'!E10=0,"-",'Desain Program'!E10&amp;"x ("&amp;IF('Desain Program'!E10&gt;=2,"pre &amp; post","baseline")&amp;") untuk setiap pegawai yang konseling")</f>
        <v>1x (baseline) untuk setiap pegawai yang konseling</v>
      </c>
      <c r="E8" s="16" t="str">
        <f>IF('Desain Program'!F10=0,"-",'Desain Program'!F10&amp;"x ("&amp;IF('Desain Program'!F10&gt;=2,"pre &amp; post","baseline")&amp;") untuk setiap pegawai yang konseling")</f>
        <v>1x (baseline) untuk setiap pegawai yang konseling</v>
      </c>
      <c r="F8" s="16" t="str">
        <f>IF('Desain Program'!G10=0,"-",'Desain Program'!G10&amp;"x ("&amp;IF('Desain Program'!G10&gt;=2,"pre &amp; post","baseline")&amp;") untuk setiap pegawai yang konseling")</f>
        <v>2x (pre &amp; post) untuk setiap pegawai yang konseling</v>
      </c>
      <c r="G8" s="16" t="str">
        <f>IF('Desain Program'!H10=0,"-",'Desain Program'!H10&amp;"x ("&amp;IF('Desain Program'!H10&gt;=2,"pre &amp; post","baseline")&amp;") untuk setiap pegawai yang konseling")</f>
        <v>-</v>
      </c>
      <c r="H8" s="16" t="str">
        <f>IF('Desain Program'!I10=0,"-",'Desain Program'!I10&amp;"x ("&amp;IF('Desain Program'!I10&gt;=2,"pre &amp; post","baseline")&amp;") untuk setiap pegawai yang konseling")</f>
        <v>1x (baseline) untuk setiap pegawai yang konseling</v>
      </c>
      <c r="I8" s="16" t="str">
        <f>IF('Desain Program'!J10=0,"-",'Desain Program'!J10&amp;"x ("&amp;IF('Desain Program'!J10&gt;=2,"pre &amp; post","baseline")&amp;") untuk setiap pegawai yang konseling")</f>
        <v>1x (baseline) untuk setiap pegawai yang konseling</v>
      </c>
      <c r="J8" s="16" t="str">
        <f>IF('Desain Program'!K10=0,"-",'Desain Program'!K10&amp;"x ("&amp;IF('Desain Program'!K10&gt;=2,"pre &amp; post","baseline")&amp;") untuk setiap pegawai yang konseling")</f>
        <v>2x (pre &amp; post) untuk setiap pegawai yang konseling</v>
      </c>
    </row>
    <row r="9" spans="1:10" ht="23.75" customHeight="1" x14ac:dyDescent="0.2">
      <c r="B9" s="9" t="s">
        <v>49</v>
      </c>
      <c r="C9" s="16" t="str">
        <f>IF('Desain Program'!D11=1,IF('Desain Program'!D10&gt;=2,"Ya, dengan perbandingan pre/post","Ya"),"-")</f>
        <v>-</v>
      </c>
      <c r="D9" s="16" t="str">
        <f>IF('Desain Program'!E11=1,IF('Desain Program'!E10&gt;=2,"Ya, dengan perbandingan pre/post","Ya"),"-")</f>
        <v>Ya</v>
      </c>
      <c r="E9" s="16" t="str">
        <f>IF('Desain Program'!F11=1,IF('Desain Program'!F10&gt;=2,"Ya, dengan perbandingan pre/post","Ya"),"-")</f>
        <v>Ya</v>
      </c>
      <c r="F9" s="16" t="str">
        <f>IF('Desain Program'!G11=1,IF('Desain Program'!G10&gt;=2,"Ya, dengan perbandingan pre/post","Ya"),"-")</f>
        <v>Ya, dengan perbandingan pre/post</v>
      </c>
      <c r="G9" s="16" t="str">
        <f>IF('Desain Program'!H11=1,IF('Desain Program'!H10&gt;=2,"Ya, dengan perbandingan pre/post","Ya"),"-")</f>
        <v>-</v>
      </c>
      <c r="H9" s="16" t="str">
        <f>IF('Desain Program'!I11=1,IF('Desain Program'!I10&gt;=2,"Ya, dengan perbandingan pre/post","Ya"),"-")</f>
        <v>Ya</v>
      </c>
      <c r="I9" s="16" t="str">
        <f>IF('Desain Program'!J11=1,IF('Desain Program'!J10&gt;=2,"Ya, dengan perbandingan pre/post","Ya"),"-")</f>
        <v>Ya</v>
      </c>
      <c r="J9" s="16" t="str">
        <f>IF('Desain Program'!K11=1,IF('Desain Program'!K10&gt;=2,"Ya, dengan perbandingan pre/post","Ya"),"-")</f>
        <v>Ya, dengan perbandingan pre/post</v>
      </c>
    </row>
    <row r="10" spans="1:10" ht="15" customHeight="1" x14ac:dyDescent="0.2">
      <c r="B10" s="9" t="s">
        <v>50</v>
      </c>
      <c r="C10" s="16" t="str">
        <f>IF('Desain Program'!D12=1,"Ya","-")</f>
        <v>-</v>
      </c>
      <c r="D10" s="16" t="str">
        <f>IF('Desain Program'!E12=1,"Ya","-")</f>
        <v>-</v>
      </c>
      <c r="E10" s="16" t="str">
        <f>IF('Desain Program'!F12=1,"Ya","-")</f>
        <v>-</v>
      </c>
      <c r="F10" s="16" t="str">
        <f>IF('Desain Program'!G12=1,"Ya","-")</f>
        <v>Ya</v>
      </c>
      <c r="G10" s="16" t="str">
        <f>IF('Desain Program'!H12=1,"Ya","-")</f>
        <v>-</v>
      </c>
      <c r="H10" s="16" t="str">
        <f>IF('Desain Program'!I12=1,"Ya","-")</f>
        <v>-</v>
      </c>
      <c r="I10" s="16" t="str">
        <f>IF('Desain Program'!J12=1,"Ya","-")</f>
        <v>-</v>
      </c>
      <c r="J10" s="16" t="str">
        <f>IF('Desain Program'!K12=1,"Ya","-")</f>
        <v>Ya</v>
      </c>
    </row>
    <row r="11" spans="1:10" ht="15" customHeight="1" x14ac:dyDescent="0.2">
      <c r="B11" s="9" t="s">
        <v>51</v>
      </c>
      <c r="C11" s="16" t="str">
        <f>IF('Desain Program'!D14&gt;0,'Desain Program'!D14&amp;" seminar offline",IF('Desain Program'!D13&gt;0,'Desain Program'!D13&amp;" webinar online","-"))</f>
        <v>1 webinar online</v>
      </c>
      <c r="D11" s="16" t="str">
        <f>IF('Desain Program'!E14&gt;0,'Desain Program'!E14&amp;" seminar offline",IF('Desain Program'!E13&gt;0,'Desain Program'!E13&amp;" webinar online","-"))</f>
        <v>1 webinar online</v>
      </c>
      <c r="E11" s="16" t="str">
        <f>IF('Desain Program'!F14&gt;0,'Desain Program'!F14&amp;" seminar offline",IF('Desain Program'!F13&gt;0,'Desain Program'!F13&amp;" webinar online","-"))</f>
        <v>1 webinar online</v>
      </c>
      <c r="F11" s="16" t="str">
        <f>IF('Desain Program'!G14&gt;0,'Desain Program'!G14&amp;" seminar offline",IF('Desain Program'!G13&gt;0,'Desain Program'!G13&amp;" webinar online","-"))</f>
        <v>1 seminar offline</v>
      </c>
      <c r="G11" s="16" t="str">
        <f>IF('Desain Program'!H14&gt;0,'Desain Program'!H14&amp;" seminar offline",IF('Desain Program'!H13&gt;0,'Desain Program'!H13&amp;" webinar online","-"))</f>
        <v>-</v>
      </c>
      <c r="H11" s="16" t="str">
        <f>IF('Desain Program'!I14&gt;0,'Desain Program'!I14&amp;" seminar offline",IF('Desain Program'!I13&gt;0,'Desain Program'!I13&amp;" webinar online","-"))</f>
        <v>-</v>
      </c>
      <c r="I11" s="16" t="str">
        <f>IF('Desain Program'!J14&gt;0,'Desain Program'!J14&amp;" seminar offline",IF('Desain Program'!J13&gt;0,'Desain Program'!J13&amp;" webinar online","-"))</f>
        <v>-</v>
      </c>
      <c r="J11" s="16" t="str">
        <f>IF('Desain Program'!K14&gt;0,'Desain Program'!K14&amp;" seminar offline",IF('Desain Program'!K13&gt;0,'Desain Program'!K13&amp;" webinar online","-"))</f>
        <v>-</v>
      </c>
    </row>
    <row r="12" spans="1:10" ht="23.75" customHeight="1" x14ac:dyDescent="0.2">
      <c r="B12" s="9" t="s">
        <v>52</v>
      </c>
      <c r="C12" s="16" t="str">
        <f>'Input Tarif'!$D$19&amp;" bulan sejak SPK"</f>
        <v>3 bulan sejak SPK</v>
      </c>
      <c r="D12" s="16" t="str">
        <f>"Kuota per "&amp;'Input Tarif'!$D$19&amp;" bulan, kontrak 1 tahun (4 term)"</f>
        <v>Kuota per 3 bulan, kontrak 1 tahun (4 term)</v>
      </c>
      <c r="E12" s="16" t="str">
        <f>'Input Tarif'!$D$19&amp;" bulan sejak SPK"</f>
        <v>3 bulan sejak SPK</v>
      </c>
      <c r="F12" s="16" t="str">
        <f>'Input Tarif'!$D$19&amp;" bulan sejak SPK"</f>
        <v>3 bulan sejak SPK</v>
      </c>
      <c r="G12" s="16" t="str">
        <f>'Input Tarif'!$D$19&amp;" bulan sejak SPK"</f>
        <v>3 bulan sejak SPK</v>
      </c>
      <c r="H12" s="16" t="str">
        <f>"Kuota per "&amp;'Input Tarif'!$D$19&amp;" bulan, kontrak 1 tahun (4 term)"</f>
        <v>Kuota per 3 bulan, kontrak 1 tahun (4 term)</v>
      </c>
      <c r="I12" s="16" t="str">
        <f>'Input Tarif'!$D$19&amp;" bulan sejak SPK"</f>
        <v>3 bulan sejak SPK</v>
      </c>
      <c r="J12" s="16" t="str">
        <f>'Input Tarif'!$D$19&amp;" bulan sejak SPK"</f>
        <v>3 bulan sejak SPK</v>
      </c>
    </row>
    <row r="13" spans="1:10" ht="15" customHeight="1" x14ac:dyDescent="0.2">
      <c r="B13" s="5" t="s">
        <v>53</v>
      </c>
      <c r="C13" s="6"/>
      <c r="D13" s="6"/>
      <c r="E13" s="6"/>
      <c r="F13" s="6"/>
      <c r="G13" s="6"/>
      <c r="H13" s="6"/>
      <c r="I13" s="6"/>
      <c r="J13" s="6"/>
    </row>
    <row r="14" spans="1:10" ht="15" customHeight="1" x14ac:dyDescent="0.2">
      <c r="B14" s="9" t="s">
        <v>54</v>
      </c>
      <c r="C14" s="17" t="str">
        <f>IF('Analisis Lengkap'!C30&gt;'Analisis Lengkap'!C6,'Analisis Lengkap'!C30,"-")</f>
        <v>-</v>
      </c>
      <c r="D14" s="17">
        <f>IF('Analisis Lengkap'!D30&gt;'Analisis Lengkap'!D6,'Analisis Lengkap'!D30,"-")</f>
        <v>15000000</v>
      </c>
      <c r="E14" s="17" t="str">
        <f>IF('Analisis Lengkap'!E30&gt;'Analisis Lengkap'!E6,'Analisis Lengkap'!E30,"-")</f>
        <v>-</v>
      </c>
      <c r="F14" s="17" t="str">
        <f>IF('Analisis Lengkap'!F30&gt;'Analisis Lengkap'!F6,'Analisis Lengkap'!F30,"-")</f>
        <v>-</v>
      </c>
      <c r="G14" s="17" t="str">
        <f>IF('Analisis Lengkap'!G30&gt;'Analisis Lengkap'!G6,'Analisis Lengkap'!G30,"-")</f>
        <v>-</v>
      </c>
      <c r="H14" s="17">
        <f>IF('Analisis Lengkap'!H30&gt;'Analisis Lengkap'!H6,'Analisis Lengkap'!H30,"-")</f>
        <v>12000000</v>
      </c>
      <c r="I14" s="17" t="str">
        <f>IF('Analisis Lengkap'!I30&gt;'Analisis Lengkap'!I6,'Analisis Lengkap'!I30,"-")</f>
        <v>-</v>
      </c>
      <c r="J14" s="17" t="str">
        <f>IF('Analisis Lengkap'!J30&gt;'Analisis Lengkap'!J6,'Analisis Lengkap'!J30,"-")</f>
        <v>-</v>
      </c>
    </row>
    <row r="15" spans="1:10" ht="15" customHeight="1" x14ac:dyDescent="0.2">
      <c r="B15" s="13" t="s">
        <v>55</v>
      </c>
      <c r="C15" s="18">
        <f>'Analisis Lengkap'!C6</f>
        <v>12000000</v>
      </c>
      <c r="D15" s="18">
        <f>'Analisis Lengkap'!D6</f>
        <v>11000000</v>
      </c>
      <c r="E15" s="18">
        <f>'Analisis Lengkap'!E6</f>
        <v>20000000</v>
      </c>
      <c r="F15" s="18">
        <f>'Analisis Lengkap'!F6</f>
        <v>31500000</v>
      </c>
      <c r="G15" s="18">
        <f>'Analisis Lengkap'!G6</f>
        <v>11500000</v>
      </c>
      <c r="H15" s="18">
        <f>'Analisis Lengkap'!H6</f>
        <v>10500000</v>
      </c>
      <c r="I15" s="18">
        <f>'Analisis Lengkap'!I6</f>
        <v>17500000</v>
      </c>
      <c r="J15" s="18">
        <f>'Analisis Lengkap'!J6</f>
        <v>28500000</v>
      </c>
    </row>
    <row r="16" spans="1:10" ht="15" customHeight="1" x14ac:dyDescent="0.2">
      <c r="B16" s="7" t="s">
        <v>56</v>
      </c>
      <c r="C16" s="19" t="str">
        <f>IF('Analisis Lengkap'!C30-'Analisis Lengkap'!C6&gt;0,"Rp"&amp;TEXT('Analisis Lengkap'!C30-'Analisis Lengkap'!C6,"#,##0")&amp;" ("&amp;TEXT(1-'Analisis Lengkap'!C6/'Analisis Lengkap'!C30,"0%")&amp;")","-")</f>
        <v>-</v>
      </c>
      <c r="D16" s="19" t="str">
        <f>IF('Analisis Lengkap'!D30-'Analisis Lengkap'!D6&gt;0,"Rp"&amp;TEXT('Analisis Lengkap'!D30-'Analisis Lengkap'!D6,"#,##0")&amp;" ("&amp;TEXT(1-'Analisis Lengkap'!D6/'Analisis Lengkap'!D30,"0%")&amp;")","-")</f>
        <v>Rp4000000,0 (27%)</v>
      </c>
      <c r="E16" s="19" t="str">
        <f>IF('Analisis Lengkap'!E30-'Analisis Lengkap'!E6&gt;0,"Rp"&amp;TEXT('Analisis Lengkap'!E30-'Analisis Lengkap'!E6,"#,##0")&amp;" ("&amp;TEXT(1-'Analisis Lengkap'!E6/'Analisis Lengkap'!E30,"0%")&amp;")","-")</f>
        <v>-</v>
      </c>
      <c r="F16" s="19" t="str">
        <f>IF('Analisis Lengkap'!F30-'Analisis Lengkap'!F6&gt;0,"Rp"&amp;TEXT('Analisis Lengkap'!F30-'Analisis Lengkap'!F6,"#,##0")&amp;" ("&amp;TEXT(1-'Analisis Lengkap'!F6/'Analisis Lengkap'!F30,"0%")&amp;")","-")</f>
        <v>-</v>
      </c>
      <c r="G16" s="19" t="str">
        <f>IF('Analisis Lengkap'!G30-'Analisis Lengkap'!G6&gt;0,"Rp"&amp;TEXT('Analisis Lengkap'!G30-'Analisis Lengkap'!G6,"#,##0")&amp;" ("&amp;TEXT(1-'Analisis Lengkap'!G6/'Analisis Lengkap'!G30,"0%")&amp;")","-")</f>
        <v>-</v>
      </c>
      <c r="H16" s="19" t="str">
        <f>IF('Analisis Lengkap'!H30-'Analisis Lengkap'!H6&gt;0,"Rp"&amp;TEXT('Analisis Lengkap'!H30-'Analisis Lengkap'!H6,"#,##0")&amp;" ("&amp;TEXT(1-'Analisis Lengkap'!H6/'Analisis Lengkap'!H30,"0%")&amp;")","-")</f>
        <v>Rp1500000,0 (13%)</v>
      </c>
      <c r="I16" s="19" t="str">
        <f>IF('Analisis Lengkap'!I30-'Analisis Lengkap'!I6&gt;0,"Rp"&amp;TEXT('Analisis Lengkap'!I30-'Analisis Lengkap'!I6,"#,##0")&amp;" ("&amp;TEXT(1-'Analisis Lengkap'!I6/'Analisis Lengkap'!I30,"0%")&amp;")","-")</f>
        <v>-</v>
      </c>
      <c r="J16" s="19" t="str">
        <f>IF('Analisis Lengkap'!J30-'Analisis Lengkap'!J6&gt;0,"Rp"&amp;TEXT('Analisis Lengkap'!J30-'Analisis Lengkap'!J6,"#,##0")&amp;" ("&amp;TEXT(1-'Analisis Lengkap'!J6/'Analisis Lengkap'!J30,"0%")&amp;")","-")</f>
        <v>-</v>
      </c>
    </row>
    <row r="17" spans="2:10" ht="15" customHeight="1" x14ac:dyDescent="0.2">
      <c r="B17" s="9" t="s">
        <v>57</v>
      </c>
      <c r="C17" s="17">
        <f>'Analisis Lengkap'!C7</f>
        <v>4000000</v>
      </c>
      <c r="D17" s="17">
        <f>'Analisis Lengkap'!D7</f>
        <v>3666666.6666666665</v>
      </c>
      <c r="E17" s="17">
        <f>'Analisis Lengkap'!E7</f>
        <v>6666666.666666667</v>
      </c>
      <c r="F17" s="17">
        <f>'Analisis Lengkap'!F7</f>
        <v>10500000</v>
      </c>
      <c r="G17" s="17">
        <f>'Analisis Lengkap'!G7</f>
        <v>3833333.3333333335</v>
      </c>
      <c r="H17" s="17">
        <f>'Analisis Lengkap'!H7</f>
        <v>3500000</v>
      </c>
      <c r="I17" s="17">
        <f>'Analisis Lengkap'!I7</f>
        <v>5833333.333333333</v>
      </c>
      <c r="J17" s="17">
        <f>'Analisis Lengkap'!J7</f>
        <v>9500000</v>
      </c>
    </row>
    <row r="18" spans="2:10" ht="15" customHeight="1" x14ac:dyDescent="0.2">
      <c r="B18" s="9" t="s">
        <v>58</v>
      </c>
      <c r="C18" s="17">
        <f>'Analisis Lengkap'!C6/'Desain Program'!D9</f>
        <v>2400000</v>
      </c>
      <c r="D18" s="17">
        <f>'Analisis Lengkap'!D6/'Desain Program'!E9</f>
        <v>2200000</v>
      </c>
      <c r="E18" s="17">
        <f>'Analisis Lengkap'!E6/'Desain Program'!F9</f>
        <v>2500000</v>
      </c>
      <c r="F18" s="17">
        <f>'Analisis Lengkap'!F6/'Desain Program'!G9</f>
        <v>2625000</v>
      </c>
      <c r="G18" s="17">
        <f>'Analisis Lengkap'!G6/'Desain Program'!H9</f>
        <v>2300000</v>
      </c>
      <c r="H18" s="17">
        <f>'Analisis Lengkap'!H6/'Desain Program'!I9</f>
        <v>2100000</v>
      </c>
      <c r="I18" s="17">
        <f>'Analisis Lengkap'!I6/'Desain Program'!J9</f>
        <v>2187500</v>
      </c>
      <c r="J18" s="17">
        <f>'Analisis Lengkap'!J6/'Desain Program'!K9</f>
        <v>2375000</v>
      </c>
    </row>
    <row r="20" spans="2:10" ht="15" customHeight="1" x14ac:dyDescent="0.2">
      <c r="B20" s="5" t="s">
        <v>59</v>
      </c>
      <c r="C20" s="6"/>
      <c r="D20" s="6"/>
      <c r="E20" s="6"/>
      <c r="F20" s="6"/>
    </row>
    <row r="21" spans="2:10" ht="15" customHeight="1" x14ac:dyDescent="0.2">
      <c r="B21" s="7" t="s">
        <v>60</v>
      </c>
      <c r="C21" s="44" t="s">
        <v>61</v>
      </c>
      <c r="D21" s="45"/>
      <c r="E21" s="45"/>
      <c r="F21" s="45"/>
      <c r="G21" s="45"/>
      <c r="H21" s="45"/>
      <c r="I21" s="45"/>
      <c r="J21" s="46"/>
    </row>
    <row r="22" spans="2:10" ht="15" customHeight="1" x14ac:dyDescent="0.2">
      <c r="B22" s="7" t="s">
        <v>62</v>
      </c>
      <c r="C22" s="44" t="str">
        <f>"Paket 3 bulan: DP "&amp;TEXT('Input Tarif'!$D$21,"0%")&amp;" saat SPK, pelunasan setelah laporan akhir. Jeda Tahunan: 2x per semester (Rp22.000.000 di awal tiap semester, total Rp44.000.000/tahun)"</f>
        <v>Paket 3 bulan: DP 50% saat SPK, pelunasan setelah laporan akhir. Jeda Tahunan: 2x per semester (Rp22.000.000 di awal tiap semester, total Rp44.000.000/tahun)</v>
      </c>
      <c r="D22" s="45"/>
      <c r="E22" s="45"/>
      <c r="F22" s="45"/>
      <c r="G22" s="45"/>
      <c r="H22" s="45"/>
      <c r="I22" s="45"/>
      <c r="J22" s="46"/>
    </row>
    <row r="23" spans="2:10" ht="15" customHeight="1" x14ac:dyDescent="0.2">
      <c r="B23" s="7" t="s">
        <v>63</v>
      </c>
      <c r="C23" s="44" t="s">
        <v>64</v>
      </c>
      <c r="D23" s="45"/>
      <c r="E23" s="45"/>
      <c r="F23" s="45"/>
      <c r="G23" s="45"/>
      <c r="H23" s="45"/>
      <c r="I23" s="45"/>
      <c r="J23" s="46"/>
    </row>
    <row r="24" spans="2:10" ht="15" customHeight="1" x14ac:dyDescent="0.2">
      <c r="B24" s="7" t="s">
        <v>65</v>
      </c>
      <c r="C24" s="44" t="str">
        <f>"Rp"&amp;TEXT('Input Tarif'!$D$17,"#,##0")&amp;" per sesi"</f>
        <v>Rp500000,0 per sesi</v>
      </c>
      <c r="D24" s="45"/>
      <c r="E24" s="45"/>
      <c r="F24" s="45"/>
      <c r="G24" s="45"/>
      <c r="H24" s="45"/>
      <c r="I24" s="45"/>
      <c r="J24" s="46"/>
    </row>
    <row r="25" spans="2:10" ht="15" customHeight="1" x14ac:dyDescent="0.2">
      <c r="B25" s="7" t="s">
        <v>66</v>
      </c>
      <c r="C25" s="44" t="s">
        <v>67</v>
      </c>
      <c r="D25" s="45"/>
      <c r="E25" s="45"/>
      <c r="F25" s="45"/>
      <c r="G25" s="45"/>
      <c r="H25" s="45"/>
      <c r="I25" s="45"/>
      <c r="J25" s="46"/>
    </row>
    <row r="26" spans="2:10" ht="15" customHeight="1" x14ac:dyDescent="0.2">
      <c r="B26" s="7" t="s">
        <v>68</v>
      </c>
      <c r="C26" s="44" t="s">
        <v>69</v>
      </c>
      <c r="D26" s="45"/>
      <c r="E26" s="45"/>
      <c r="F26" s="45"/>
      <c r="G26" s="45"/>
      <c r="H26" s="45"/>
      <c r="I26" s="45"/>
      <c r="J26" s="46"/>
    </row>
  </sheetData>
  <mergeCells count="6">
    <mergeCell ref="C26:J26"/>
    <mergeCell ref="C21:J21"/>
    <mergeCell ref="C25:J25"/>
    <mergeCell ref="C24:J24"/>
    <mergeCell ref="C22:J22"/>
    <mergeCell ref="C23:J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3" customWidth="1"/>
    <col min="2" max="2" width="48" customWidth="1"/>
    <col min="3" max="3" width="22" customWidth="1"/>
    <col min="4" max="4" width="30" customWidth="1"/>
    <col min="5" max="5" width="22" customWidth="1"/>
    <col min="6" max="6" width="13" customWidth="1"/>
    <col min="7" max="7" width="22" customWidth="1"/>
    <col min="8" max="8" width="30" customWidth="1"/>
    <col min="9" max="9" width="22" customWidth="1"/>
    <col min="10" max="10" width="13" customWidth="1"/>
  </cols>
  <sheetData>
    <row r="1" spans="1:10" ht="17.25" customHeight="1" x14ac:dyDescent="0.2">
      <c r="A1" s="1" t="s">
        <v>70</v>
      </c>
    </row>
    <row r="2" spans="1:10" ht="15" customHeight="1" x14ac:dyDescent="0.2">
      <c r="A2" s="2" t="s">
        <v>71</v>
      </c>
    </row>
    <row r="4" spans="1:10" ht="15" customHeight="1" x14ac:dyDescent="0.2">
      <c r="A4" s="3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</row>
    <row r="5" spans="1:10" ht="15" customHeight="1" x14ac:dyDescent="0.2">
      <c r="B5" s="5" t="s">
        <v>72</v>
      </c>
      <c r="C5" s="6"/>
      <c r="D5" s="6"/>
      <c r="E5" s="6"/>
      <c r="F5" s="6"/>
      <c r="G5" s="6"/>
      <c r="H5" s="6"/>
      <c r="I5" s="6"/>
      <c r="J5" s="6"/>
    </row>
    <row r="6" spans="1:10" ht="15" customHeight="1" x14ac:dyDescent="0.2">
      <c r="B6" s="7" t="s">
        <v>73</v>
      </c>
      <c r="C6" s="20">
        <f>'Desain Program'!D5</f>
        <v>12000000</v>
      </c>
      <c r="D6" s="20">
        <f>'Desain Program'!E5</f>
        <v>11000000</v>
      </c>
      <c r="E6" s="20">
        <f>'Desain Program'!F5</f>
        <v>20000000</v>
      </c>
      <c r="F6" s="20">
        <f>'Desain Program'!G5</f>
        <v>31500000</v>
      </c>
      <c r="G6" s="20">
        <f>'Desain Program'!H5</f>
        <v>11500000</v>
      </c>
      <c r="H6" s="20">
        <f>'Desain Program'!I5</f>
        <v>10500000</v>
      </c>
      <c r="I6" s="20">
        <f>'Desain Program'!J5</f>
        <v>17500000</v>
      </c>
      <c r="J6" s="20">
        <f>'Desain Program'!K5</f>
        <v>28500000</v>
      </c>
    </row>
    <row r="7" spans="1:10" ht="15" customHeight="1" x14ac:dyDescent="0.2">
      <c r="B7" s="9" t="s">
        <v>57</v>
      </c>
      <c r="C7" s="21">
        <f>'Desain Program'!D5/'Input Tarif'!$D$19</f>
        <v>4000000</v>
      </c>
      <c r="D7" s="21">
        <f>'Desain Program'!E5/'Input Tarif'!$D$19</f>
        <v>3666666.6666666665</v>
      </c>
      <c r="E7" s="21">
        <f>'Desain Program'!F5/'Input Tarif'!$D$19</f>
        <v>6666666.666666667</v>
      </c>
      <c r="F7" s="21">
        <f>'Desain Program'!G5/'Input Tarif'!$D$19</f>
        <v>10500000</v>
      </c>
      <c r="G7" s="21">
        <f>'Desain Program'!H5/'Input Tarif'!$D$19</f>
        <v>3833333.3333333335</v>
      </c>
      <c r="H7" s="21">
        <f>'Desain Program'!I5/'Input Tarif'!$D$19</f>
        <v>3500000</v>
      </c>
      <c r="I7" s="21">
        <f>'Desain Program'!J5/'Input Tarif'!$D$19</f>
        <v>5833333.333333333</v>
      </c>
      <c r="J7" s="21">
        <f>'Desain Program'!K5/'Input Tarif'!$D$19</f>
        <v>9500000</v>
      </c>
    </row>
    <row r="8" spans="1:10" ht="15" customHeight="1" x14ac:dyDescent="0.2">
      <c r="B8" s="9" t="s">
        <v>74</v>
      </c>
      <c r="C8" s="22" t="str">
        <f>TEXT('Desain Program'!D8,"0")&amp;" sesi / "&amp;TEXT('Desain Program'!D9,"0")&amp;" org"</f>
        <v>15 sesi / 5 org</v>
      </c>
      <c r="D8" s="22" t="str">
        <f>TEXT('Desain Program'!E8,"0")&amp;" sesi / "&amp;TEXT('Desain Program'!E9,"0")&amp;" org"</f>
        <v>15 sesi / 5 org</v>
      </c>
      <c r="E8" s="22" t="str">
        <f>TEXT('Desain Program'!F8,"0")&amp;" sesi / "&amp;TEXT('Desain Program'!F9,"0")&amp;" org"</f>
        <v>24 sesi / 8 org</v>
      </c>
      <c r="F8" s="22" t="str">
        <f>TEXT('Desain Program'!G8,"0")&amp;" sesi / "&amp;TEXT('Desain Program'!G9,"0")&amp;" org"</f>
        <v>36 sesi / 12 org</v>
      </c>
      <c r="G8" s="22" t="str">
        <f>TEXT('Desain Program'!H8,"0")&amp;" sesi / "&amp;TEXT('Desain Program'!H9,"0")&amp;" org"</f>
        <v>15 sesi / 5 org</v>
      </c>
      <c r="H8" s="22" t="str">
        <f>TEXT('Desain Program'!I8,"0")&amp;" sesi / "&amp;TEXT('Desain Program'!I9,"0")&amp;" org"</f>
        <v>15 sesi / 5 org</v>
      </c>
      <c r="I8" s="22" t="str">
        <f>TEXT('Desain Program'!J8,"0")&amp;" sesi / "&amp;TEXT('Desain Program'!J9,"0")&amp;" org"</f>
        <v>24 sesi / 8 org</v>
      </c>
      <c r="J8" s="22" t="str">
        <f>TEXT('Desain Program'!K8,"0")&amp;" sesi / "&amp;TEXT('Desain Program'!K9,"0")&amp;" org"</f>
        <v>36 sesi / 12 org</v>
      </c>
    </row>
    <row r="9" spans="1:10" ht="15" customHeight="1" x14ac:dyDescent="0.2">
      <c r="B9" s="5" t="s">
        <v>75</v>
      </c>
      <c r="C9" s="6"/>
      <c r="D9" s="6"/>
      <c r="E9" s="6"/>
      <c r="F9" s="6"/>
      <c r="G9" s="6"/>
      <c r="H9" s="6"/>
      <c r="I9" s="6"/>
      <c r="J9" s="6"/>
    </row>
    <row r="10" spans="1:10" ht="15" customHeight="1" x14ac:dyDescent="0.2">
      <c r="B10" s="9" t="s">
        <v>76</v>
      </c>
      <c r="C10" s="21">
        <f>'Rincian Biaya'!D8</f>
        <v>5775000</v>
      </c>
      <c r="D10" s="21">
        <f>'Rincian Biaya'!E8</f>
        <v>5775000</v>
      </c>
      <c r="E10" s="21">
        <f>'Rincian Biaya'!F8</f>
        <v>9240000</v>
      </c>
      <c r="F10" s="21">
        <f>'Rincian Biaya'!G8</f>
        <v>13860000</v>
      </c>
      <c r="G10" s="21">
        <f>'Rincian Biaya'!H8</f>
        <v>5775000</v>
      </c>
      <c r="H10" s="21">
        <f>'Rincian Biaya'!I8</f>
        <v>5775000</v>
      </c>
      <c r="I10" s="21">
        <f>'Rincian Biaya'!J8</f>
        <v>9240000</v>
      </c>
      <c r="J10" s="21">
        <f>'Rincian Biaya'!K8</f>
        <v>13860000</v>
      </c>
    </row>
    <row r="11" spans="1:10" ht="15" customHeight="1" x14ac:dyDescent="0.2">
      <c r="B11" s="9" t="s">
        <v>77</v>
      </c>
      <c r="C11" s="21">
        <f>'Rincian Biaya'!D13</f>
        <v>0</v>
      </c>
      <c r="D11" s="21">
        <f>'Rincian Biaya'!E13</f>
        <v>1275000</v>
      </c>
      <c r="E11" s="21">
        <f>'Rincian Biaya'!F13</f>
        <v>1590000</v>
      </c>
      <c r="F11" s="21">
        <f>'Rincian Biaya'!G13</f>
        <v>3270000</v>
      </c>
      <c r="G11" s="21">
        <f>'Rincian Biaya'!H13</f>
        <v>0</v>
      </c>
      <c r="H11" s="21">
        <f>'Rincian Biaya'!I13</f>
        <v>1275000</v>
      </c>
      <c r="I11" s="21">
        <f>'Rincian Biaya'!J13</f>
        <v>1590000</v>
      </c>
      <c r="J11" s="21">
        <f>'Rincian Biaya'!K13</f>
        <v>3270000</v>
      </c>
    </row>
    <row r="12" spans="1:10" ht="15" customHeight="1" x14ac:dyDescent="0.2">
      <c r="B12" s="9" t="s">
        <v>78</v>
      </c>
      <c r="C12" s="21">
        <f>'Rincian Biaya'!D18</f>
        <v>1500000</v>
      </c>
      <c r="D12" s="21">
        <f>'Rincian Biaya'!E18</f>
        <v>1500000</v>
      </c>
      <c r="E12" s="21">
        <f>'Rincian Biaya'!F18</f>
        <v>1500000</v>
      </c>
      <c r="F12" s="21">
        <f>'Rincian Biaya'!G18</f>
        <v>3000000</v>
      </c>
      <c r="G12" s="21">
        <f>'Rincian Biaya'!H18</f>
        <v>0</v>
      </c>
      <c r="H12" s="21">
        <f>'Rincian Biaya'!I18</f>
        <v>0</v>
      </c>
      <c r="I12" s="21">
        <f>'Rincian Biaya'!J18</f>
        <v>0</v>
      </c>
      <c r="J12" s="21">
        <f>'Rincian Biaya'!K18</f>
        <v>0</v>
      </c>
    </row>
    <row r="13" spans="1:10" ht="15" customHeight="1" x14ac:dyDescent="0.2">
      <c r="B13" s="9" t="s">
        <v>79</v>
      </c>
      <c r="C13" s="21">
        <f>'Rincian Biaya'!D23</f>
        <v>150000</v>
      </c>
      <c r="D13" s="21">
        <f>'Rincian Biaya'!E23</f>
        <v>150000</v>
      </c>
      <c r="E13" s="21">
        <f>'Rincian Biaya'!F23</f>
        <v>150000</v>
      </c>
      <c r="F13" s="21">
        <f>'Rincian Biaya'!G23</f>
        <v>150000</v>
      </c>
      <c r="G13" s="21">
        <f>'Rincian Biaya'!H23</f>
        <v>150000</v>
      </c>
      <c r="H13" s="21">
        <f>'Rincian Biaya'!I23</f>
        <v>150000</v>
      </c>
      <c r="I13" s="21">
        <f>'Rincian Biaya'!J23</f>
        <v>150000</v>
      </c>
      <c r="J13" s="21">
        <f>'Rincian Biaya'!K23</f>
        <v>150000</v>
      </c>
    </row>
    <row r="14" spans="1:10" ht="15" customHeight="1" x14ac:dyDescent="0.2">
      <c r="B14" s="9" t="s">
        <v>80</v>
      </c>
      <c r="C14" s="21">
        <f>'Rincian Biaya'!D28</f>
        <v>240000</v>
      </c>
      <c r="D14" s="21">
        <f>'Rincian Biaya'!E28</f>
        <v>220000</v>
      </c>
      <c r="E14" s="21">
        <f>'Rincian Biaya'!F28</f>
        <v>400000</v>
      </c>
      <c r="F14" s="21">
        <f>'Rincian Biaya'!G28</f>
        <v>630000</v>
      </c>
      <c r="G14" s="21">
        <f>'Rincian Biaya'!H28</f>
        <v>230000</v>
      </c>
      <c r="H14" s="21">
        <f>'Rincian Biaya'!I28</f>
        <v>210000</v>
      </c>
      <c r="I14" s="21">
        <f>'Rincian Biaya'!J28</f>
        <v>350000</v>
      </c>
      <c r="J14" s="21">
        <f>'Rincian Biaya'!K28</f>
        <v>570000</v>
      </c>
    </row>
    <row r="15" spans="1:10" ht="15" customHeight="1" x14ac:dyDescent="0.2">
      <c r="B15" s="13" t="s">
        <v>13</v>
      </c>
      <c r="C15" s="23">
        <f>'Rincian Biaya'!D30</f>
        <v>7665000</v>
      </c>
      <c r="D15" s="23">
        <f>'Rincian Biaya'!E30</f>
        <v>8920000</v>
      </c>
      <c r="E15" s="23">
        <f>'Rincian Biaya'!F30</f>
        <v>12880000</v>
      </c>
      <c r="F15" s="23">
        <f>'Rincian Biaya'!G30</f>
        <v>20910000</v>
      </c>
      <c r="G15" s="23">
        <f>'Rincian Biaya'!H30</f>
        <v>6155000</v>
      </c>
      <c r="H15" s="23">
        <f>'Rincian Biaya'!I30</f>
        <v>7410000</v>
      </c>
      <c r="I15" s="23">
        <f>'Rincian Biaya'!J30</f>
        <v>11330000</v>
      </c>
      <c r="J15" s="23">
        <f>'Rincian Biaya'!K30</f>
        <v>17850000</v>
      </c>
    </row>
    <row r="16" spans="1:10" ht="15" customHeight="1" x14ac:dyDescent="0.2">
      <c r="B16" s="9" t="s">
        <v>81</v>
      </c>
      <c r="C16" s="24">
        <f>IF('Desain Program'!D5=0,0,'Rincian Biaya'!D30/'Desain Program'!D5)</f>
        <v>0.63875000000000004</v>
      </c>
      <c r="D16" s="24">
        <f>IF('Desain Program'!E5=0,0,'Rincian Biaya'!E30/'Desain Program'!E5)</f>
        <v>0.81090909090909091</v>
      </c>
      <c r="E16" s="24">
        <f>IF('Desain Program'!F5=0,0,'Rincian Biaya'!F30/'Desain Program'!F5)</f>
        <v>0.64400000000000002</v>
      </c>
      <c r="F16" s="24">
        <f>IF('Desain Program'!G5=0,0,'Rincian Biaya'!G30/'Desain Program'!G5)</f>
        <v>0.66380952380952385</v>
      </c>
      <c r="G16" s="24">
        <f>IF('Desain Program'!H5=0,0,'Rincian Biaya'!H30/'Desain Program'!H5)</f>
        <v>0.53521739130434787</v>
      </c>
      <c r="H16" s="24">
        <f>IF('Desain Program'!I5=0,0,'Rincian Biaya'!I30/'Desain Program'!I5)</f>
        <v>0.70571428571428574</v>
      </c>
      <c r="I16" s="24">
        <f>IF('Desain Program'!J5=0,0,'Rincian Biaya'!J30/'Desain Program'!J5)</f>
        <v>0.64742857142857146</v>
      </c>
      <c r="J16" s="24">
        <f>IF('Desain Program'!K5=0,0,'Rincian Biaya'!K30/'Desain Program'!K5)</f>
        <v>0.62631578947368416</v>
      </c>
    </row>
    <row r="17" spans="2:10" ht="15" customHeight="1" x14ac:dyDescent="0.2">
      <c r="B17" s="5" t="s">
        <v>82</v>
      </c>
      <c r="C17" s="6"/>
      <c r="D17" s="6"/>
      <c r="E17" s="6"/>
      <c r="F17" s="6"/>
      <c r="G17" s="6"/>
      <c r="H17" s="6"/>
      <c r="I17" s="6"/>
      <c r="J17" s="6"/>
    </row>
    <row r="18" spans="2:10" ht="15" customHeight="1" x14ac:dyDescent="0.2">
      <c r="B18" s="7" t="s">
        <v>14</v>
      </c>
      <c r="C18" s="20">
        <f>'Desain Program'!D5-'Rincian Biaya'!D30</f>
        <v>4335000</v>
      </c>
      <c r="D18" s="20">
        <f>'Desain Program'!E5-'Rincian Biaya'!E30</f>
        <v>2080000</v>
      </c>
      <c r="E18" s="20">
        <f>'Desain Program'!F5-'Rincian Biaya'!F30</f>
        <v>7120000</v>
      </c>
      <c r="F18" s="20">
        <f>'Desain Program'!G5-'Rincian Biaya'!G30</f>
        <v>10590000</v>
      </c>
      <c r="G18" s="20">
        <f>'Desain Program'!H5-'Rincian Biaya'!H30</f>
        <v>5345000</v>
      </c>
      <c r="H18" s="20">
        <f>'Desain Program'!I5-'Rincian Biaya'!I30</f>
        <v>3090000</v>
      </c>
      <c r="I18" s="20">
        <f>'Desain Program'!J5-'Rincian Biaya'!J30</f>
        <v>6170000</v>
      </c>
      <c r="J18" s="20">
        <f>'Desain Program'!K5-'Rincian Biaya'!K30</f>
        <v>10650000</v>
      </c>
    </row>
    <row r="19" spans="2:10" ht="15" customHeight="1" x14ac:dyDescent="0.2">
      <c r="B19" s="7" t="s">
        <v>83</v>
      </c>
      <c r="C19" s="25">
        <f>IF('Desain Program'!D5=0,0,('Desain Program'!D5-'Rincian Biaya'!D30)/'Desain Program'!D5)</f>
        <v>0.36125000000000002</v>
      </c>
      <c r="D19" s="25">
        <f>IF('Desain Program'!E5=0,0,('Desain Program'!E5-'Rincian Biaya'!E30)/'Desain Program'!E5)</f>
        <v>0.18909090909090909</v>
      </c>
      <c r="E19" s="25">
        <f>IF('Desain Program'!F5=0,0,('Desain Program'!F5-'Rincian Biaya'!F30)/'Desain Program'!F5)</f>
        <v>0.35599999999999998</v>
      </c>
      <c r="F19" s="25">
        <f>IF('Desain Program'!G5=0,0,('Desain Program'!G5-'Rincian Biaya'!G30)/'Desain Program'!G5)</f>
        <v>0.33619047619047621</v>
      </c>
      <c r="G19" s="25">
        <f>IF('Desain Program'!H5=0,0,('Desain Program'!H5-'Rincian Biaya'!H30)/'Desain Program'!H5)</f>
        <v>0.46478260869565219</v>
      </c>
      <c r="H19" s="25">
        <f>IF('Desain Program'!I5=0,0,('Desain Program'!I5-'Rincian Biaya'!I30)/'Desain Program'!I5)</f>
        <v>0.29428571428571426</v>
      </c>
      <c r="I19" s="25">
        <f>IF('Desain Program'!J5=0,0,('Desain Program'!J5-'Rincian Biaya'!J30)/'Desain Program'!J5)</f>
        <v>0.35257142857142859</v>
      </c>
      <c r="J19" s="25">
        <f>IF('Desain Program'!K5=0,0,('Desain Program'!K5-'Rincian Biaya'!K30)/'Desain Program'!K5)</f>
        <v>0.37368421052631579</v>
      </c>
    </row>
    <row r="20" spans="2:10" ht="15" customHeight="1" x14ac:dyDescent="0.2">
      <c r="B20" s="9" t="s">
        <v>84</v>
      </c>
      <c r="C20" s="24">
        <f>'Desain Program'!D6</f>
        <v>0.36</v>
      </c>
      <c r="D20" s="24">
        <f>'Desain Program'!E6</f>
        <v>0.2</v>
      </c>
      <c r="E20" s="24">
        <f>'Desain Program'!F6</f>
        <v>0.36</v>
      </c>
      <c r="F20" s="24">
        <f>'Desain Program'!G6</f>
        <v>0.36</v>
      </c>
      <c r="G20" s="24">
        <f>'Desain Program'!H6</f>
        <v>0.36</v>
      </c>
      <c r="H20" s="24">
        <f>'Desain Program'!I6</f>
        <v>0.2</v>
      </c>
      <c r="I20" s="24">
        <f>'Desain Program'!J6</f>
        <v>0.36</v>
      </c>
      <c r="J20" s="24">
        <f>'Desain Program'!K6</f>
        <v>0.36</v>
      </c>
    </row>
    <row r="21" spans="2:10" ht="15" customHeight="1" x14ac:dyDescent="0.2">
      <c r="B21" s="9" t="s">
        <v>85</v>
      </c>
      <c r="C21" s="21">
        <f>('Rincian Biaya'!D30-'Rincian Biaya'!D26-'Rincian Biaya'!D27)/(1-'Input Tarif'!$D$13-'Input Tarif'!$D$14-'Desain Program'!D6)</f>
        <v>11975806.451612903</v>
      </c>
      <c r="D21" s="21">
        <f>('Rincian Biaya'!E30-'Rincian Biaya'!E26-'Rincian Biaya'!E27)/(1-'Input Tarif'!$D$13-'Input Tarif'!$D$14-'Desain Program'!E6)</f>
        <v>11153846.153846154</v>
      </c>
      <c r="E21" s="21">
        <f>('Rincian Biaya'!F30-'Rincian Biaya'!F26-'Rincian Biaya'!F27)/(1-'Input Tarif'!$D$13-'Input Tarif'!$D$14-'Desain Program'!F6)</f>
        <v>20129032.258064516</v>
      </c>
      <c r="F21" s="21">
        <f>('Rincian Biaya'!G30-'Rincian Biaya'!G26-'Rincian Biaya'!G27)/(1-'Input Tarif'!$D$13-'Input Tarif'!$D$14-'Desain Program'!G6)</f>
        <v>32709677.419354837</v>
      </c>
      <c r="G21" s="21">
        <f>('Rincian Biaya'!H30-'Rincian Biaya'!H26-'Rincian Biaya'!H27)/(1-'Input Tarif'!$D$13-'Input Tarif'!$D$14-'Desain Program'!H6)</f>
        <v>9556451.6129032262</v>
      </c>
      <c r="H21" s="21">
        <f>('Rincian Biaya'!I30-'Rincian Biaya'!I26-'Rincian Biaya'!I27)/(1-'Input Tarif'!$D$13-'Input Tarif'!$D$14-'Desain Program'!I6)</f>
        <v>9230769.2307692301</v>
      </c>
      <c r="I21" s="21">
        <f>('Rincian Biaya'!J30-'Rincian Biaya'!J26-'Rincian Biaya'!J27)/(1-'Input Tarif'!$D$13-'Input Tarif'!$D$14-'Desain Program'!J6)</f>
        <v>17709677.419354837</v>
      </c>
      <c r="J21" s="21">
        <f>('Rincian Biaya'!K30-'Rincian Biaya'!K26-'Rincian Biaya'!K27)/(1-'Input Tarif'!$D$13-'Input Tarif'!$D$14-'Desain Program'!K6)</f>
        <v>27870967.741935484</v>
      </c>
    </row>
    <row r="22" spans="2:10" ht="15" customHeight="1" x14ac:dyDescent="0.2">
      <c r="B22" s="9" t="s">
        <v>86</v>
      </c>
      <c r="C22" s="21">
        <f>'Desain Program'!D5-('Rincian Biaya'!D30-'Rincian Biaya'!D26-'Rincian Biaya'!D27)/(1-'Input Tarif'!$D$13-'Input Tarif'!$D$14-'Desain Program'!D6)</f>
        <v>24193.548387097195</v>
      </c>
      <c r="D22" s="21">
        <f>'Desain Program'!E5-('Rincian Biaya'!E30-'Rincian Biaya'!E26-'Rincian Biaya'!E27)/(1-'Input Tarif'!$D$13-'Input Tarif'!$D$14-'Desain Program'!E6)</f>
        <v>-153846.15384615399</v>
      </c>
      <c r="E22" s="21">
        <f>'Desain Program'!F5-('Rincian Biaya'!F30-'Rincian Biaya'!F26-'Rincian Biaya'!F27)/(1-'Input Tarif'!$D$13-'Input Tarif'!$D$14-'Desain Program'!F6)</f>
        <v>-129032.25806451589</v>
      </c>
      <c r="F22" s="21">
        <f>'Desain Program'!G5-('Rincian Biaya'!G30-'Rincian Biaya'!G26-'Rincian Biaya'!G27)/(1-'Input Tarif'!$D$13-'Input Tarif'!$D$14-'Desain Program'!G6)</f>
        <v>-1209677.4193548374</v>
      </c>
      <c r="G22" s="21">
        <f>'Desain Program'!H5-('Rincian Biaya'!H30-'Rincian Biaya'!H26-'Rincian Biaya'!H27)/(1-'Input Tarif'!$D$13-'Input Tarif'!$D$14-'Desain Program'!H6)</f>
        <v>1943548.3870967738</v>
      </c>
      <c r="H22" s="21">
        <f>'Desain Program'!I5-('Rincian Biaya'!I30-'Rincian Biaya'!I26-'Rincian Biaya'!I27)/(1-'Input Tarif'!$D$13-'Input Tarif'!$D$14-'Desain Program'!I6)</f>
        <v>1269230.7692307699</v>
      </c>
      <c r="I22" s="21">
        <f>'Desain Program'!J5-('Rincian Biaya'!J30-'Rincian Biaya'!J26-'Rincian Biaya'!J27)/(1-'Input Tarif'!$D$13-'Input Tarif'!$D$14-'Desain Program'!J6)</f>
        <v>-209677.41935483739</v>
      </c>
      <c r="J22" s="21">
        <f>'Desain Program'!K5-('Rincian Biaya'!K30-'Rincian Biaya'!K26-'Rincian Biaya'!K27)/(1-'Input Tarif'!$D$13-'Input Tarif'!$D$14-'Desain Program'!K6)</f>
        <v>629032.25806451589</v>
      </c>
    </row>
    <row r="23" spans="2:10" ht="15" customHeight="1" x14ac:dyDescent="0.2">
      <c r="B23" s="9" t="s">
        <v>87</v>
      </c>
      <c r="C23" s="22" t="str">
        <f t="shared" ref="C23:J23" si="0">IF(C22&gt;=0,"Memenuhi target","Di bawah target")</f>
        <v>Memenuhi target</v>
      </c>
      <c r="D23" s="22" t="str">
        <f t="shared" si="0"/>
        <v>Di bawah target</v>
      </c>
      <c r="E23" s="22" t="str">
        <f t="shared" si="0"/>
        <v>Di bawah target</v>
      </c>
      <c r="F23" s="22" t="str">
        <f t="shared" si="0"/>
        <v>Di bawah target</v>
      </c>
      <c r="G23" s="22" t="str">
        <f t="shared" si="0"/>
        <v>Memenuhi target</v>
      </c>
      <c r="H23" s="22" t="str">
        <f t="shared" si="0"/>
        <v>Memenuhi target</v>
      </c>
      <c r="I23" s="22" t="str">
        <f t="shared" si="0"/>
        <v>Di bawah target</v>
      </c>
      <c r="J23" s="22" t="str">
        <f t="shared" si="0"/>
        <v>Memenuhi target</v>
      </c>
    </row>
    <row r="24" spans="2:10" ht="15" customHeight="1" x14ac:dyDescent="0.2">
      <c r="B24" s="9" t="s">
        <v>88</v>
      </c>
      <c r="C24" s="21">
        <f>'Desain Program'!D5-'Rincian Biaya'!D30+'Rincian Biaya'!D6</f>
        <v>9585000</v>
      </c>
      <c r="D24" s="21">
        <f>'Desain Program'!E5-'Rincian Biaya'!E30+'Rincian Biaya'!E6</f>
        <v>7330000</v>
      </c>
      <c r="E24" s="21">
        <f>'Desain Program'!F5-'Rincian Biaya'!F30+'Rincian Biaya'!F6</f>
        <v>15520000</v>
      </c>
      <c r="F24" s="21">
        <f>'Desain Program'!G5-'Rincian Biaya'!G30+'Rincian Biaya'!G6</f>
        <v>23190000</v>
      </c>
      <c r="G24" s="21">
        <f>'Desain Program'!H5-'Rincian Biaya'!H30+'Rincian Biaya'!H6</f>
        <v>10595000</v>
      </c>
      <c r="H24" s="21">
        <f>'Desain Program'!I5-'Rincian Biaya'!I30+'Rincian Biaya'!I6</f>
        <v>8340000</v>
      </c>
      <c r="I24" s="21">
        <f>'Desain Program'!J5-'Rincian Biaya'!J30+'Rincian Biaya'!J6</f>
        <v>14570000</v>
      </c>
      <c r="J24" s="21">
        <f>'Desain Program'!K5-'Rincian Biaya'!K30+'Rincian Biaya'!K6</f>
        <v>23250000</v>
      </c>
    </row>
    <row r="25" spans="2:10" ht="15" customHeight="1" x14ac:dyDescent="0.2">
      <c r="B25" s="5" t="s">
        <v>89</v>
      </c>
      <c r="C25" s="6"/>
      <c r="D25" s="6"/>
      <c r="E25" s="6"/>
      <c r="F25" s="6"/>
      <c r="G25" s="6"/>
      <c r="H25" s="6"/>
      <c r="I25" s="6"/>
      <c r="J25" s="6"/>
    </row>
    <row r="26" spans="2:10" ht="15" customHeight="1" x14ac:dyDescent="0.2">
      <c r="B26" s="9" t="s">
        <v>90</v>
      </c>
      <c r="C26" s="21">
        <f>'Desain Program'!D5*'Input Tarif'!$D$21*(1-'Input Tarif'!$D$13)</f>
        <v>5880000</v>
      </c>
      <c r="D26" s="21">
        <f>'Desain Program'!E5*'Input Tarif'!$D$21*(1-'Input Tarif'!$D$13)</f>
        <v>5390000</v>
      </c>
      <c r="E26" s="21">
        <f>'Desain Program'!F5*'Input Tarif'!$D$21*(1-'Input Tarif'!$D$13)</f>
        <v>9800000</v>
      </c>
      <c r="F26" s="21">
        <f>'Desain Program'!G5*'Input Tarif'!$D$21*(1-'Input Tarif'!$D$13)</f>
        <v>15435000</v>
      </c>
      <c r="G26" s="21">
        <f>'Desain Program'!H5*'Input Tarif'!$D$21*(1-'Input Tarif'!$D$13)</f>
        <v>5635000</v>
      </c>
      <c r="H26" s="21">
        <f>'Desain Program'!I5*'Input Tarif'!$D$21*(1-'Input Tarif'!$D$13)</f>
        <v>5145000</v>
      </c>
      <c r="I26" s="21">
        <f>'Desain Program'!J5*'Input Tarif'!$D$21*(1-'Input Tarif'!$D$13)</f>
        <v>8575000</v>
      </c>
      <c r="J26" s="21">
        <f>'Desain Program'!K5*'Input Tarif'!$D$21*(1-'Input Tarif'!$D$13)</f>
        <v>13965000</v>
      </c>
    </row>
    <row r="27" spans="2:10" ht="15" customHeight="1" x14ac:dyDescent="0.2">
      <c r="B27" s="9" t="s">
        <v>91</v>
      </c>
      <c r="C27" s="21">
        <f>('Desain Program'!D5-'Rincian Biaya'!D30)/'Input Tarif'!$D$19</f>
        <v>1445000</v>
      </c>
      <c r="D27" s="21">
        <f>('Desain Program'!E5-'Rincian Biaya'!E30)/'Input Tarif'!$D$19</f>
        <v>693333.33333333337</v>
      </c>
      <c r="E27" s="21">
        <f>('Desain Program'!F5-'Rincian Biaya'!F30)/'Input Tarif'!$D$19</f>
        <v>2373333.3333333335</v>
      </c>
      <c r="F27" s="21">
        <f>('Desain Program'!G5-'Rincian Biaya'!G30)/'Input Tarif'!$D$19</f>
        <v>3530000</v>
      </c>
      <c r="G27" s="21">
        <f>('Desain Program'!H5-'Rincian Biaya'!H30)/'Input Tarif'!$D$19</f>
        <v>1781666.6666666667</v>
      </c>
      <c r="H27" s="21">
        <f>('Desain Program'!I5-'Rincian Biaya'!I30)/'Input Tarif'!$D$19</f>
        <v>1030000</v>
      </c>
      <c r="I27" s="21">
        <f>('Desain Program'!J5-'Rincian Biaya'!J30)/'Input Tarif'!$D$19</f>
        <v>2056666.6666666667</v>
      </c>
      <c r="J27" s="21">
        <f>('Desain Program'!K5-'Rincian Biaya'!K30)/'Input Tarif'!$D$19</f>
        <v>3550000</v>
      </c>
    </row>
    <row r="28" spans="2:10" ht="15" customHeight="1" x14ac:dyDescent="0.2">
      <c r="B28" s="9" t="s">
        <v>92</v>
      </c>
      <c r="C28" s="24">
        <f>('Desain Program'!D5-'Rincian Biaya'!D30)/('Input Tarif'!$D$20*'Input Tarif'!$D$19)</f>
        <v>7.2249999999999995E-2</v>
      </c>
      <c r="D28" s="24">
        <f>('Desain Program'!E5-'Rincian Biaya'!E30)/('Input Tarif'!$D$20*'Input Tarif'!$D$19)</f>
        <v>3.4666666666666665E-2</v>
      </c>
      <c r="E28" s="24">
        <f>('Desain Program'!F5-'Rincian Biaya'!F30)/('Input Tarif'!$D$20*'Input Tarif'!$D$19)</f>
        <v>0.11866666666666667</v>
      </c>
      <c r="F28" s="24">
        <f>('Desain Program'!G5-'Rincian Biaya'!G30)/('Input Tarif'!$D$20*'Input Tarif'!$D$19)</f>
        <v>0.17649999999999999</v>
      </c>
      <c r="G28" s="24">
        <f>('Desain Program'!H5-'Rincian Biaya'!H30)/('Input Tarif'!$D$20*'Input Tarif'!$D$19)</f>
        <v>8.9083333333333334E-2</v>
      </c>
      <c r="H28" s="24">
        <f>('Desain Program'!I5-'Rincian Biaya'!I30)/('Input Tarif'!$D$20*'Input Tarif'!$D$19)</f>
        <v>5.1499999999999997E-2</v>
      </c>
      <c r="I28" s="24">
        <f>('Desain Program'!J5-'Rincian Biaya'!J30)/('Input Tarif'!$D$20*'Input Tarif'!$D$19)</f>
        <v>0.10283333333333333</v>
      </c>
      <c r="J28" s="24">
        <f>('Desain Program'!K5-'Rincian Biaya'!K30)/('Input Tarif'!$D$20*'Input Tarif'!$D$19)</f>
        <v>0.17749999999999999</v>
      </c>
    </row>
    <row r="29" spans="2:10" ht="15" customHeight="1" x14ac:dyDescent="0.2">
      <c r="B29" s="5" t="s">
        <v>93</v>
      </c>
      <c r="C29" s="6"/>
      <c r="D29" s="6"/>
      <c r="E29" s="6"/>
      <c r="F29" s="6"/>
      <c r="G29" s="6"/>
      <c r="H29" s="6"/>
      <c r="I29" s="6"/>
      <c r="J29" s="6"/>
    </row>
    <row r="30" spans="2:10" ht="15" customHeight="1" x14ac:dyDescent="0.2">
      <c r="B30" s="9" t="s">
        <v>94</v>
      </c>
      <c r="C30" s="21">
        <f>'Desain Program'!D8*'Input Tarif'!$D$17+'Desain Program'!D10*'Input Tarif'!$D$22+'Desain Program'!D11*'Input Tarif'!$D$23+('Desain Program'!D13+'Desain Program'!D14)*'Input Tarif'!$D$24</f>
        <v>10500000</v>
      </c>
      <c r="D30" s="21">
        <f>'Desain Program'!E8*'Input Tarif'!$D$17+'Desain Program'!E10*'Input Tarif'!$D$22+'Desain Program'!E11*'Input Tarif'!$D$23+('Desain Program'!E13+'Desain Program'!E14)*'Input Tarif'!$D$24</f>
        <v>15000000</v>
      </c>
      <c r="E30" s="21">
        <f>'Desain Program'!F8*'Input Tarif'!$D$17+'Desain Program'!F10*'Input Tarif'!$D$22+'Desain Program'!F11*'Input Tarif'!$D$23+('Desain Program'!F13+'Desain Program'!F14)*'Input Tarif'!$D$24</f>
        <v>19500000</v>
      </c>
      <c r="F30" s="21">
        <f>'Desain Program'!G8*'Input Tarif'!$D$17+'Desain Program'!G10*'Input Tarif'!$D$22+'Desain Program'!G11*'Input Tarif'!$D$23+('Desain Program'!G13+'Desain Program'!G14)*'Input Tarif'!$D$24</f>
        <v>28000000</v>
      </c>
      <c r="G30" s="21">
        <f>'Desain Program'!H8*'Input Tarif'!$D$17+'Desain Program'!H10*'Input Tarif'!$D$22+'Desain Program'!H11*'Input Tarif'!$D$23+('Desain Program'!H13+'Desain Program'!H14)*'Input Tarif'!$D$24</f>
        <v>7500000</v>
      </c>
      <c r="H30" s="21">
        <f>'Desain Program'!I8*'Input Tarif'!$D$17+'Desain Program'!I10*'Input Tarif'!$D$22+'Desain Program'!I11*'Input Tarif'!$D$23+('Desain Program'!I13+'Desain Program'!I14)*'Input Tarif'!$D$24</f>
        <v>12000000</v>
      </c>
      <c r="I30" s="21">
        <f>'Desain Program'!J8*'Input Tarif'!$D$17+'Desain Program'!J10*'Input Tarif'!$D$22+'Desain Program'!J11*'Input Tarif'!$D$23+('Desain Program'!J13+'Desain Program'!J14)*'Input Tarif'!$D$24</f>
        <v>16500000</v>
      </c>
      <c r="J30" s="21">
        <f>'Desain Program'!K8*'Input Tarif'!$D$17+'Desain Program'!K10*'Input Tarif'!$D$22+'Desain Program'!K11*'Input Tarif'!$D$23+('Desain Program'!K13+'Desain Program'!K14)*'Input Tarif'!$D$24</f>
        <v>25000000</v>
      </c>
    </row>
    <row r="31" spans="2:10" ht="15" customHeight="1" x14ac:dyDescent="0.2">
      <c r="B31" s="9" t="s">
        <v>95</v>
      </c>
      <c r="C31" s="24">
        <f t="shared" ref="C31:J31" si="1">IF(C30=0,0,1-C6/C30)</f>
        <v>-0.14285714285714279</v>
      </c>
      <c r="D31" s="24">
        <f t="shared" si="1"/>
        <v>0.26666666666666672</v>
      </c>
      <c r="E31" s="24">
        <f t="shared" si="1"/>
        <v>-2.564102564102555E-2</v>
      </c>
      <c r="F31" s="24">
        <f t="shared" si="1"/>
        <v>-0.125</v>
      </c>
      <c r="G31" s="24">
        <f t="shared" si="1"/>
        <v>-0.53333333333333344</v>
      </c>
      <c r="H31" s="24">
        <f t="shared" si="1"/>
        <v>0.125</v>
      </c>
      <c r="I31" s="24">
        <f t="shared" si="1"/>
        <v>-6.0606060606060552E-2</v>
      </c>
      <c r="J31" s="24">
        <f t="shared" si="1"/>
        <v>-0.1399999999999999</v>
      </c>
    </row>
    <row r="32" spans="2:10" ht="15" customHeight="1" x14ac:dyDescent="0.2">
      <c r="B32" s="5" t="s">
        <v>96</v>
      </c>
      <c r="C32" s="6"/>
      <c r="D32" s="6"/>
      <c r="E32" s="6"/>
      <c r="F32" s="6"/>
      <c r="G32" s="6"/>
      <c r="H32" s="6"/>
      <c r="I32" s="6"/>
      <c r="J32" s="6"/>
    </row>
    <row r="33" spans="2:10" ht="15" customHeight="1" x14ac:dyDescent="0.2">
      <c r="B33" s="9" t="s">
        <v>97</v>
      </c>
      <c r="C33" s="21">
        <f>CEILING(('Rincian Biaya'!D30-'Rincian Biaya'!D26-'Rincian Biaya'!D27)/(1-'Input Tarif'!$D$13-'Input Tarif'!$D$14-'Input Tarif'!$D$25),'Input Tarif'!$D$27)</f>
        <v>9000000</v>
      </c>
      <c r="D33" s="21">
        <f>CEILING(('Rincian Biaya'!E30-'Rincian Biaya'!E26-'Rincian Biaya'!E27)/(1-'Input Tarif'!$D$13-'Input Tarif'!$D$14-'Input Tarif'!$D$25),'Input Tarif'!$D$27)</f>
        <v>10500000</v>
      </c>
      <c r="E33" s="21">
        <f>CEILING(('Rincian Biaya'!F30-'Rincian Biaya'!F26-'Rincian Biaya'!F27)/(1-'Input Tarif'!$D$13-'Input Tarif'!$D$14-'Input Tarif'!$D$25),'Input Tarif'!$D$27)</f>
        <v>15500000</v>
      </c>
      <c r="F33" s="21">
        <f>CEILING(('Rincian Biaya'!G30-'Rincian Biaya'!G26-'Rincian Biaya'!G27)/(1-'Input Tarif'!$D$13-'Input Tarif'!$D$14-'Input Tarif'!$D$25),'Input Tarif'!$D$27)</f>
        <v>24500000</v>
      </c>
      <c r="G33" s="21">
        <f>CEILING(('Rincian Biaya'!H30-'Rincian Biaya'!H26-'Rincian Biaya'!H27)/(1-'Input Tarif'!$D$13-'Input Tarif'!$D$14-'Input Tarif'!$D$25),'Input Tarif'!$D$27)</f>
        <v>7500000</v>
      </c>
      <c r="H33" s="21">
        <f>CEILING(('Rincian Biaya'!I30-'Rincian Biaya'!I26-'Rincian Biaya'!I27)/(1-'Input Tarif'!$D$13-'Input Tarif'!$D$14-'Input Tarif'!$D$25),'Input Tarif'!$D$27)</f>
        <v>9000000</v>
      </c>
      <c r="I33" s="21">
        <f>CEILING(('Rincian Biaya'!J30-'Rincian Biaya'!J26-'Rincian Biaya'!J27)/(1-'Input Tarif'!$D$13-'Input Tarif'!$D$14-'Input Tarif'!$D$25),'Input Tarif'!$D$27)</f>
        <v>13500000</v>
      </c>
      <c r="J33" s="21">
        <f>CEILING(('Rincian Biaya'!K30-'Rincian Biaya'!K26-'Rincian Biaya'!K27)/(1-'Input Tarif'!$D$13-'Input Tarif'!$D$14-'Input Tarif'!$D$25),'Input Tarif'!$D$27)</f>
        <v>21000000</v>
      </c>
    </row>
    <row r="34" spans="2:10" ht="15" customHeight="1" x14ac:dyDescent="0.2">
      <c r="B34" s="9" t="s">
        <v>98</v>
      </c>
      <c r="C34" s="21">
        <f>CEILING(('Rincian Biaya'!D30-'Rincian Biaya'!D26-'Rincian Biaya'!D27)/(1-'Input Tarif'!$D$13-'Input Tarif'!$D$14-'Input Tarif'!$D$26),'Input Tarif'!$D$27)</f>
        <v>10500000</v>
      </c>
      <c r="D34" s="21">
        <f>CEILING(('Rincian Biaya'!E30-'Rincian Biaya'!E26-'Rincian Biaya'!E27)/(1-'Input Tarif'!$D$13-'Input Tarif'!$D$14-'Input Tarif'!$D$26),'Input Tarif'!$D$27)</f>
        <v>12500000</v>
      </c>
      <c r="E34" s="21">
        <f>CEILING(('Rincian Biaya'!F30-'Rincian Biaya'!F26-'Rincian Biaya'!F27)/(1-'Input Tarif'!$D$13-'Input Tarif'!$D$14-'Input Tarif'!$D$26),'Input Tarif'!$D$27)</f>
        <v>17500000</v>
      </c>
      <c r="F34" s="21">
        <f>CEILING(('Rincian Biaya'!G30-'Rincian Biaya'!G26-'Rincian Biaya'!G27)/(1-'Input Tarif'!$D$13-'Input Tarif'!$D$14-'Input Tarif'!$D$26),'Input Tarif'!$D$27)</f>
        <v>28500000</v>
      </c>
      <c r="G34" s="21">
        <f>CEILING(('Rincian Biaya'!H30-'Rincian Biaya'!H26-'Rincian Biaya'!H27)/(1-'Input Tarif'!$D$13-'Input Tarif'!$D$14-'Input Tarif'!$D$26),'Input Tarif'!$D$27)</f>
        <v>8500000</v>
      </c>
      <c r="H34" s="21">
        <f>CEILING(('Rincian Biaya'!I30-'Rincian Biaya'!I26-'Rincian Biaya'!I27)/(1-'Input Tarif'!$D$13-'Input Tarif'!$D$14-'Input Tarif'!$D$26),'Input Tarif'!$D$27)</f>
        <v>10000000</v>
      </c>
      <c r="I34" s="21">
        <f>CEILING(('Rincian Biaya'!J30-'Rincian Biaya'!J26-'Rincian Biaya'!J27)/(1-'Input Tarif'!$D$13-'Input Tarif'!$D$14-'Input Tarif'!$D$26),'Input Tarif'!$D$27)</f>
        <v>15500000</v>
      </c>
      <c r="J34" s="21">
        <f>CEILING(('Rincian Biaya'!K30-'Rincian Biaya'!K26-'Rincian Biaya'!K27)/(1-'Input Tarif'!$D$13-'Input Tarif'!$D$14-'Input Tarif'!$D$26),'Input Tarif'!$D$27)</f>
        <v>24000000</v>
      </c>
    </row>
    <row r="35" spans="2:10" ht="15" customHeight="1" x14ac:dyDescent="0.2">
      <c r="B35" s="9" t="s">
        <v>99</v>
      </c>
      <c r="C35" s="24">
        <f>MAX('Input Tarif'!$D$25,MIN('Input Tarif'!$D$26,'Desain Program'!D6))</f>
        <v>0.26</v>
      </c>
      <c r="D35" s="24">
        <f>MAX('Input Tarif'!$D$25,MIN('Input Tarif'!$D$26,'Desain Program'!E6))</f>
        <v>0.2</v>
      </c>
      <c r="E35" s="24">
        <f>MAX('Input Tarif'!$D$25,MIN('Input Tarif'!$D$26,'Desain Program'!F6))</f>
        <v>0.26</v>
      </c>
      <c r="F35" s="24">
        <f>MAX('Input Tarif'!$D$25,MIN('Input Tarif'!$D$26,'Desain Program'!G6))</f>
        <v>0.26</v>
      </c>
      <c r="G35" s="24">
        <f>MAX('Input Tarif'!$D$25,MIN('Input Tarif'!$D$26,'Desain Program'!H6))</f>
        <v>0.26</v>
      </c>
      <c r="H35" s="24">
        <f>MAX('Input Tarif'!$D$25,MIN('Input Tarif'!$D$26,'Desain Program'!I6))</f>
        <v>0.2</v>
      </c>
      <c r="I35" s="24">
        <f>MAX('Input Tarif'!$D$25,MIN('Input Tarif'!$D$26,'Desain Program'!J6))</f>
        <v>0.26</v>
      </c>
      <c r="J35" s="24">
        <f>MAX('Input Tarif'!$D$25,MIN('Input Tarif'!$D$26,'Desain Program'!K6))</f>
        <v>0.26</v>
      </c>
    </row>
    <row r="36" spans="2:10" ht="15" customHeight="1" x14ac:dyDescent="0.2">
      <c r="B36" s="13" t="s">
        <v>100</v>
      </c>
      <c r="C36" s="23">
        <f>MAX(C6,CEILING(('Rincian Biaya'!D30-'Rincian Biaya'!D26-'Rincian Biaya'!D27)/(1-'Input Tarif'!$D$13-'Input Tarif'!$D$14-C35),'Input Tarif'!$D$27))</f>
        <v>12000000</v>
      </c>
      <c r="D36" s="23">
        <f>MAX(D6,CEILING(('Rincian Biaya'!E30-'Rincian Biaya'!E26-'Rincian Biaya'!E27)/(1-'Input Tarif'!$D$13-'Input Tarif'!$D$14-D35),'Input Tarif'!$D$27))</f>
        <v>11500000</v>
      </c>
      <c r="E36" s="23">
        <f>MAX(E6,CEILING(('Rincian Biaya'!F30-'Rincian Biaya'!F26-'Rincian Biaya'!F27)/(1-'Input Tarif'!$D$13-'Input Tarif'!$D$14-E35),'Input Tarif'!$D$27))</f>
        <v>20000000</v>
      </c>
      <c r="F36" s="23">
        <f>MAX(F6,CEILING(('Rincian Biaya'!G30-'Rincian Biaya'!G26-'Rincian Biaya'!G27)/(1-'Input Tarif'!$D$13-'Input Tarif'!$D$14-F35),'Input Tarif'!$D$27))</f>
        <v>31500000</v>
      </c>
      <c r="G36" s="23">
        <f>MAX(G6,CEILING(('Rincian Biaya'!H30-'Rincian Biaya'!H26-'Rincian Biaya'!H27)/(1-'Input Tarif'!$D$13-'Input Tarif'!$D$14-G35),'Input Tarif'!$D$27))</f>
        <v>11500000</v>
      </c>
      <c r="H36" s="23">
        <f>MAX(H6,CEILING(('Rincian Biaya'!I30-'Rincian Biaya'!I26-'Rincian Biaya'!I27)/(1-'Input Tarif'!$D$13-'Input Tarif'!$D$14-H35),'Input Tarif'!$D$27))</f>
        <v>10500000</v>
      </c>
      <c r="I36" s="23">
        <f>MAX(I6,CEILING(('Rincian Biaya'!J30-'Rincian Biaya'!J26-'Rincian Biaya'!J27)/(1-'Input Tarif'!$D$13-'Input Tarif'!$D$14-I35),'Input Tarif'!$D$27))</f>
        <v>17500000</v>
      </c>
      <c r="J36" s="23">
        <f>MAX(J6,CEILING(('Rincian Biaya'!K30-'Rincian Biaya'!K26-'Rincian Biaya'!K27)/(1-'Input Tarif'!$D$13-'Input Tarif'!$D$14-J35),'Input Tarif'!$D$27))</f>
        <v>28500000</v>
      </c>
    </row>
    <row r="37" spans="2:10" ht="15" customHeight="1" x14ac:dyDescent="0.2">
      <c r="B37" s="7" t="s">
        <v>101</v>
      </c>
      <c r="C37" s="20">
        <f t="shared" ref="C37:J37" si="2">C36-C6</f>
        <v>0</v>
      </c>
      <c r="D37" s="20">
        <f t="shared" si="2"/>
        <v>500000</v>
      </c>
      <c r="E37" s="20">
        <f t="shared" si="2"/>
        <v>0</v>
      </c>
      <c r="F37" s="20">
        <f t="shared" si="2"/>
        <v>0</v>
      </c>
      <c r="G37" s="20">
        <f t="shared" si="2"/>
        <v>0</v>
      </c>
      <c r="H37" s="20">
        <f t="shared" si="2"/>
        <v>0</v>
      </c>
      <c r="I37" s="20">
        <f t="shared" si="2"/>
        <v>0</v>
      </c>
      <c r="J37" s="20">
        <f t="shared" si="2"/>
        <v>0</v>
      </c>
    </row>
    <row r="38" spans="2:10" ht="15" customHeight="1" x14ac:dyDescent="0.2">
      <c r="B38" s="9" t="s">
        <v>102</v>
      </c>
      <c r="C38" s="24">
        <f>(C36*(1-'Input Tarif'!$D$13-'Input Tarif'!$D$14)-('Rincian Biaya'!D30-'Rincian Biaya'!D26-'Rincian Biaya'!D27))/C36</f>
        <v>0.36125000000000002</v>
      </c>
      <c r="D38" s="24">
        <f>(D36*(1-'Input Tarif'!$D$13-'Input Tarif'!$D$14)-('Rincian Biaya'!E30-'Rincian Biaya'!E26-'Rincian Biaya'!E27))/D36</f>
        <v>0.22347826086956521</v>
      </c>
      <c r="E38" s="24">
        <f>(E36*(1-'Input Tarif'!$D$13-'Input Tarif'!$D$14)-('Rincian Biaya'!F30-'Rincian Biaya'!F26-'Rincian Biaya'!F27))/E36</f>
        <v>0.35599999999999998</v>
      </c>
      <c r="F38" s="24">
        <f>(F36*(1-'Input Tarif'!$D$13-'Input Tarif'!$D$14)-('Rincian Biaya'!G30-'Rincian Biaya'!G26-'Rincian Biaya'!G27))/F36</f>
        <v>0.33619047619047621</v>
      </c>
      <c r="G38" s="24">
        <f>(G36*(1-'Input Tarif'!$D$13-'Input Tarif'!$D$14)-('Rincian Biaya'!H30-'Rincian Biaya'!H26-'Rincian Biaya'!H27))/G36</f>
        <v>0.46478260869565219</v>
      </c>
      <c r="H38" s="24">
        <f>(H36*(1-'Input Tarif'!$D$13-'Input Tarif'!$D$14)-('Rincian Biaya'!I30-'Rincian Biaya'!I26-'Rincian Biaya'!I27))/H36</f>
        <v>0.29428571428571426</v>
      </c>
      <c r="I38" s="24">
        <f>(I36*(1-'Input Tarif'!$D$13-'Input Tarif'!$D$14)-('Rincian Biaya'!J30-'Rincian Biaya'!J26-'Rincian Biaya'!J27))/I36</f>
        <v>0.35257142857142859</v>
      </c>
      <c r="J38" s="24">
        <f>(J36*(1-'Input Tarif'!$D$13-'Input Tarif'!$D$14)-('Rincian Biaya'!K30-'Rincian Biaya'!K26-'Rincian Biaya'!K27))/J36</f>
        <v>0.37368421052631579</v>
      </c>
    </row>
    <row r="39" spans="2:10" ht="15" customHeight="1" x14ac:dyDescent="0.2">
      <c r="B39" s="9" t="s">
        <v>103</v>
      </c>
      <c r="C39" s="21">
        <f>C36*(1-'Input Tarif'!$D$13-'Input Tarif'!$D$14)-('Rincian Biaya'!D30-'Rincian Biaya'!D26-'Rincian Biaya'!D27)</f>
        <v>4335000</v>
      </c>
      <c r="D39" s="21">
        <f>D36*(1-'Input Tarif'!$D$13-'Input Tarif'!$D$14)-('Rincian Biaya'!E30-'Rincian Biaya'!E26-'Rincian Biaya'!E27)</f>
        <v>2570000</v>
      </c>
      <c r="E39" s="21">
        <f>E36*(1-'Input Tarif'!$D$13-'Input Tarif'!$D$14)-('Rincian Biaya'!F30-'Rincian Biaya'!F26-'Rincian Biaya'!F27)</f>
        <v>7120000</v>
      </c>
      <c r="F39" s="21">
        <f>F36*(1-'Input Tarif'!$D$13-'Input Tarif'!$D$14)-('Rincian Biaya'!G30-'Rincian Biaya'!G26-'Rincian Biaya'!G27)</f>
        <v>10590000</v>
      </c>
      <c r="G39" s="21">
        <f>G36*(1-'Input Tarif'!$D$13-'Input Tarif'!$D$14)-('Rincian Biaya'!H30-'Rincian Biaya'!H26-'Rincian Biaya'!H27)</f>
        <v>5345000</v>
      </c>
      <c r="H39" s="21">
        <f>H36*(1-'Input Tarif'!$D$13-'Input Tarif'!$D$14)-('Rincian Biaya'!I30-'Rincian Biaya'!I26-'Rincian Biaya'!I27)</f>
        <v>3090000</v>
      </c>
      <c r="I39" s="21">
        <f>I36*(1-'Input Tarif'!$D$13-'Input Tarif'!$D$14)-('Rincian Biaya'!J30-'Rincian Biaya'!J26-'Rincian Biaya'!J27)</f>
        <v>6170000</v>
      </c>
      <c r="J39" s="21">
        <f>J36*(1-'Input Tarif'!$D$13-'Input Tarif'!$D$14)-('Rincian Biaya'!K30-'Rincian Biaya'!K26-'Rincian Biaya'!K27)</f>
        <v>10650000</v>
      </c>
    </row>
    <row r="40" spans="2:10" ht="15" customHeight="1" x14ac:dyDescent="0.2">
      <c r="B40" s="9" t="s">
        <v>104</v>
      </c>
      <c r="C40" s="21">
        <f>C36/'Input Tarif'!$D$19</f>
        <v>4000000</v>
      </c>
      <c r="D40" s="21">
        <f>D36/'Input Tarif'!$D$19</f>
        <v>3833333.3333333335</v>
      </c>
      <c r="E40" s="21">
        <f>E36/'Input Tarif'!$D$19</f>
        <v>6666666.666666667</v>
      </c>
      <c r="F40" s="21">
        <f>F36/'Input Tarif'!$D$19</f>
        <v>10500000</v>
      </c>
      <c r="G40" s="21">
        <f>G36/'Input Tarif'!$D$19</f>
        <v>3833333.3333333335</v>
      </c>
      <c r="H40" s="21">
        <f>H36/'Input Tarif'!$D$19</f>
        <v>3500000</v>
      </c>
      <c r="I40" s="21">
        <f>I36/'Input Tarif'!$D$19</f>
        <v>5833333.333333333</v>
      </c>
      <c r="J40" s="21">
        <f>J36/'Input Tarif'!$D$19</f>
        <v>9500000</v>
      </c>
    </row>
    <row r="41" spans="2:10" ht="15" customHeight="1" x14ac:dyDescent="0.2">
      <c r="B41" s="9" t="s">
        <v>105</v>
      </c>
      <c r="C41" s="21">
        <f>MAX(0,('Rincian Biaya'!D30-'Rincian Biaya'!D26-'Rincian Biaya'!D27)-'Desain Program'!D5*(1-'Input Tarif'!$D$13-'Input Tarif'!$D$14-'Input Tarif'!$D$25))</f>
        <v>0</v>
      </c>
      <c r="D41" s="21">
        <f>MAX(0,('Rincian Biaya'!E30-'Rincian Biaya'!E26-'Rincian Biaya'!E27)-'Desain Program'!E5*(1-'Input Tarif'!$D$13-'Input Tarif'!$D$14-'Input Tarif'!$D$25))</f>
        <v>0</v>
      </c>
      <c r="E41" s="21">
        <f>MAX(0,('Rincian Biaya'!F30-'Rincian Biaya'!F26-'Rincian Biaya'!F27)-'Desain Program'!F5*(1-'Input Tarif'!$D$13-'Input Tarif'!$D$14-'Input Tarif'!$D$25))</f>
        <v>0</v>
      </c>
      <c r="F41" s="21">
        <f>MAX(0,('Rincian Biaya'!G30-'Rincian Biaya'!G26-'Rincian Biaya'!G27)-'Desain Program'!G5*(1-'Input Tarif'!$D$13-'Input Tarif'!$D$14-'Input Tarif'!$D$25))</f>
        <v>0</v>
      </c>
      <c r="G41" s="21">
        <f>MAX(0,('Rincian Biaya'!H30-'Rincian Biaya'!H26-'Rincian Biaya'!H27)-'Desain Program'!H5*(1-'Input Tarif'!$D$13-'Input Tarif'!$D$14-'Input Tarif'!$D$25))</f>
        <v>0</v>
      </c>
      <c r="H41" s="21">
        <f>MAX(0,('Rincian Biaya'!I30-'Rincian Biaya'!I26-'Rincian Biaya'!I27)-'Desain Program'!I5*(1-'Input Tarif'!$D$13-'Input Tarif'!$D$14-'Input Tarif'!$D$25))</f>
        <v>0</v>
      </c>
      <c r="I41" s="21">
        <f>MAX(0,('Rincian Biaya'!J30-'Rincian Biaya'!J26-'Rincian Biaya'!J27)-'Desain Program'!J5*(1-'Input Tarif'!$D$13-'Input Tarif'!$D$14-'Input Tarif'!$D$25))</f>
        <v>0</v>
      </c>
      <c r="J41" s="21">
        <f>MAX(0,('Rincian Biaya'!K30-'Rincian Biaya'!K26-'Rincian Biaya'!K27)-'Desain Program'!K5*(1-'Input Tarif'!$D$13-'Input Tarif'!$D$14-'Input Tarif'!$D$25))</f>
        <v>0</v>
      </c>
    </row>
    <row r="42" spans="2:10" ht="57.75" customHeight="1" x14ac:dyDescent="0.2">
      <c r="B42" s="9" t="s">
        <v>106</v>
      </c>
      <c r="C42" s="26" t="str">
        <f t="shared" ref="C42:J42" si="3">IF(C37=0,"Harga sekarang sudah sehat - pertahankan","Naikkan Rp"&amp;TEXT(C37,"#,##0")&amp;" (jadi Rp"&amp;TEXT(C36,"#,##0")&amp;"), atau hemat biaya Rp"&amp;TEXT(C41,"#,##0")&amp;" untuk minimal 15%")</f>
        <v>Harga sekarang sudah sehat - pertahankan</v>
      </c>
      <c r="D42" s="26" t="str">
        <f t="shared" si="3"/>
        <v>Naikkan Rp500000,0 (jadi Rp11500000,0), atau hemat biaya Rp,0 untuk minimal 15%</v>
      </c>
      <c r="E42" s="26" t="str">
        <f t="shared" si="3"/>
        <v>Harga sekarang sudah sehat - pertahankan</v>
      </c>
      <c r="F42" s="26" t="str">
        <f t="shared" si="3"/>
        <v>Harga sekarang sudah sehat - pertahankan</v>
      </c>
      <c r="G42" s="26" t="str">
        <f t="shared" si="3"/>
        <v>Harga sekarang sudah sehat - pertahankan</v>
      </c>
      <c r="H42" s="26" t="str">
        <f t="shared" si="3"/>
        <v>Harga sekarang sudah sehat - pertahankan</v>
      </c>
      <c r="I42" s="26" t="str">
        <f t="shared" si="3"/>
        <v>Harga sekarang sudah sehat - pertahankan</v>
      </c>
      <c r="J42" s="26" t="str">
        <f t="shared" si="3"/>
        <v>Harga sekarang sudah sehat - pertahankan</v>
      </c>
    </row>
    <row r="43" spans="2:10" x14ac:dyDescent="0.2">
      <c r="B43" s="9" t="s">
        <v>20</v>
      </c>
      <c r="C43" s="21">
        <f>CEILING(('Rincian Biaya'!D30-'Rincian Biaya'!D26-'Rincian Biaya'!D27)/(1-'Input Tarif'!$D$13-'Input Tarif'!$D$14-'Input Tarif'!$D$28),'Input Tarif'!$D$27)</f>
        <v>12000000</v>
      </c>
      <c r="D43" s="21">
        <f>CEILING(('Rincian Biaya'!E30-'Rincian Biaya'!E26-'Rincian Biaya'!E27)/(1-'Input Tarif'!$D$13-'Input Tarif'!$D$14-'Input Tarif'!$D$28),'Input Tarif'!$D$27)</f>
        <v>14500000</v>
      </c>
      <c r="E43" s="21">
        <f>CEILING(('Rincian Biaya'!F30-'Rincian Biaya'!F26-'Rincian Biaya'!F27)/(1-'Input Tarif'!$D$13-'Input Tarif'!$D$14-'Input Tarif'!$D$28),'Input Tarif'!$D$27)</f>
        <v>20500000</v>
      </c>
      <c r="F43" s="21">
        <f>CEILING(('Rincian Biaya'!G30-'Rincian Biaya'!G26-'Rincian Biaya'!G27)/(1-'Input Tarif'!$D$13-'Input Tarif'!$D$14-'Input Tarif'!$D$28),'Input Tarif'!$D$27)</f>
        <v>33000000</v>
      </c>
      <c r="G43" s="21">
        <f>CEILING(('Rincian Biaya'!H30-'Rincian Biaya'!H26-'Rincian Biaya'!H27)/(1-'Input Tarif'!$D$13-'Input Tarif'!$D$14-'Input Tarif'!$D$28),'Input Tarif'!$D$27)</f>
        <v>10000000</v>
      </c>
      <c r="H43" s="21">
        <f>CEILING(('Rincian Biaya'!I30-'Rincian Biaya'!I26-'Rincian Biaya'!I27)/(1-'Input Tarif'!$D$13-'Input Tarif'!$D$14-'Input Tarif'!$D$28),'Input Tarif'!$D$27)</f>
        <v>12000000</v>
      </c>
      <c r="I43" s="21">
        <f>CEILING(('Rincian Biaya'!J30-'Rincian Biaya'!J26-'Rincian Biaya'!J27)/(1-'Input Tarif'!$D$13-'Input Tarif'!$D$14-'Input Tarif'!$D$28),'Input Tarif'!$D$27)</f>
        <v>18000000</v>
      </c>
      <c r="J43" s="21">
        <f>CEILING(('Rincian Biaya'!K30-'Rincian Biaya'!K26-'Rincian Biaya'!K27)/(1-'Input Tarif'!$D$13-'Input Tarif'!$D$14-'Input Tarif'!$D$28),'Input Tarif'!$D$27)</f>
        <v>28000000</v>
      </c>
    </row>
    <row r="44" spans="2:10" ht="15" customHeight="1" x14ac:dyDescent="0.2">
      <c r="B44" s="2" t="s">
        <v>107</v>
      </c>
    </row>
    <row r="45" spans="2:10" ht="15" customHeight="1" x14ac:dyDescent="0.2">
      <c r="B45" s="2" t="s">
        <v>108</v>
      </c>
    </row>
    <row r="46" spans="2:10" ht="15" customHeight="1" x14ac:dyDescent="0.2">
      <c r="B46" s="2" t="s">
        <v>109</v>
      </c>
    </row>
    <row r="47" spans="2:10" ht="15" customHeight="1" x14ac:dyDescent="0.2">
      <c r="B47" s="2" t="s">
        <v>110</v>
      </c>
    </row>
    <row r="48" spans="2:10" ht="15" customHeight="1" x14ac:dyDescent="0.2">
      <c r="B48" s="2" t="s">
        <v>111</v>
      </c>
    </row>
  </sheetData>
  <conditionalFormatting sqref="C23:F23">
    <cfRule type="expression" dxfId="1" priority="2">
      <formula>C23="Memenuhi target"</formula>
    </cfRule>
    <cfRule type="expression" dxfId="0" priority="3">
      <formula>C23="Di bawah target"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40" customWidth="1"/>
    <col min="3" max="3" width="20" customWidth="1"/>
    <col min="4" max="4" width="16" customWidth="1"/>
    <col min="5" max="5" width="18" customWidth="1"/>
    <col min="6" max="6" width="70" customWidth="1"/>
  </cols>
  <sheetData>
    <row r="1" spans="1:6" ht="17.25" customHeight="1" x14ac:dyDescent="0.2">
      <c r="A1" s="1" t="s">
        <v>112</v>
      </c>
    </row>
    <row r="2" spans="1:6" ht="15" customHeight="1" x14ac:dyDescent="0.2">
      <c r="A2" s="2" t="s">
        <v>113</v>
      </c>
    </row>
    <row r="4" spans="1:6" ht="15" customHeight="1" x14ac:dyDescent="0.2">
      <c r="A4" s="3" t="s">
        <v>114</v>
      </c>
      <c r="B4" s="4" t="s">
        <v>115</v>
      </c>
      <c r="C4" s="4" t="s">
        <v>116</v>
      </c>
      <c r="D4" s="4" t="s">
        <v>117</v>
      </c>
      <c r="E4" s="4" t="s">
        <v>118</v>
      </c>
      <c r="F4" s="4" t="s">
        <v>119</v>
      </c>
    </row>
    <row r="5" spans="1:6" ht="42" customHeight="1" x14ac:dyDescent="0.2">
      <c r="A5" s="9" t="s">
        <v>76</v>
      </c>
      <c r="B5" s="7" t="s">
        <v>120</v>
      </c>
      <c r="C5" s="9" t="s">
        <v>121</v>
      </c>
      <c r="D5" s="27">
        <v>350000</v>
      </c>
      <c r="E5" s="28" t="s">
        <v>122</v>
      </c>
      <c r="F5" s="29" t="s">
        <v>123</v>
      </c>
    </row>
    <row r="6" spans="1:6" ht="42" customHeight="1" x14ac:dyDescent="0.2">
      <c r="A6" s="9" t="s">
        <v>76</v>
      </c>
      <c r="B6" s="7" t="s">
        <v>124</v>
      </c>
      <c r="C6" s="9" t="s">
        <v>125</v>
      </c>
      <c r="D6" s="27">
        <v>35000</v>
      </c>
      <c r="E6" s="28" t="s">
        <v>126</v>
      </c>
      <c r="F6" s="29" t="s">
        <v>127</v>
      </c>
    </row>
    <row r="7" spans="1:6" ht="42" customHeight="1" x14ac:dyDescent="0.2">
      <c r="A7" s="9" t="s">
        <v>77</v>
      </c>
      <c r="B7" s="7" t="s">
        <v>128</v>
      </c>
      <c r="C7" s="9" t="s">
        <v>129</v>
      </c>
      <c r="D7" s="27">
        <v>35000</v>
      </c>
      <c r="E7" s="28" t="s">
        <v>130</v>
      </c>
      <c r="F7" s="29" t="s">
        <v>131</v>
      </c>
    </row>
    <row r="8" spans="1:6" ht="42" customHeight="1" x14ac:dyDescent="0.2">
      <c r="A8" s="9" t="s">
        <v>77</v>
      </c>
      <c r="B8" s="7" t="s">
        <v>132</v>
      </c>
      <c r="C8" s="9" t="s">
        <v>133</v>
      </c>
      <c r="D8" s="27">
        <v>750000</v>
      </c>
      <c r="E8" s="28" t="s">
        <v>126</v>
      </c>
      <c r="F8" s="29" t="s">
        <v>134</v>
      </c>
    </row>
    <row r="9" spans="1:6" ht="42" customHeight="1" x14ac:dyDescent="0.2">
      <c r="A9" s="9" t="s">
        <v>78</v>
      </c>
      <c r="B9" s="7" t="s">
        <v>135</v>
      </c>
      <c r="C9" s="9" t="s">
        <v>125</v>
      </c>
      <c r="D9" s="27">
        <v>1500000</v>
      </c>
      <c r="E9" s="28" t="s">
        <v>122</v>
      </c>
      <c r="F9" s="29" t="s">
        <v>136</v>
      </c>
    </row>
    <row r="10" spans="1:6" ht="42" customHeight="1" x14ac:dyDescent="0.2">
      <c r="A10" s="9" t="s">
        <v>78</v>
      </c>
      <c r="B10" s="7" t="s">
        <v>137</v>
      </c>
      <c r="C10" s="9" t="s">
        <v>125</v>
      </c>
      <c r="D10" s="27">
        <v>3000000</v>
      </c>
      <c r="E10" s="28" t="s">
        <v>122</v>
      </c>
      <c r="F10" s="29" t="s">
        <v>138</v>
      </c>
    </row>
    <row r="11" spans="1:6" ht="42" customHeight="1" x14ac:dyDescent="0.2">
      <c r="A11" s="9" t="s">
        <v>79</v>
      </c>
      <c r="B11" s="7" t="s">
        <v>139</v>
      </c>
      <c r="C11" s="9" t="s">
        <v>133</v>
      </c>
      <c r="D11" s="27">
        <v>0</v>
      </c>
      <c r="E11" s="28" t="s">
        <v>140</v>
      </c>
      <c r="F11" s="29" t="s">
        <v>141</v>
      </c>
    </row>
    <row r="12" spans="1:6" ht="42" customHeight="1" x14ac:dyDescent="0.2">
      <c r="A12" s="9" t="s">
        <v>79</v>
      </c>
      <c r="B12" s="7" t="s">
        <v>142</v>
      </c>
      <c r="C12" s="9" t="s">
        <v>133</v>
      </c>
      <c r="D12" s="27">
        <v>150000</v>
      </c>
      <c r="E12" s="28" t="s">
        <v>126</v>
      </c>
      <c r="F12" s="29" t="s">
        <v>143</v>
      </c>
    </row>
    <row r="13" spans="1:6" ht="42" customHeight="1" x14ac:dyDescent="0.2">
      <c r="A13" s="9" t="s">
        <v>80</v>
      </c>
      <c r="B13" s="7" t="s">
        <v>144</v>
      </c>
      <c r="C13" s="9" t="s">
        <v>145</v>
      </c>
      <c r="D13" s="30">
        <v>0.02</v>
      </c>
      <c r="E13" s="28" t="s">
        <v>146</v>
      </c>
      <c r="F13" s="29" t="s">
        <v>147</v>
      </c>
    </row>
    <row r="14" spans="1:6" ht="42" customHeight="1" x14ac:dyDescent="0.2">
      <c r="A14" s="9" t="s">
        <v>80</v>
      </c>
      <c r="B14" s="7" t="s">
        <v>148</v>
      </c>
      <c r="C14" s="9" t="s">
        <v>145</v>
      </c>
      <c r="D14" s="30">
        <v>0</v>
      </c>
      <c r="E14" s="28" t="s">
        <v>149</v>
      </c>
      <c r="F14" s="29" t="s">
        <v>150</v>
      </c>
    </row>
    <row r="16" spans="1:6" ht="15" customHeight="1" x14ac:dyDescent="0.2">
      <c r="A16" s="5" t="s">
        <v>151</v>
      </c>
      <c r="B16" s="31"/>
      <c r="C16" s="31"/>
      <c r="D16" s="31"/>
      <c r="E16" s="31"/>
      <c r="F16" s="31"/>
    </row>
    <row r="17" spans="2:5" ht="15" customHeight="1" x14ac:dyDescent="0.2">
      <c r="B17" s="7" t="s">
        <v>152</v>
      </c>
      <c r="C17" s="9" t="s">
        <v>125</v>
      </c>
      <c r="D17" s="27">
        <v>500000</v>
      </c>
      <c r="E17" s="28" t="s">
        <v>122</v>
      </c>
    </row>
    <row r="18" spans="2:5" ht="15" customHeight="1" x14ac:dyDescent="0.2">
      <c r="B18" s="7" t="s">
        <v>153</v>
      </c>
      <c r="C18" s="9" t="s">
        <v>154</v>
      </c>
      <c r="D18" s="32">
        <v>3</v>
      </c>
      <c r="E18" s="28" t="s">
        <v>155</v>
      </c>
    </row>
    <row r="19" spans="2:5" ht="15" customHeight="1" x14ac:dyDescent="0.2">
      <c r="B19" s="7" t="s">
        <v>156</v>
      </c>
      <c r="C19" s="9" t="s">
        <v>157</v>
      </c>
      <c r="D19" s="32">
        <v>3</v>
      </c>
      <c r="E19" s="28" t="s">
        <v>122</v>
      </c>
    </row>
    <row r="20" spans="2:5" ht="15" customHeight="1" x14ac:dyDescent="0.2">
      <c r="B20" s="7" t="s">
        <v>158</v>
      </c>
      <c r="C20" s="9" t="s">
        <v>159</v>
      </c>
      <c r="D20" s="27">
        <v>20000000</v>
      </c>
      <c r="E20" s="28" t="s">
        <v>122</v>
      </c>
    </row>
    <row r="21" spans="2:5" ht="15" customHeight="1" x14ac:dyDescent="0.2">
      <c r="B21" s="7" t="s">
        <v>160</v>
      </c>
      <c r="C21" s="9" t="s">
        <v>145</v>
      </c>
      <c r="D21" s="30">
        <v>0.5</v>
      </c>
      <c r="E21" s="28" t="s">
        <v>161</v>
      </c>
    </row>
    <row r="22" spans="2:5" ht="15" customHeight="1" x14ac:dyDescent="0.2">
      <c r="B22" s="7" t="s">
        <v>162</v>
      </c>
      <c r="C22" s="9" t="s">
        <v>163</v>
      </c>
      <c r="D22" s="27">
        <v>2500000</v>
      </c>
      <c r="E22" s="28" t="s">
        <v>164</v>
      </c>
    </row>
    <row r="23" spans="2:5" ht="15" customHeight="1" x14ac:dyDescent="0.2">
      <c r="B23" s="7" t="s">
        <v>165</v>
      </c>
      <c r="C23" s="9" t="s">
        <v>163</v>
      </c>
      <c r="D23" s="27">
        <v>2000000</v>
      </c>
      <c r="E23" s="28" t="s">
        <v>164</v>
      </c>
    </row>
    <row r="24" spans="2:5" ht="15" customHeight="1" x14ac:dyDescent="0.2">
      <c r="B24" s="7" t="s">
        <v>166</v>
      </c>
      <c r="C24" s="9" t="s">
        <v>163</v>
      </c>
      <c r="D24" s="27">
        <v>3000000</v>
      </c>
      <c r="E24" s="28" t="s">
        <v>164</v>
      </c>
    </row>
    <row r="25" spans="2:5" ht="15" customHeight="1" x14ac:dyDescent="0.2">
      <c r="B25" s="7" t="s">
        <v>167</v>
      </c>
      <c r="C25" s="9" t="s">
        <v>145</v>
      </c>
      <c r="D25" s="30">
        <v>0.15</v>
      </c>
      <c r="E25" s="28" t="s">
        <v>168</v>
      </c>
    </row>
    <row r="26" spans="2:5" ht="15" customHeight="1" x14ac:dyDescent="0.2">
      <c r="B26" s="7" t="s">
        <v>169</v>
      </c>
      <c r="C26" s="9" t="s">
        <v>145</v>
      </c>
      <c r="D26" s="30">
        <v>0.26</v>
      </c>
      <c r="E26" s="28" t="s">
        <v>168</v>
      </c>
    </row>
    <row r="27" spans="2:5" ht="15" customHeight="1" x14ac:dyDescent="0.2">
      <c r="B27" s="7" t="s">
        <v>170</v>
      </c>
      <c r="C27" s="9" t="s">
        <v>163</v>
      </c>
      <c r="D27" s="27">
        <v>500000</v>
      </c>
      <c r="E27" s="28" t="s">
        <v>171</v>
      </c>
    </row>
    <row r="28" spans="2:5" x14ac:dyDescent="0.2">
      <c r="B28" s="7" t="s">
        <v>172</v>
      </c>
      <c r="C28" s="9" t="s">
        <v>145</v>
      </c>
      <c r="D28" s="30">
        <v>0.36</v>
      </c>
      <c r="E28" s="28" t="s">
        <v>173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16" customWidth="1"/>
    <col min="2" max="2" width="36" customWidth="1"/>
    <col min="3" max="3" width="14" customWidth="1"/>
    <col min="4" max="4" width="18" customWidth="1"/>
    <col min="5" max="5" width="26" customWidth="1"/>
    <col min="6" max="6" width="18" customWidth="1"/>
    <col min="7" max="7" width="13" customWidth="1"/>
    <col min="8" max="8" width="18" customWidth="1"/>
    <col min="9" max="9" width="26" customWidth="1"/>
    <col min="10" max="10" width="18" customWidth="1"/>
    <col min="11" max="11" width="13" customWidth="1"/>
  </cols>
  <sheetData>
    <row r="1" spans="1:11" ht="17.25" customHeight="1" x14ac:dyDescent="0.2">
      <c r="A1" s="1" t="s">
        <v>174</v>
      </c>
    </row>
    <row r="2" spans="1:11" ht="15" customHeight="1" x14ac:dyDescent="0.2">
      <c r="A2" s="2" t="s">
        <v>175</v>
      </c>
    </row>
    <row r="4" spans="1:11" ht="15" customHeight="1" x14ac:dyDescent="0.2">
      <c r="A4" s="3" t="s">
        <v>176</v>
      </c>
      <c r="B4" s="4" t="s">
        <v>177</v>
      </c>
      <c r="C4" s="4" t="s">
        <v>116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1" ht="15" customHeight="1" x14ac:dyDescent="0.2">
      <c r="A5" s="9" t="s">
        <v>178</v>
      </c>
      <c r="B5" s="7" t="s">
        <v>179</v>
      </c>
      <c r="C5" s="9" t="s">
        <v>163</v>
      </c>
      <c r="D5" s="27">
        <v>12000000</v>
      </c>
      <c r="E5" s="27">
        <v>11000000</v>
      </c>
      <c r="F5" s="27">
        <v>20000000</v>
      </c>
      <c r="G5" s="27">
        <v>31500000</v>
      </c>
      <c r="H5" s="27">
        <v>11500000</v>
      </c>
      <c r="I5" s="27">
        <v>10500000</v>
      </c>
      <c r="J5" s="27">
        <v>17500000</v>
      </c>
      <c r="K5" s="27">
        <v>28500000</v>
      </c>
    </row>
    <row r="6" spans="1:11" ht="15" customHeight="1" x14ac:dyDescent="0.2">
      <c r="A6" s="9" t="s">
        <v>178</v>
      </c>
      <c r="B6" s="7" t="s">
        <v>180</v>
      </c>
      <c r="C6" s="9" t="s">
        <v>145</v>
      </c>
      <c r="D6" s="30">
        <v>0.36</v>
      </c>
      <c r="E6" s="30">
        <v>0.2</v>
      </c>
      <c r="F6" s="30">
        <v>0.36</v>
      </c>
      <c r="G6" s="30">
        <v>0.36</v>
      </c>
      <c r="H6" s="41">
        <f t="shared" ref="H6:K8" si="0">D6</f>
        <v>0.36</v>
      </c>
      <c r="I6" s="41">
        <f t="shared" si="0"/>
        <v>0.2</v>
      </c>
      <c r="J6" s="41">
        <f t="shared" si="0"/>
        <v>0.36</v>
      </c>
      <c r="K6" s="41">
        <f t="shared" si="0"/>
        <v>0.36</v>
      </c>
    </row>
    <row r="7" spans="1:11" ht="15" customHeight="1" x14ac:dyDescent="0.2">
      <c r="A7" s="9" t="s">
        <v>178</v>
      </c>
      <c r="B7" s="7" t="s">
        <v>181</v>
      </c>
      <c r="C7" s="9" t="s">
        <v>182</v>
      </c>
      <c r="D7" s="30">
        <v>1</v>
      </c>
      <c r="E7" s="30">
        <v>1</v>
      </c>
      <c r="F7" s="30">
        <v>1</v>
      </c>
      <c r="G7" s="30">
        <v>1</v>
      </c>
      <c r="H7" s="41">
        <f t="shared" si="0"/>
        <v>1</v>
      </c>
      <c r="I7" s="41">
        <f t="shared" si="0"/>
        <v>1</v>
      </c>
      <c r="J7" s="41">
        <f t="shared" si="0"/>
        <v>1</v>
      </c>
      <c r="K7" s="41">
        <f t="shared" si="0"/>
        <v>1</v>
      </c>
    </row>
    <row r="8" spans="1:11" ht="15" customHeight="1" x14ac:dyDescent="0.2">
      <c r="A8" s="9" t="s">
        <v>183</v>
      </c>
      <c r="B8" s="7" t="s">
        <v>184</v>
      </c>
      <c r="C8" s="9" t="s">
        <v>154</v>
      </c>
      <c r="D8" s="32">
        <v>15</v>
      </c>
      <c r="E8" s="32">
        <v>15</v>
      </c>
      <c r="F8" s="32">
        <v>24</v>
      </c>
      <c r="G8" s="32">
        <v>36</v>
      </c>
      <c r="H8" s="42">
        <f t="shared" si="0"/>
        <v>15</v>
      </c>
      <c r="I8" s="42">
        <f t="shared" si="0"/>
        <v>15</v>
      </c>
      <c r="J8" s="42">
        <f t="shared" si="0"/>
        <v>24</v>
      </c>
      <c r="K8" s="42">
        <f t="shared" si="0"/>
        <v>36</v>
      </c>
    </row>
    <row r="9" spans="1:11" ht="15" customHeight="1" x14ac:dyDescent="0.2">
      <c r="A9" s="9" t="s">
        <v>183</v>
      </c>
      <c r="B9" s="7" t="s">
        <v>185</v>
      </c>
      <c r="C9" s="9" t="s">
        <v>186</v>
      </c>
      <c r="D9" s="33">
        <f>D8/'Input Tarif'!$D$18</f>
        <v>5</v>
      </c>
      <c r="E9" s="33">
        <f>E8/'Input Tarif'!$D$18</f>
        <v>5</v>
      </c>
      <c r="F9" s="33">
        <f>F8/'Input Tarif'!$D$18</f>
        <v>8</v>
      </c>
      <c r="G9" s="33">
        <f>G8/'Input Tarif'!$D$18</f>
        <v>12</v>
      </c>
      <c r="H9" s="33">
        <f>H8/'Input Tarif'!$D$18</f>
        <v>5</v>
      </c>
      <c r="I9" s="33">
        <f>I8/'Input Tarif'!$D$18</f>
        <v>5</v>
      </c>
      <c r="J9" s="33">
        <f>J8/'Input Tarif'!$D$18</f>
        <v>8</v>
      </c>
      <c r="K9" s="33">
        <f>K8/'Input Tarif'!$D$18</f>
        <v>12</v>
      </c>
    </row>
    <row r="10" spans="1:11" ht="15" customHeight="1" x14ac:dyDescent="0.2">
      <c r="A10" s="9" t="s">
        <v>183</v>
      </c>
      <c r="B10" s="7" t="s">
        <v>187</v>
      </c>
      <c r="C10" s="9" t="s">
        <v>188</v>
      </c>
      <c r="D10" s="32">
        <v>0</v>
      </c>
      <c r="E10" s="32">
        <v>1</v>
      </c>
      <c r="F10" s="32">
        <v>1</v>
      </c>
      <c r="G10" s="32">
        <v>2</v>
      </c>
      <c r="H10" s="42">
        <f t="shared" ref="H10:K12" si="1">D10</f>
        <v>0</v>
      </c>
      <c r="I10" s="42">
        <f t="shared" si="1"/>
        <v>1</v>
      </c>
      <c r="J10" s="42">
        <f t="shared" si="1"/>
        <v>1</v>
      </c>
      <c r="K10" s="42">
        <f t="shared" si="1"/>
        <v>2</v>
      </c>
    </row>
    <row r="11" spans="1:11" ht="15" customHeight="1" x14ac:dyDescent="0.2">
      <c r="A11" s="9" t="s">
        <v>183</v>
      </c>
      <c r="B11" s="7" t="s">
        <v>189</v>
      </c>
      <c r="C11" s="9" t="s">
        <v>190</v>
      </c>
      <c r="D11" s="32">
        <v>0</v>
      </c>
      <c r="E11" s="32">
        <v>1</v>
      </c>
      <c r="F11" s="32">
        <v>1</v>
      </c>
      <c r="G11" s="32">
        <v>1</v>
      </c>
      <c r="H11" s="42">
        <f t="shared" si="1"/>
        <v>0</v>
      </c>
      <c r="I11" s="42">
        <f t="shared" si="1"/>
        <v>1</v>
      </c>
      <c r="J11" s="42">
        <f t="shared" si="1"/>
        <v>1</v>
      </c>
      <c r="K11" s="42">
        <f t="shared" si="1"/>
        <v>1</v>
      </c>
    </row>
    <row r="12" spans="1:11" ht="15" customHeight="1" x14ac:dyDescent="0.2">
      <c r="A12" s="9" t="s">
        <v>183</v>
      </c>
      <c r="B12" s="7" t="s">
        <v>191</v>
      </c>
      <c r="C12" s="9" t="s">
        <v>190</v>
      </c>
      <c r="D12" s="32">
        <v>0</v>
      </c>
      <c r="E12" s="32">
        <v>0</v>
      </c>
      <c r="F12" s="32">
        <v>0</v>
      </c>
      <c r="G12" s="32">
        <v>1</v>
      </c>
      <c r="H12" s="42">
        <f t="shared" si="1"/>
        <v>0</v>
      </c>
      <c r="I12" s="42">
        <f t="shared" si="1"/>
        <v>0</v>
      </c>
      <c r="J12" s="42">
        <f t="shared" si="1"/>
        <v>0</v>
      </c>
      <c r="K12" s="42">
        <f t="shared" si="1"/>
        <v>1</v>
      </c>
    </row>
    <row r="13" spans="1:11" ht="15" customHeight="1" x14ac:dyDescent="0.2">
      <c r="A13" s="9" t="s">
        <v>183</v>
      </c>
      <c r="B13" s="7" t="s">
        <v>192</v>
      </c>
      <c r="C13" s="9" t="s">
        <v>154</v>
      </c>
      <c r="D13" s="32">
        <v>1</v>
      </c>
      <c r="E13" s="32">
        <v>1</v>
      </c>
      <c r="F13" s="32">
        <v>1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</row>
    <row r="14" spans="1:11" ht="15" customHeight="1" x14ac:dyDescent="0.2">
      <c r="A14" s="9" t="s">
        <v>183</v>
      </c>
      <c r="B14" s="7" t="s">
        <v>193</v>
      </c>
      <c r="C14" s="9" t="s">
        <v>154</v>
      </c>
      <c r="D14" s="32">
        <v>0</v>
      </c>
      <c r="E14" s="32">
        <v>0</v>
      </c>
      <c r="F14" s="32">
        <v>0</v>
      </c>
      <c r="G14" s="32">
        <v>1</v>
      </c>
      <c r="H14" s="32">
        <v>0</v>
      </c>
      <c r="I14" s="32">
        <v>0</v>
      </c>
      <c r="J14" s="32">
        <v>0</v>
      </c>
      <c r="K14" s="32">
        <v>0</v>
      </c>
    </row>
    <row r="15" spans="1:11" x14ac:dyDescent="0.2">
      <c r="A15" s="9" t="s">
        <v>183</v>
      </c>
      <c r="B15" s="7" t="s">
        <v>194</v>
      </c>
      <c r="C15" s="9" t="s">
        <v>186</v>
      </c>
      <c r="D15" s="43">
        <f>D8</f>
        <v>15</v>
      </c>
      <c r="E15" s="43">
        <f>E8</f>
        <v>15</v>
      </c>
      <c r="F15" s="43">
        <f>F8</f>
        <v>24</v>
      </c>
      <c r="G15" s="43">
        <f>G8</f>
        <v>36</v>
      </c>
      <c r="H15" s="43">
        <f>D15</f>
        <v>15</v>
      </c>
      <c r="I15" s="43">
        <f>E15</f>
        <v>15</v>
      </c>
      <c r="J15" s="43">
        <f>F15</f>
        <v>24</v>
      </c>
      <c r="K15" s="43">
        <f>G15</f>
        <v>36</v>
      </c>
    </row>
    <row r="16" spans="1:11" ht="15" customHeight="1" x14ac:dyDescent="0.2">
      <c r="A16" s="2" t="s">
        <v>195</v>
      </c>
    </row>
    <row r="17" spans="1:1" x14ac:dyDescent="0.2">
      <c r="A17" s="2" t="s">
        <v>196</v>
      </c>
    </row>
    <row r="18" spans="1:1" x14ac:dyDescent="0.2">
      <c r="A18" s="2" t="s">
        <v>197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4" customWidth="1"/>
    <col min="2" max="2" width="30" customWidth="1"/>
    <col min="3" max="3" width="26" customWidth="1"/>
    <col min="4" max="4" width="18" customWidth="1"/>
    <col min="5" max="5" width="26" customWidth="1"/>
    <col min="6" max="6" width="18" customWidth="1"/>
    <col min="7" max="7" width="13" customWidth="1"/>
    <col min="8" max="8" width="18" customWidth="1"/>
    <col min="9" max="9" width="26" customWidth="1"/>
    <col min="10" max="10" width="18" customWidth="1"/>
    <col min="11" max="11" width="13" customWidth="1"/>
  </cols>
  <sheetData>
    <row r="1" spans="1:11" ht="17.25" customHeight="1" x14ac:dyDescent="0.2">
      <c r="A1" s="1" t="s">
        <v>198</v>
      </c>
    </row>
    <row r="2" spans="1:11" ht="15" customHeight="1" x14ac:dyDescent="0.2">
      <c r="A2" s="2" t="s">
        <v>199</v>
      </c>
    </row>
    <row r="4" spans="1:11" ht="15" customHeight="1" x14ac:dyDescent="0.2">
      <c r="A4" s="3" t="s">
        <v>114</v>
      </c>
      <c r="B4" s="4" t="s">
        <v>115</v>
      </c>
      <c r="C4" s="4" t="s">
        <v>200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</row>
    <row r="5" spans="1:11" ht="15" customHeight="1" x14ac:dyDescent="0.2">
      <c r="A5" s="5" t="s">
        <v>76</v>
      </c>
      <c r="B5" s="34"/>
      <c r="C5" s="34"/>
      <c r="D5" s="34"/>
      <c r="E5" s="34"/>
      <c r="F5" s="34"/>
      <c r="G5" s="34"/>
      <c r="H5" s="34"/>
      <c r="I5" s="34"/>
      <c r="J5" s="34"/>
      <c r="K5" s="34"/>
    </row>
    <row r="6" spans="1:11" ht="15" customHeight="1" x14ac:dyDescent="0.2">
      <c r="A6" s="9"/>
      <c r="B6" s="9" t="s">
        <v>201</v>
      </c>
      <c r="C6" s="28" t="s">
        <v>202</v>
      </c>
      <c r="D6" s="35">
        <f>'Desain Program'!D8*'Desain Program'!D7*'Input Tarif'!$D$5</f>
        <v>5250000</v>
      </c>
      <c r="E6" s="35">
        <f>'Desain Program'!E8*'Desain Program'!E7*'Input Tarif'!$D$5</f>
        <v>5250000</v>
      </c>
      <c r="F6" s="35">
        <f>'Desain Program'!F8*'Desain Program'!F7*'Input Tarif'!$D$5</f>
        <v>8400000</v>
      </c>
      <c r="G6" s="35">
        <f>'Desain Program'!G8*'Desain Program'!G7*'Input Tarif'!$D$5</f>
        <v>12600000</v>
      </c>
      <c r="H6" s="35">
        <f>'Desain Program'!H8*'Desain Program'!H7*'Input Tarif'!$D$5</f>
        <v>5250000</v>
      </c>
      <c r="I6" s="35">
        <f>'Desain Program'!I8*'Desain Program'!I7*'Input Tarif'!$D$5</f>
        <v>5250000</v>
      </c>
      <c r="J6" s="35">
        <f>'Desain Program'!J8*'Desain Program'!J7*'Input Tarif'!$D$5</f>
        <v>8400000</v>
      </c>
      <c r="K6" s="35">
        <f>'Desain Program'!K8*'Desain Program'!K7*'Input Tarif'!$D$5</f>
        <v>12600000</v>
      </c>
    </row>
    <row r="7" spans="1:11" ht="15" customHeight="1" x14ac:dyDescent="0.2">
      <c r="A7" s="9"/>
      <c r="B7" s="9" t="s">
        <v>124</v>
      </c>
      <c r="C7" s="28" t="s">
        <v>203</v>
      </c>
      <c r="D7" s="35">
        <f>'Desain Program'!D8*'Input Tarif'!$D$6</f>
        <v>525000</v>
      </c>
      <c r="E7" s="35">
        <f>'Desain Program'!E8*'Input Tarif'!$D$6</f>
        <v>525000</v>
      </c>
      <c r="F7" s="35">
        <f>'Desain Program'!F8*'Input Tarif'!$D$6</f>
        <v>840000</v>
      </c>
      <c r="G7" s="35">
        <f>'Desain Program'!G8*'Input Tarif'!$D$6</f>
        <v>1260000</v>
      </c>
      <c r="H7" s="35">
        <f>'Desain Program'!H8*'Input Tarif'!$D$6</f>
        <v>525000</v>
      </c>
      <c r="I7" s="35">
        <f>'Desain Program'!I8*'Input Tarif'!$D$6</f>
        <v>525000</v>
      </c>
      <c r="J7" s="35">
        <f>'Desain Program'!J8*'Input Tarif'!$D$6</f>
        <v>840000</v>
      </c>
      <c r="K7" s="35">
        <f>'Desain Program'!K8*'Input Tarif'!$D$6</f>
        <v>1260000</v>
      </c>
    </row>
    <row r="8" spans="1:11" ht="15" customHeight="1" x14ac:dyDescent="0.2">
      <c r="A8" s="36"/>
      <c r="B8" s="37" t="s">
        <v>204</v>
      </c>
      <c r="C8" s="36"/>
      <c r="D8" s="38">
        <f t="shared" ref="D8:K8" si="0">SUM(D6:D7)</f>
        <v>5775000</v>
      </c>
      <c r="E8" s="38">
        <f t="shared" si="0"/>
        <v>5775000</v>
      </c>
      <c r="F8" s="38">
        <f t="shared" si="0"/>
        <v>9240000</v>
      </c>
      <c r="G8" s="38">
        <f t="shared" si="0"/>
        <v>13860000</v>
      </c>
      <c r="H8" s="38">
        <f t="shared" si="0"/>
        <v>5775000</v>
      </c>
      <c r="I8" s="38">
        <f t="shared" si="0"/>
        <v>5775000</v>
      </c>
      <c r="J8" s="38">
        <f t="shared" si="0"/>
        <v>9240000</v>
      </c>
      <c r="K8" s="38">
        <f t="shared" si="0"/>
        <v>13860000</v>
      </c>
    </row>
    <row r="10" spans="1:11" ht="15" customHeight="1" x14ac:dyDescent="0.2">
      <c r="A10" s="5" t="s">
        <v>77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</row>
    <row r="11" spans="1:11" ht="15" customHeight="1" x14ac:dyDescent="0.2">
      <c r="A11" s="9"/>
      <c r="B11" s="9" t="s">
        <v>205</v>
      </c>
      <c r="C11" s="28" t="s">
        <v>206</v>
      </c>
      <c r="D11" s="35">
        <f>'Desain Program'!D10*'Desain Program'!D15*'Input Tarif'!$D$7</f>
        <v>0</v>
      </c>
      <c r="E11" s="35">
        <f>'Desain Program'!E10*'Desain Program'!E15*'Input Tarif'!$D$7</f>
        <v>525000</v>
      </c>
      <c r="F11" s="35">
        <f>'Desain Program'!F10*'Desain Program'!F15*'Input Tarif'!$D$7</f>
        <v>840000</v>
      </c>
      <c r="G11" s="35">
        <f>'Desain Program'!G10*'Desain Program'!G15*'Input Tarif'!$D$7</f>
        <v>2520000</v>
      </c>
      <c r="H11" s="35">
        <f>'Desain Program'!H10*'Desain Program'!H15*'Input Tarif'!$D$7</f>
        <v>0</v>
      </c>
      <c r="I11" s="35">
        <f>'Desain Program'!I10*'Desain Program'!I15*'Input Tarif'!$D$7</f>
        <v>525000</v>
      </c>
      <c r="J11" s="35">
        <f>'Desain Program'!J10*'Desain Program'!J15*'Input Tarif'!$D$7</f>
        <v>840000</v>
      </c>
      <c r="K11" s="35">
        <f>'Desain Program'!K10*'Desain Program'!K15*'Input Tarif'!$D$7</f>
        <v>2520000</v>
      </c>
    </row>
    <row r="12" spans="1:11" ht="15" customHeight="1" x14ac:dyDescent="0.2">
      <c r="A12" s="9"/>
      <c r="B12" s="9" t="s">
        <v>207</v>
      </c>
      <c r="C12" s="28" t="s">
        <v>208</v>
      </c>
      <c r="D12" s="35">
        <f>'Desain Program'!D11*'Input Tarif'!$D$8</f>
        <v>0</v>
      </c>
      <c r="E12" s="35">
        <f>'Desain Program'!E11*'Input Tarif'!$D$8</f>
        <v>750000</v>
      </c>
      <c r="F12" s="35">
        <f>'Desain Program'!F11*'Input Tarif'!$D$8</f>
        <v>750000</v>
      </c>
      <c r="G12" s="35">
        <f>'Desain Program'!G11*'Input Tarif'!$D$8</f>
        <v>750000</v>
      </c>
      <c r="H12" s="35">
        <f>'Desain Program'!H11*'Input Tarif'!$D$8</f>
        <v>0</v>
      </c>
      <c r="I12" s="35">
        <f>'Desain Program'!I11*'Input Tarif'!$D$8</f>
        <v>750000</v>
      </c>
      <c r="J12" s="35">
        <f>'Desain Program'!J11*'Input Tarif'!$D$8</f>
        <v>750000</v>
      </c>
      <c r="K12" s="35">
        <f>'Desain Program'!K11*'Input Tarif'!$D$8</f>
        <v>750000</v>
      </c>
    </row>
    <row r="13" spans="1:11" ht="15" customHeight="1" x14ac:dyDescent="0.2">
      <c r="A13" s="36"/>
      <c r="B13" s="37" t="s">
        <v>209</v>
      </c>
      <c r="C13" s="36"/>
      <c r="D13" s="38">
        <f t="shared" ref="D13:K13" si="1">SUM(D11:D12)</f>
        <v>0</v>
      </c>
      <c r="E13" s="38">
        <f t="shared" si="1"/>
        <v>1275000</v>
      </c>
      <c r="F13" s="38">
        <f t="shared" si="1"/>
        <v>1590000</v>
      </c>
      <c r="G13" s="38">
        <f t="shared" si="1"/>
        <v>3270000</v>
      </c>
      <c r="H13" s="38">
        <f t="shared" si="1"/>
        <v>0</v>
      </c>
      <c r="I13" s="38">
        <f t="shared" si="1"/>
        <v>1275000</v>
      </c>
      <c r="J13" s="38">
        <f t="shared" si="1"/>
        <v>1590000</v>
      </c>
      <c r="K13" s="38">
        <f t="shared" si="1"/>
        <v>3270000</v>
      </c>
    </row>
    <row r="15" spans="1:11" ht="15" customHeight="1" x14ac:dyDescent="0.2">
      <c r="A15" s="5" t="s">
        <v>78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</row>
    <row r="16" spans="1:11" ht="15" customHeight="1" x14ac:dyDescent="0.2">
      <c r="A16" s="9"/>
      <c r="B16" s="9" t="s">
        <v>210</v>
      </c>
      <c r="C16" s="28" t="s">
        <v>203</v>
      </c>
      <c r="D16" s="35">
        <f>'Desain Program'!D13*'Input Tarif'!$D$9</f>
        <v>1500000</v>
      </c>
      <c r="E16" s="35">
        <f>'Desain Program'!E13*'Input Tarif'!$D$9</f>
        <v>1500000</v>
      </c>
      <c r="F16" s="35">
        <f>'Desain Program'!F13*'Input Tarif'!$D$9</f>
        <v>1500000</v>
      </c>
      <c r="G16" s="35">
        <f>'Desain Program'!G13*'Input Tarif'!$D$9</f>
        <v>0</v>
      </c>
      <c r="H16" s="35">
        <f>'Desain Program'!H13*'Input Tarif'!$D$9</f>
        <v>0</v>
      </c>
      <c r="I16" s="35">
        <f>'Desain Program'!I13*'Input Tarif'!$D$9</f>
        <v>0</v>
      </c>
      <c r="J16" s="35">
        <f>'Desain Program'!J13*'Input Tarif'!$D$9</f>
        <v>0</v>
      </c>
      <c r="K16" s="35">
        <f>'Desain Program'!K13*'Input Tarif'!$D$9</f>
        <v>0</v>
      </c>
    </row>
    <row r="17" spans="1:11" ht="15" customHeight="1" x14ac:dyDescent="0.2">
      <c r="A17" s="9"/>
      <c r="B17" s="9" t="s">
        <v>211</v>
      </c>
      <c r="C17" s="28" t="s">
        <v>203</v>
      </c>
      <c r="D17" s="35">
        <f>'Desain Program'!D14*'Input Tarif'!$D$10</f>
        <v>0</v>
      </c>
      <c r="E17" s="35">
        <f>'Desain Program'!E14*'Input Tarif'!$D$10</f>
        <v>0</v>
      </c>
      <c r="F17" s="35">
        <f>'Desain Program'!F14*'Input Tarif'!$D$10</f>
        <v>0</v>
      </c>
      <c r="G17" s="35">
        <f>'Desain Program'!G14*'Input Tarif'!$D$10</f>
        <v>3000000</v>
      </c>
      <c r="H17" s="35">
        <f>'Desain Program'!H14*'Input Tarif'!$D$10</f>
        <v>0</v>
      </c>
      <c r="I17" s="35">
        <f>'Desain Program'!I14*'Input Tarif'!$D$10</f>
        <v>0</v>
      </c>
      <c r="J17" s="35">
        <f>'Desain Program'!J14*'Input Tarif'!$D$10</f>
        <v>0</v>
      </c>
      <c r="K17" s="35">
        <f>'Desain Program'!K14*'Input Tarif'!$D$10</f>
        <v>0</v>
      </c>
    </row>
    <row r="18" spans="1:11" ht="15" customHeight="1" x14ac:dyDescent="0.2">
      <c r="A18" s="36"/>
      <c r="B18" s="37" t="s">
        <v>212</v>
      </c>
      <c r="C18" s="36"/>
      <c r="D18" s="38">
        <f t="shared" ref="D18:K18" si="2">SUM(D16:D17)</f>
        <v>1500000</v>
      </c>
      <c r="E18" s="38">
        <f t="shared" si="2"/>
        <v>1500000</v>
      </c>
      <c r="F18" s="38">
        <f t="shared" si="2"/>
        <v>1500000</v>
      </c>
      <c r="G18" s="38">
        <f t="shared" si="2"/>
        <v>3000000</v>
      </c>
      <c r="H18" s="38">
        <f t="shared" si="2"/>
        <v>0</v>
      </c>
      <c r="I18" s="38">
        <f t="shared" si="2"/>
        <v>0</v>
      </c>
      <c r="J18" s="38">
        <f t="shared" si="2"/>
        <v>0</v>
      </c>
      <c r="K18" s="38">
        <f t="shared" si="2"/>
        <v>0</v>
      </c>
    </row>
    <row r="20" spans="1:11" ht="15" customHeight="1" x14ac:dyDescent="0.2">
      <c r="A20" s="5" t="s">
        <v>79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ht="15" customHeight="1" x14ac:dyDescent="0.2">
      <c r="A21" s="9"/>
      <c r="B21" s="9" t="s">
        <v>139</v>
      </c>
      <c r="C21" s="28" t="s">
        <v>213</v>
      </c>
      <c r="D21" s="35">
        <f>'Input Tarif'!$D$11</f>
        <v>0</v>
      </c>
      <c r="E21" s="35">
        <f>'Input Tarif'!$D$11</f>
        <v>0</v>
      </c>
      <c r="F21" s="35">
        <f>'Input Tarif'!$D$11</f>
        <v>0</v>
      </c>
      <c r="G21" s="35">
        <f>'Input Tarif'!$D$11</f>
        <v>0</v>
      </c>
      <c r="H21" s="35">
        <f>'Input Tarif'!$D$11</f>
        <v>0</v>
      </c>
      <c r="I21" s="35">
        <f>'Input Tarif'!$D$11</f>
        <v>0</v>
      </c>
      <c r="J21" s="35">
        <f>'Input Tarif'!$D$11</f>
        <v>0</v>
      </c>
      <c r="K21" s="35">
        <f>'Input Tarif'!$D$11</f>
        <v>0</v>
      </c>
    </row>
    <row r="22" spans="1:11" ht="15" customHeight="1" x14ac:dyDescent="0.2">
      <c r="A22" s="9"/>
      <c r="B22" s="9" t="s">
        <v>142</v>
      </c>
      <c r="C22" s="28" t="s">
        <v>213</v>
      </c>
      <c r="D22" s="35">
        <f>'Input Tarif'!$D$12</f>
        <v>150000</v>
      </c>
      <c r="E22" s="35">
        <f>'Input Tarif'!$D$12</f>
        <v>150000</v>
      </c>
      <c r="F22" s="35">
        <f>'Input Tarif'!$D$12</f>
        <v>150000</v>
      </c>
      <c r="G22" s="35">
        <f>'Input Tarif'!$D$12</f>
        <v>150000</v>
      </c>
      <c r="H22" s="35">
        <f>'Input Tarif'!$D$12</f>
        <v>150000</v>
      </c>
      <c r="I22" s="35">
        <f>'Input Tarif'!$D$12</f>
        <v>150000</v>
      </c>
      <c r="J22" s="35">
        <f>'Input Tarif'!$D$12</f>
        <v>150000</v>
      </c>
      <c r="K22" s="35">
        <f>'Input Tarif'!$D$12</f>
        <v>150000</v>
      </c>
    </row>
    <row r="23" spans="1:11" ht="15" customHeight="1" x14ac:dyDescent="0.2">
      <c r="A23" s="36"/>
      <c r="B23" s="37" t="s">
        <v>214</v>
      </c>
      <c r="C23" s="36"/>
      <c r="D23" s="38">
        <f t="shared" ref="D23:K23" si="3">SUM(D21:D22)</f>
        <v>150000</v>
      </c>
      <c r="E23" s="38">
        <f t="shared" si="3"/>
        <v>150000</v>
      </c>
      <c r="F23" s="38">
        <f t="shared" si="3"/>
        <v>150000</v>
      </c>
      <c r="G23" s="38">
        <f t="shared" si="3"/>
        <v>150000</v>
      </c>
      <c r="H23" s="38">
        <f t="shared" si="3"/>
        <v>150000</v>
      </c>
      <c r="I23" s="38">
        <f t="shared" si="3"/>
        <v>150000</v>
      </c>
      <c r="J23" s="38">
        <f t="shared" si="3"/>
        <v>150000</v>
      </c>
      <c r="K23" s="38">
        <f t="shared" si="3"/>
        <v>150000</v>
      </c>
    </row>
    <row r="25" spans="1:11" ht="15" customHeight="1" x14ac:dyDescent="0.2">
      <c r="A25" s="5" t="s">
        <v>80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ht="15" customHeight="1" x14ac:dyDescent="0.2">
      <c r="A26" s="9"/>
      <c r="B26" s="9" t="s">
        <v>215</v>
      </c>
      <c r="C26" s="28" t="s">
        <v>216</v>
      </c>
      <c r="D26" s="35">
        <f>'Desain Program'!D5*'Input Tarif'!$D$13</f>
        <v>240000</v>
      </c>
      <c r="E26" s="35">
        <f>'Desain Program'!E5*'Input Tarif'!$D$13</f>
        <v>220000</v>
      </c>
      <c r="F26" s="35">
        <f>'Desain Program'!F5*'Input Tarif'!$D$13</f>
        <v>400000</v>
      </c>
      <c r="G26" s="35">
        <f>'Desain Program'!G5*'Input Tarif'!$D$13</f>
        <v>630000</v>
      </c>
      <c r="H26" s="35">
        <f>'Desain Program'!H5*'Input Tarif'!$D$13</f>
        <v>230000</v>
      </c>
      <c r="I26" s="35">
        <f>'Desain Program'!I5*'Input Tarif'!$D$13</f>
        <v>210000</v>
      </c>
      <c r="J26" s="35">
        <f>'Desain Program'!J5*'Input Tarif'!$D$13</f>
        <v>350000</v>
      </c>
      <c r="K26" s="35">
        <f>'Desain Program'!K5*'Input Tarif'!$D$13</f>
        <v>570000</v>
      </c>
    </row>
    <row r="27" spans="1:11" ht="15" customHeight="1" x14ac:dyDescent="0.2">
      <c r="A27" s="9"/>
      <c r="B27" s="9" t="s">
        <v>217</v>
      </c>
      <c r="C27" s="28" t="s">
        <v>216</v>
      </c>
      <c r="D27" s="35">
        <f>'Desain Program'!D5*'Input Tarif'!$D$14</f>
        <v>0</v>
      </c>
      <c r="E27" s="35">
        <f>'Desain Program'!E5*'Input Tarif'!$D$14</f>
        <v>0</v>
      </c>
      <c r="F27" s="35">
        <f>'Desain Program'!F5*'Input Tarif'!$D$14</f>
        <v>0</v>
      </c>
      <c r="G27" s="35">
        <f>'Desain Program'!G5*'Input Tarif'!$D$14</f>
        <v>0</v>
      </c>
      <c r="H27" s="35">
        <f>'Desain Program'!H5*'Input Tarif'!$D$14</f>
        <v>0</v>
      </c>
      <c r="I27" s="35">
        <f>'Desain Program'!I5*'Input Tarif'!$D$14</f>
        <v>0</v>
      </c>
      <c r="J27" s="35">
        <f>'Desain Program'!J5*'Input Tarif'!$D$14</f>
        <v>0</v>
      </c>
      <c r="K27" s="35">
        <f>'Desain Program'!K5*'Input Tarif'!$D$14</f>
        <v>0</v>
      </c>
    </row>
    <row r="28" spans="1:11" ht="15" customHeight="1" x14ac:dyDescent="0.2">
      <c r="A28" s="36"/>
      <c r="B28" s="37" t="s">
        <v>218</v>
      </c>
      <c r="C28" s="36"/>
      <c r="D28" s="38">
        <f t="shared" ref="D28:K28" si="4">SUM(D26:D27)</f>
        <v>240000</v>
      </c>
      <c r="E28" s="38">
        <f t="shared" si="4"/>
        <v>220000</v>
      </c>
      <c r="F28" s="38">
        <f t="shared" si="4"/>
        <v>400000</v>
      </c>
      <c r="G28" s="38">
        <f t="shared" si="4"/>
        <v>630000</v>
      </c>
      <c r="H28" s="38">
        <f t="shared" si="4"/>
        <v>230000</v>
      </c>
      <c r="I28" s="38">
        <f t="shared" si="4"/>
        <v>210000</v>
      </c>
      <c r="J28" s="38">
        <f t="shared" si="4"/>
        <v>350000</v>
      </c>
      <c r="K28" s="38">
        <f t="shared" si="4"/>
        <v>570000</v>
      </c>
    </row>
    <row r="30" spans="1:11" ht="15" customHeight="1" x14ac:dyDescent="0.2">
      <c r="A30" s="39"/>
      <c r="B30" s="13" t="s">
        <v>219</v>
      </c>
      <c r="C30" s="39"/>
      <c r="D30" s="40">
        <f t="shared" ref="D30:K30" si="5">D8+D13+D18+D23+D28</f>
        <v>7665000</v>
      </c>
      <c r="E30" s="40">
        <f t="shared" si="5"/>
        <v>8920000</v>
      </c>
      <c r="F30" s="40">
        <f t="shared" si="5"/>
        <v>12880000</v>
      </c>
      <c r="G30" s="40">
        <f t="shared" si="5"/>
        <v>20910000</v>
      </c>
      <c r="H30" s="40">
        <f t="shared" si="5"/>
        <v>6155000</v>
      </c>
      <c r="I30" s="40">
        <f t="shared" si="5"/>
        <v>7410000</v>
      </c>
      <c r="J30" s="40">
        <f t="shared" si="5"/>
        <v>11330000</v>
      </c>
      <c r="K30" s="40">
        <f t="shared" si="5"/>
        <v>17850000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Ringkasan Internal</vt:lpstr>
      <vt:lpstr>2. Ringkasan Klien</vt:lpstr>
      <vt:lpstr>Analisis Lengkap</vt:lpstr>
      <vt:lpstr>Input Tarif</vt:lpstr>
      <vt:lpstr>Desain Program</vt:lpstr>
      <vt:lpstr>Rincian Biaya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Galih Muji Agung</cp:lastModifiedBy>
  <cp:revision>0</cp:revision>
  <dcterms:created xsi:type="dcterms:W3CDTF">2026-10-08T08:30:27Z</dcterms:created>
  <dcterms:modified xsi:type="dcterms:W3CDTF">2026-10-16T15:10:15Z</dcterms:modified>
  <dc:language>en-US</dc:language>
</cp:coreProperties>
</file>