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alihmujiagung/Documents/GitHub/core-itera/financial-estimations/SPKnProposalAnalysis/BI Sibolga/v2-correct-files/"/>
    </mc:Choice>
  </mc:AlternateContent>
  <xr:revisionPtr revIDLastSave="0" documentId="13_ncr:1_{7CD47761-DF45-D64F-9483-313C6CD64723}" xr6:coauthVersionLast="47" xr6:coauthVersionMax="47" xr10:uidLastSave="{00000000-0000-0000-0000-000000000000}"/>
  <bookViews>
    <workbookView xWindow="0" yWindow="780" windowWidth="16380" windowHeight="8200" tabRatio="500" xr2:uid="{00000000-000D-0000-FFFF-FFFF00000000}"/>
  </bookViews>
  <sheets>
    <sheet name="1. Ringkasan Internal" sheetId="1" r:id="rId1"/>
    <sheet name="2. Ringkasan Klien" sheetId="2" r:id="rId2"/>
    <sheet name="Analisis Lengkap" sheetId="3" r:id="rId3"/>
    <sheet name="Input Tarif" sheetId="4" r:id="rId4"/>
    <sheet name="Desain Program" sheetId="5" r:id="rId5"/>
    <sheet name="Rincian Biay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6" l="1"/>
  <c r="G27" i="6"/>
  <c r="F27" i="6"/>
  <c r="E27" i="6"/>
  <c r="D27" i="6"/>
  <c r="H26" i="6"/>
  <c r="H28" i="6" s="1"/>
  <c r="G14" i="3" s="1"/>
  <c r="G26" i="6"/>
  <c r="G28" i="6" s="1"/>
  <c r="F14" i="3" s="1"/>
  <c r="F26" i="6"/>
  <c r="F28" i="6" s="1"/>
  <c r="E14" i="3" s="1"/>
  <c r="E26" i="6"/>
  <c r="E28" i="6" s="1"/>
  <c r="D14" i="3" s="1"/>
  <c r="D26" i="6"/>
  <c r="D28" i="6" s="1"/>
  <c r="C14" i="3" s="1"/>
  <c r="H22" i="6"/>
  <c r="G22" i="6"/>
  <c r="F22" i="6"/>
  <c r="E22" i="6"/>
  <c r="D22" i="6"/>
  <c r="H21" i="6"/>
  <c r="H23" i="6" s="1"/>
  <c r="G13" i="3" s="1"/>
  <c r="G21" i="6"/>
  <c r="F21" i="6"/>
  <c r="E21" i="6"/>
  <c r="D21" i="6"/>
  <c r="H18" i="6"/>
  <c r="G18" i="6"/>
  <c r="F18" i="6"/>
  <c r="E18" i="6"/>
  <c r="D18" i="6"/>
  <c r="D19" i="6" s="1"/>
  <c r="C12" i="3" s="1"/>
  <c r="H17" i="6"/>
  <c r="H19" i="6" s="1"/>
  <c r="G12" i="3" s="1"/>
  <c r="G17" i="6"/>
  <c r="G19" i="6" s="1"/>
  <c r="F12" i="3" s="1"/>
  <c r="F17" i="6"/>
  <c r="F19" i="6" s="1"/>
  <c r="E12" i="3" s="1"/>
  <c r="E17" i="6"/>
  <c r="D17" i="6"/>
  <c r="H16" i="6"/>
  <c r="G16" i="6"/>
  <c r="F16" i="6"/>
  <c r="E16" i="6"/>
  <c r="D16" i="6"/>
  <c r="H12" i="6"/>
  <c r="G12" i="6"/>
  <c r="F12" i="6"/>
  <c r="E12" i="6"/>
  <c r="D12" i="6"/>
  <c r="H7" i="6"/>
  <c r="G7" i="6"/>
  <c r="F7" i="6"/>
  <c r="E7" i="6"/>
  <c r="D7" i="6"/>
  <c r="H6" i="6"/>
  <c r="H8" i="6" s="1"/>
  <c r="G6" i="6"/>
  <c r="G8" i="6" s="1"/>
  <c r="F6" i="6"/>
  <c r="F8" i="6" s="1"/>
  <c r="E6" i="6"/>
  <c r="D6" i="6"/>
  <c r="H9" i="5"/>
  <c r="H11" i="6" s="1"/>
  <c r="H13" i="6" s="1"/>
  <c r="G11" i="3" s="1"/>
  <c r="G9" i="5"/>
  <c r="G11" i="6" s="1"/>
  <c r="G13" i="6" s="1"/>
  <c r="F11" i="3" s="1"/>
  <c r="F9" i="5"/>
  <c r="F11" i="6" s="1"/>
  <c r="F13" i="6" s="1"/>
  <c r="E11" i="3" s="1"/>
  <c r="E9" i="5"/>
  <c r="E11" i="6" s="1"/>
  <c r="E13" i="6" s="1"/>
  <c r="D11" i="3" s="1"/>
  <c r="D9" i="5"/>
  <c r="D11" i="6" s="1"/>
  <c r="D13" i="6" s="1"/>
  <c r="C11" i="3" s="1"/>
  <c r="D28" i="4"/>
  <c r="G35" i="3"/>
  <c r="F35" i="3"/>
  <c r="E35" i="3"/>
  <c r="D35" i="3"/>
  <c r="C35" i="3"/>
  <c r="G26" i="3"/>
  <c r="F26" i="3"/>
  <c r="E26" i="3"/>
  <c r="D26" i="3"/>
  <c r="C26" i="3"/>
  <c r="G20" i="3"/>
  <c r="F20" i="3"/>
  <c r="E20" i="3"/>
  <c r="D20" i="3"/>
  <c r="C20" i="3"/>
  <c r="G8" i="3"/>
  <c r="F8" i="3"/>
  <c r="E8" i="3"/>
  <c r="D8" i="3"/>
  <c r="C8" i="3"/>
  <c r="G7" i="3"/>
  <c r="G17" i="2" s="1"/>
  <c r="F7" i="3"/>
  <c r="F17" i="2" s="1"/>
  <c r="E7" i="3"/>
  <c r="E17" i="2" s="1"/>
  <c r="D7" i="3"/>
  <c r="D17" i="2" s="1"/>
  <c r="C7" i="3"/>
  <c r="G6" i="3"/>
  <c r="G15" i="2" s="1"/>
  <c r="F6" i="3"/>
  <c r="F15" i="2" s="1"/>
  <c r="E6" i="3"/>
  <c r="E15" i="2" s="1"/>
  <c r="D6" i="3"/>
  <c r="D15" i="2" s="1"/>
  <c r="C6" i="3"/>
  <c r="C15" i="2" s="1"/>
  <c r="C24" i="2"/>
  <c r="C22" i="2"/>
  <c r="G18" i="2"/>
  <c r="F18" i="2"/>
  <c r="E18" i="2"/>
  <c r="D18" i="2"/>
  <c r="C18" i="2"/>
  <c r="C17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19" i="1"/>
  <c r="F19" i="1"/>
  <c r="E19" i="1"/>
  <c r="D19" i="1"/>
  <c r="C19" i="1"/>
  <c r="G6" i="1"/>
  <c r="F6" i="1"/>
  <c r="E6" i="1"/>
  <c r="D6" i="1"/>
  <c r="C6" i="1"/>
  <c r="G23" i="6" l="1"/>
  <c r="F23" i="6"/>
  <c r="E23" i="6"/>
  <c r="D13" i="3" s="1"/>
  <c r="D23" i="6"/>
  <c r="C13" i="3" s="1"/>
  <c r="E19" i="6"/>
  <c r="D12" i="3" s="1"/>
  <c r="E8" i="6"/>
  <c r="D8" i="6"/>
  <c r="G30" i="3"/>
  <c r="F30" i="3"/>
  <c r="E30" i="3"/>
  <c r="D30" i="3"/>
  <c r="C30" i="3"/>
  <c r="H30" i="6"/>
  <c r="G10" i="3"/>
  <c r="F10" i="3"/>
  <c r="E10" i="3"/>
  <c r="G14" i="2" l="1"/>
  <c r="G16" i="2"/>
  <c r="G31" i="3"/>
  <c r="F14" i="2"/>
  <c r="F16" i="2"/>
  <c r="F31" i="3"/>
  <c r="E14" i="2"/>
  <c r="E16" i="2"/>
  <c r="E31" i="3"/>
  <c r="D14" i="2"/>
  <c r="D16" i="2"/>
  <c r="D31" i="3"/>
  <c r="C14" i="2"/>
  <c r="C16" i="2"/>
  <c r="C31" i="3"/>
  <c r="F13" i="3"/>
  <c r="G30" i="6"/>
  <c r="E13" i="3"/>
  <c r="F30" i="6"/>
  <c r="D10" i="3"/>
  <c r="E30" i="6"/>
  <c r="D30" i="6"/>
  <c r="C10" i="3"/>
  <c r="G16" i="3"/>
  <c r="G27" i="3"/>
  <c r="G20" i="1" s="1"/>
  <c r="G28" i="3"/>
  <c r="G21" i="1" s="1"/>
  <c r="G33" i="3"/>
  <c r="G12" i="1" s="1"/>
  <c r="G34" i="3"/>
  <c r="G13" i="1" s="1"/>
  <c r="G36" i="3"/>
  <c r="G15" i="3"/>
  <c r="G7" i="1" s="1"/>
  <c r="G18" i="3"/>
  <c r="G8" i="1" s="1"/>
  <c r="G19" i="3"/>
  <c r="G21" i="3"/>
  <c r="G22" i="3"/>
  <c r="G23" i="3" s="1"/>
  <c r="G24" i="3"/>
  <c r="G22" i="1" s="1"/>
  <c r="G41" i="3"/>
  <c r="G17" i="1" s="1"/>
  <c r="F18" i="3"/>
  <c r="F8" i="1" s="1"/>
  <c r="F19" i="3"/>
  <c r="F22" i="3"/>
  <c r="F23" i="3" s="1"/>
  <c r="F28" i="3"/>
  <c r="F21" i="1" s="1"/>
  <c r="F33" i="3"/>
  <c r="F12" i="1" s="1"/>
  <c r="F34" i="3"/>
  <c r="F13" i="1" s="1"/>
  <c r="F36" i="3"/>
  <c r="F15" i="3"/>
  <c r="F7" i="1" s="1"/>
  <c r="F24" i="3"/>
  <c r="F22" i="1" s="1"/>
  <c r="F27" i="3"/>
  <c r="F20" i="1" s="1"/>
  <c r="F41" i="3"/>
  <c r="F17" i="1" s="1"/>
  <c r="F16" i="3"/>
  <c r="F21" i="3"/>
  <c r="E21" i="3"/>
  <c r="E24" i="3"/>
  <c r="E22" i="1" s="1"/>
  <c r="E27" i="3"/>
  <c r="E20" i="1" s="1"/>
  <c r="E28" i="3"/>
  <c r="E21" i="1" s="1"/>
  <c r="E33" i="3"/>
  <c r="E12" i="1" s="1"/>
  <c r="E34" i="3"/>
  <c r="E13" i="1" s="1"/>
  <c r="E36" i="3"/>
  <c r="E41" i="3"/>
  <c r="E17" i="1" s="1"/>
  <c r="E16" i="3"/>
  <c r="E18" i="3"/>
  <c r="E8" i="1" s="1"/>
  <c r="E15" i="3"/>
  <c r="E7" i="1" s="1"/>
  <c r="E19" i="3"/>
  <c r="E22" i="3"/>
  <c r="E23" i="3" s="1"/>
  <c r="D19" i="3"/>
  <c r="D15" i="3"/>
  <c r="D7" i="1" s="1"/>
  <c r="D16" i="3"/>
  <c r="D33" i="3"/>
  <c r="D12" i="1" s="1"/>
  <c r="D34" i="3"/>
  <c r="D13" i="1" s="1"/>
  <c r="D36" i="3"/>
  <c r="D41" i="3"/>
  <c r="D17" i="1" s="1"/>
  <c r="D22" i="3"/>
  <c r="D23" i="3" s="1"/>
  <c r="D24" i="3"/>
  <c r="D22" i="1" s="1"/>
  <c r="D18" i="3"/>
  <c r="D8" i="1" s="1"/>
  <c r="D21" i="3"/>
  <c r="D27" i="3"/>
  <c r="D20" i="1" s="1"/>
  <c r="D28" i="3"/>
  <c r="D21" i="1" s="1"/>
  <c r="C22" i="3"/>
  <c r="C23" i="3" s="1"/>
  <c r="C28" i="3"/>
  <c r="C21" i="1" s="1"/>
  <c r="C33" i="3"/>
  <c r="C12" i="1" s="1"/>
  <c r="C34" i="3"/>
  <c r="C13" i="1" s="1"/>
  <c r="C36" i="3"/>
  <c r="C41" i="3"/>
  <c r="C17" i="1" s="1"/>
  <c r="C15" i="3"/>
  <c r="C7" i="1" s="1"/>
  <c r="C18" i="3"/>
  <c r="C8" i="1" s="1"/>
  <c r="C21" i="3"/>
  <c r="C27" i="3"/>
  <c r="C20" i="1" s="1"/>
  <c r="C16" i="3"/>
  <c r="C19" i="3"/>
  <c r="C24" i="3"/>
  <c r="C22" i="1" s="1"/>
  <c r="G37" i="3" l="1"/>
  <c r="G38" i="3"/>
  <c r="G39" i="3"/>
  <c r="G16" i="1" s="1"/>
  <c r="G40" i="3"/>
  <c r="G14" i="1"/>
  <c r="G9" i="1"/>
  <c r="G10" i="1"/>
  <c r="F10" i="1"/>
  <c r="F9" i="1"/>
  <c r="F37" i="3"/>
  <c r="F38" i="3"/>
  <c r="F39" i="3"/>
  <c r="F16" i="1" s="1"/>
  <c r="F40" i="3"/>
  <c r="F14" i="1"/>
  <c r="E37" i="3"/>
  <c r="E38" i="3"/>
  <c r="E39" i="3"/>
  <c r="E16" i="1" s="1"/>
  <c r="E40" i="3"/>
  <c r="E14" i="1"/>
  <c r="E10" i="1"/>
  <c r="E9" i="1"/>
  <c r="D10" i="1"/>
  <c r="D9" i="1"/>
  <c r="D37" i="3"/>
  <c r="D38" i="3"/>
  <c r="D39" i="3"/>
  <c r="D16" i="1" s="1"/>
  <c r="D40" i="3"/>
  <c r="D14" i="1"/>
  <c r="C37" i="3"/>
  <c r="C38" i="3"/>
  <c r="C39" i="3"/>
  <c r="C16" i="1" s="1"/>
  <c r="C40" i="3"/>
  <c r="C14" i="1"/>
  <c r="C10" i="1"/>
  <c r="C9" i="1"/>
  <c r="G42" i="3" l="1"/>
  <c r="G24" i="1" s="1"/>
  <c r="G15" i="1"/>
  <c r="F42" i="3"/>
  <c r="F24" i="1" s="1"/>
  <c r="F15" i="1"/>
  <c r="E42" i="3"/>
  <c r="E24" i="1" s="1"/>
  <c r="E15" i="1"/>
  <c r="D42" i="3"/>
  <c r="D24" i="1" s="1"/>
  <c r="D15" i="1"/>
  <c r="C42" i="3"/>
  <c r="C24" i="1" s="1"/>
  <c r="C15" i="1"/>
</calcChain>
</file>

<file path=xl/sharedStrings.xml><?xml version="1.0" encoding="utf-8"?>
<sst xmlns="http://schemas.openxmlformats.org/spreadsheetml/2006/main" count="302" uniqueCount="214">
  <si>
    <t>RINGKASAN INTERNAL - untuk keputusan (JANGAN dibagikan ke klien)</t>
  </si>
  <si>
    <t>Satu halaman: apakah harga sehat, berapa harga yang sebaiknya, dan apa dampaknya ke kas.</t>
  </si>
  <si>
    <t>Indikator</t>
  </si>
  <si>
    <t>Jeda</t>
  </si>
  <si>
    <t>Jeda Tahunan (per term)</t>
  </si>
  <si>
    <t>Tumbuh</t>
  </si>
  <si>
    <t>Seperjalanan</t>
  </si>
  <si>
    <t>Penyuluhan (opsi 4)</t>
  </si>
  <si>
    <t>APAKAH HARGA SEKARANG SEHAT?</t>
  </si>
  <si>
    <t>Harga sekarang</t>
  </si>
  <si>
    <t>Total biaya</t>
  </si>
  <si>
    <t>Laba bersih</t>
  </si>
  <si>
    <t>Margin bersih</t>
  </si>
  <si>
    <t>Posisi vs standar 15%-26%</t>
  </si>
  <si>
    <t>BERAPA HARGA YANG SEBAIKNYA?</t>
  </si>
  <si>
    <t>Harga minimum (15%)</t>
  </si>
  <si>
    <t>Harga ideal (26%)</t>
  </si>
  <si>
    <t>Harga rekomendasi</t>
  </si>
  <si>
    <t>Kenaikan yang dibutuhkan</t>
  </si>
  <si>
    <t>Laba bersih di harga rekomendasi</t>
  </si>
  <si>
    <t>Atau: hemat biaya (tanpa naik harga) utk 15%</t>
  </si>
  <si>
    <t>DAMPAK KE KAS &amp; OPERASIONAL</t>
  </si>
  <si>
    <t>Kas masuk saat SPK (DP, setelah PPh)</t>
  </si>
  <si>
    <t>Laba per bulan (harga sekarang)</t>
  </si>
  <si>
    <t>% opex 3 bulan yang tertutup</t>
  </si>
  <si>
    <t>Laba jika semua sesi oleh Vania/Kia</t>
  </si>
  <si>
    <t>KEPUTUSAN</t>
  </si>
  <si>
    <t>Rekomendasi</t>
  </si>
  <si>
    <t>Cara baca: merah = harga belum menutup standar minimum margin 15%. Ikuti baris 'Harga rekomendasi', atau hemat biaya sebesar angka di bawahnya.</t>
  </si>
  <si>
    <t>Angka di sini otomatis mengikuti 'Analisis Lengkap'. Ubah tarif di 'Input Tarif' dan kuantitas/harga/target di 'Desain Program'.</t>
  </si>
  <si>
    <t>Welcoming Package - Employee Wellbeing Program</t>
  </si>
  <si>
    <t>Bank Indonesia KPw Sibolga  |  PT Indo Medika Resolusi (Teman Journey)  |  Dapat dibagikan ke klien</t>
  </si>
  <si>
    <t>Yang Anda dapatkan</t>
  </si>
  <si>
    <t>Paket Jeda</t>
  </si>
  <si>
    <t>Paket Jeda Tahunan (per term)</t>
  </si>
  <si>
    <t>Paket Tumbuh</t>
  </si>
  <si>
    <t>Paket Seperjalanan</t>
  </si>
  <si>
    <t>Paket Penyuluhan (opsi 4)</t>
  </si>
  <si>
    <t>LAYANAN</t>
  </si>
  <si>
    <t>Konseling psikologi online (60 menit)</t>
  </si>
  <si>
    <t>Perkiraan pegawai terlayani</t>
  </si>
  <si>
    <t>Mental Health Check-Up (MHCU)</t>
  </si>
  <si>
    <t>Laporan agregat anonim untuk manajemen</t>
  </si>
  <si>
    <t>Hasil MHCU individual untuk pegawai</t>
  </si>
  <si>
    <t>Psikoedukasi oleh psikolog</t>
  </si>
  <si>
    <t>Masa berlaku</t>
  </si>
  <si>
    <t>INVESTASI</t>
  </si>
  <si>
    <t>Nilai layanan (harga reguler)</t>
  </si>
  <si>
    <t>Harga Welcoming Package</t>
  </si>
  <si>
    <t>Anda hemat</t>
  </si>
  <si>
    <t>Setara per bulan</t>
  </si>
  <si>
    <t>Setara per pegawai</t>
  </si>
  <si>
    <t>KETENTUAN</t>
  </si>
  <si>
    <t>Batas penandatanganan SPK</t>
  </si>
  <si>
    <t>31 Oktober 2026</t>
  </si>
  <si>
    <t>Pembayaran</t>
  </si>
  <si>
    <t>Pajak</t>
  </si>
  <si>
    <t>Teman Journey non-PKP (tanpa PPN); PPh 23 dipotong oleh pemberi kerja</t>
  </si>
  <si>
    <t>Sesi tambahan</t>
  </si>
  <si>
    <t>Kerahasiaan</t>
  </si>
  <si>
    <t>Manajemen hanya menerima data agregat anonim. Hasil MHCU individual (Seperjalanan) hanya diberikan ke pegawai yang bersangkutan</t>
  </si>
  <si>
    <t>Penyelenggara</t>
  </si>
  <si>
    <t>PT Indo Medika Resolusi (Teman Journey) - info@temanjourney.id</t>
  </si>
  <si>
    <t>ANALISIS LENGKAP - BI KPw Sibolga (INTERNAL)</t>
  </si>
  <si>
    <t>Margin = laba bersih / harga jual. Target margin diatur di sheet 'Desain Program'.</t>
  </si>
  <si>
    <t>HARGA</t>
  </si>
  <si>
    <t>Harga jual</t>
  </si>
  <si>
    <t>Jumlah sesi / pegawai terlayani</t>
  </si>
  <si>
    <t>BIAYA PER KATEGORI</t>
  </si>
  <si>
    <t>A. Delivery konseling</t>
  </si>
  <si>
    <t>B. Asesmen</t>
  </si>
  <si>
    <t>C. Psikoedukasi</t>
  </si>
  <si>
    <t>D. Administrasi proyek</t>
  </si>
  <si>
    <t>E. Pajak &amp; overhead</t>
  </si>
  <si>
    <t>Biaya sebagai % harga</t>
  </si>
  <si>
    <t>LABA &amp; MARGIN</t>
  </si>
  <si>
    <t>Margin bersih aktual</t>
  </si>
  <si>
    <t>Target margin</t>
  </si>
  <si>
    <t>Harga minimum utk capai target</t>
  </si>
  <si>
    <t>Selisih harga jual vs harga minimum</t>
  </si>
  <si>
    <t>Status</t>
  </si>
  <si>
    <t>Laba bersih jika semua sesi in-house</t>
  </si>
  <si>
    <t>KAS &amp; KONTRIBUSI</t>
  </si>
  <si>
    <t>Kas diterima saat SPK (DP, setelah PPh)</t>
  </si>
  <si>
    <t>Laba bersih per bulan</t>
  </si>
  <si>
    <t>% opex masa paket yang tertutup</t>
  </si>
  <si>
    <t>NILAI UNTUK PROPOSAL</t>
  </si>
  <si>
    <t>Nilai normal (harga reguler)</t>
  </si>
  <si>
    <t>Hemat untuk BI</t>
  </si>
  <si>
    <t>REKOMENDASI HARGA</t>
  </si>
  <si>
    <t>Harga minimum (margin 15%)</t>
  </si>
  <si>
    <t>Harga ideal (margin 26%)</t>
  </si>
  <si>
    <t>Margin dipakai untuk rekomendasi</t>
  </si>
  <si>
    <t>HARGA REKOMENDASI</t>
  </si>
  <si>
    <t>Perubahan vs harga sekarang</t>
  </si>
  <si>
    <t>Margin bersih pada harga rekomendasi</t>
  </si>
  <si>
    <t>Laba bersih pada harga rekomendasi</t>
  </si>
  <si>
    <t>Setara per bulan (harga rekomendasi)</t>
  </si>
  <si>
    <t>Alternatif: penghematan biaya agar margin 15% tanpa naik harga</t>
  </si>
  <si>
    <t>Kesimpulan</t>
  </si>
  <si>
    <t>Cara pakai: (1) ubah tarif di 'Input Tarif', (2) ubah kuantitas, harga, dan target margin di 'Desain Program', (3) baca hasil di sini.</t>
  </si>
  <si>
    <t>Harga minimum = biaya non-pajak / (1 - PPh - overhead% - target margin). Jika harga jual di bawahnya, status merah.</t>
  </si>
  <si>
    <t>'Laba bersih jika semua sesi in-house' = skenario Vania/Kia membawakan semua sesi (honor sesi Rp0, gaji sudah di opex).</t>
  </si>
  <si>
    <t>REKOMENDASI: standar Teman Journey = margin bersih 15% (batas bawah) s/d 26% (ideal). Harga rekomendasi memakai target margin program, dibatasi 15-26%, dibulatkan ke atas Rp500rb, dan tidak pernah di bawah harga sekarang.</t>
  </si>
  <si>
    <t>Jika harga sekarang di bawah 'Harga minimum (margin 15%)', program merugikan jangka panjang. Pilihannya: naikkan harga, atau kurangi biaya sebesar angka 'Alternatif: penghematan biaya'.</t>
  </si>
  <si>
    <t>INPUT TARIF &amp; ASUMSI</t>
  </si>
  <si>
    <t>Ubah hanya sel biru berlatar kuning. Semua angka lain dihitung otomatis. Kolom 'Review CFO' = catatan kewajaran tarif.</t>
  </si>
  <si>
    <t>Kategori</t>
  </si>
  <si>
    <t>Komponen</t>
  </si>
  <si>
    <t>Satuan</t>
  </si>
  <si>
    <t>Tarif / Nilai</t>
  </si>
  <si>
    <t>Sumber</t>
  </si>
  <si>
    <t>Review CFO</t>
  </si>
  <si>
    <t>Honor psikolog per sesi konseling</t>
  </si>
  <si>
    <t>Rp / sesi 60 menit</t>
  </si>
  <si>
    <t>Kia</t>
  </si>
  <si>
    <t>TINGGI: 70% dari harga reguler Rp500rb. Praktik umum bagi hasil associate 50-60% (Rp250-300rb). Untuk Vania (gaji tetap), gunakan biaya internal per sesi = gaji / kapasitas sesi, bukan Rp350rb.</t>
  </si>
  <si>
    <t>Admin &amp; platform</t>
  </si>
  <si>
    <t>Rp / sesi</t>
  </si>
  <si>
    <t>Asumsi</t>
  </si>
  <si>
    <t>AGAK TINGGI bila Zoom &amp; tools sudah dibayar bulanan (masuk opex). Biaya marginal realistis Rp10-15rb/sesi (reminder, penjadwalan).</t>
  </si>
  <si>
    <t>MHCU (alat ukur + skoring)</t>
  </si>
  <si>
    <t>Rp / orang / putaran</t>
  </si>
  <si>
    <t>WAJAR jika termasuk interpretasi psikolog. Jika memakai alat ukur bebas lisensi (mis. DASS-21, Copenhagen Burnout Inventory) dan skoring otomatis, biaya bisa ditekan.</t>
  </si>
  <si>
    <t>Laporan agregat anonim</t>
  </si>
  <si>
    <t>Rp / program</t>
  </si>
  <si>
    <t>WAJAR (± 0,5-1 hari kerja psikolog). Bisa dibuat template agar program berikutnya lebih murah.</t>
  </si>
  <si>
    <t>Webinar online oleh psikolog</t>
  </si>
  <si>
    <t>WAJAR untuk narasumber eksternal. Jika dibawakan Kia/Vania (gaji/opex), biaya marginal mendekati Rp0-500rb (moderator, materi).</t>
  </si>
  <si>
    <t>Seminar offline oleh psikolog</t>
  </si>
  <si>
    <t>KEMUNGKINAN TERLALU RENDAH jika narasumber berangkat dari Jakarta: tiket ke Sibolga (via Medan) + hotel + uang harian bisa melebihi Rp3jt sebelum honor. Cek ulang, atau pakai psikolog mitra di Sumut.</t>
  </si>
  <si>
    <t>PIC / Project Officer</t>
  </si>
  <si>
    <t>Belum ada</t>
  </si>
  <si>
    <t>KURANG: koordinasi jadwal 12 pegawai x 3 bulan tetap memakan waktu. Pertimbangkan Rp300-500rb/program agar margin tidak semu.</t>
  </si>
  <si>
    <t>Kontrak, materai, invoice</t>
  </si>
  <si>
    <t>WAJAR.</t>
  </si>
  <si>
    <t>PPh 23 dipotong BI</t>
  </si>
  <si>
    <t>% dari harga</t>
  </si>
  <si>
    <t>Ketentuan</t>
  </si>
  <si>
    <t>Non-PKP: tidak ada PPN. PPh 23 = kredit pajak, tapi mengurangi kas.</t>
  </si>
  <si>
    <t>Alokasi overhead kantor</t>
  </si>
  <si>
    <t>Belum diisi</t>
  </si>
  <si>
    <t>DISARANKAN 10-15% agar laba mencerminkan kontribusi nyata terhadap opex Rp20jt/bulan.</t>
  </si>
  <si>
    <t>Penyuluhan internal 30 menit (Kia &amp; Rana)</t>
  </si>
  <si>
    <t>MURAH karena internal: narasumber Kia &amp; Rana (gaji/opex), platform Zoom + YouTube Live Rp0, terbuka untuk umum. Rp100rb = materi ringkas &amp; poster dari template.</t>
  </si>
  <si>
    <t>Parameter umum</t>
  </si>
  <si>
    <t>Harga reguler per sesi</t>
  </si>
  <si>
    <t>Sesi konseling per pegawai</t>
  </si>
  <si>
    <t>sesi</t>
  </si>
  <si>
    <t>Asumsi praktik konseling singkat</t>
  </si>
  <si>
    <t>Masa paket</t>
  </si>
  <si>
    <t>bulan</t>
  </si>
  <si>
    <t>Biaya operasional bulanan Teman Journey</t>
  </si>
  <si>
    <t>Rp / bulan</t>
  </si>
  <si>
    <t>DP saat SPK</t>
  </si>
  <si>
    <t>Ketentuan proposal</t>
  </si>
  <si>
    <t>Nilai normal 1 putaran MHCU (untuk proposal)</t>
  </si>
  <si>
    <t>Rp</t>
  </si>
  <si>
    <t>Nilai jual, bukan biaya</t>
  </si>
  <si>
    <t>Nilai normal laporan agregat (untuk proposal)</t>
  </si>
  <si>
    <t>Nilai normal 1 sesi psikoedukasi (untuk proposal)</t>
  </si>
  <si>
    <t>Standar margin bersih minimum</t>
  </si>
  <si>
    <t>Kebijakan Teman Journey</t>
  </si>
  <si>
    <t>Standar margin bersih maksimum / ideal</t>
  </si>
  <si>
    <t>Pembulatan harga rekomendasi</t>
  </si>
  <si>
    <t>Dibulatkan ke atas</t>
  </si>
  <si>
    <t>Nilai normal 1 penyuluhan 30 menit (untuk proposal)</t>
  </si>
  <si>
    <t>1/3 nilai 1 sesi psikoedukasi; nilai jual, bukan biaya</t>
  </si>
  <si>
    <t>DESAIN PROGRAM (isi per paket)</t>
  </si>
  <si>
    <t>Kuantitas layanan, harga jual, dan TARGET MARGIN bisa diatur per program.</t>
  </si>
  <si>
    <t>Bagian</t>
  </si>
  <si>
    <t>Parameter</t>
  </si>
  <si>
    <t>Harga &amp; target</t>
  </si>
  <si>
    <t>Harga jual (proposal)</t>
  </si>
  <si>
    <t>Target margin bersih</t>
  </si>
  <si>
    <t>% sesi oleh psikolog berbayar</t>
  </si>
  <si>
    <t>%</t>
  </si>
  <si>
    <t>Layanan</t>
  </si>
  <si>
    <t>Jumlah sesi konseling</t>
  </si>
  <si>
    <t>Pegawai terlayani</t>
  </si>
  <si>
    <t>orang</t>
  </si>
  <si>
    <t>Putaran MHCU</t>
  </si>
  <si>
    <t>putaran</t>
  </si>
  <si>
    <t>Laporan agregat (1=ya)</t>
  </si>
  <si>
    <t>flag</t>
  </si>
  <si>
    <t>Hasil MHCU individual (1=ya)</t>
  </si>
  <si>
    <t>Psikoedukasi online (webinar)</t>
  </si>
  <si>
    <t>Psikoedukasi offline (seminar)</t>
  </si>
  <si>
    <t>Penyuluhan internal gratis (30 menit, terbuka untuk umum)</t>
  </si>
  <si>
    <t>Catatan: '% sesi oleh psikolog berbayar' = 100% berarti semua sesi dibayar honor (skenario konservatif). Isi 0% jika semua sesi dibawakan Vania/Kia (gaji tetap).</t>
  </si>
  <si>
    <t>Opsi 4 'Penyuluhan' = isi Seperjalanan tanpa seminar offline (tidak ada biaya perjalanan ke Sibolga), diganti 2 penyuluhan internal 30 menit yang gratis untuk BI dan terbuka untuk umum. Harga Rp23,5jt = harga ideal margin 26% (dibulatkan ke atas Rp500rb), di bawah nilai normal Rp27jt sehingga BI melihat penghematan; nilai penyuluhan tetap dihitung di Nilai normal.</t>
  </si>
  <si>
    <t>RINCIAN BIAYA PER KATEGORI</t>
  </si>
  <si>
    <t>Biaya = kuantitas (Desain Program) x tarif (Input Tarif). Jangan ketik angka di sini.</t>
  </si>
  <si>
    <t>Dasar perhitungan</t>
  </si>
  <si>
    <t>Honor psikolog</t>
  </si>
  <si>
    <t>sesi x % berbayar x tarif</t>
  </si>
  <si>
    <t>sesi x tarif</t>
  </si>
  <si>
    <t>Subtotal A. Delivery konseling</t>
  </si>
  <si>
    <t>MHCU</t>
  </si>
  <si>
    <t>putaran x pegawai x tarif</t>
  </si>
  <si>
    <t>Laporan agregat</t>
  </si>
  <si>
    <t>flag x tarif</t>
  </si>
  <si>
    <t>Subtotal B. Asesmen</t>
  </si>
  <si>
    <t>Webinar online</t>
  </si>
  <si>
    <t>Seminar offline</t>
  </si>
  <si>
    <t>Penyuluhan internal</t>
  </si>
  <si>
    <t>Subtotal C. Psikoedukasi</t>
  </si>
  <si>
    <t>per program</t>
  </si>
  <si>
    <t>Subtotal D. Administrasi proyek</t>
  </si>
  <si>
    <t>PPh 23</t>
  </si>
  <si>
    <t>harga x %</t>
  </si>
  <si>
    <t>Alokasi overhead</t>
  </si>
  <si>
    <t>Subtotal E. Pajak &amp; overhead</t>
  </si>
  <si>
    <t>TOTAL BIAYA (A s/d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</si>
</sst>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;&quot;(Rp&quot;#,##0\);\-"/>
    <numFmt numFmtId="165" formatCode="0.0%;\(0.0%\);\-"/>
    <numFmt numFmtId="166" formatCode="#,##0;\(#,##0\);\-"/>
    <numFmt numFmtId="167" formatCode="#,##0.0;\(#,##0.0\);\-"/>
  </numFmts>
  <fonts count="10" x14ac:knownFonts="1">
    <font>
      <sz val="11"/>
      <color theme="1"/>
      <name val="Calibri"/>
      <family val="2"/>
      <charset val="1"/>
    </font>
    <font>
      <b/>
      <sz val="14"/>
      <color rgb="FF1C4587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4587"/>
        <bgColor rgb="FF003366"/>
      </patternFill>
    </fill>
    <fill>
      <patternFill patternType="solid">
        <fgColor rgb="FFDCE6F1"/>
        <bgColor rgb="FFC9DAF8"/>
      </patternFill>
    </fill>
    <fill>
      <patternFill patternType="solid">
        <fgColor rgb="FFC9DAF8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top" wrapText="1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 vertical="top" wrapText="1"/>
    </xf>
    <xf numFmtId="165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vertical="top" wrapText="1"/>
    </xf>
    <xf numFmtId="164" fontId="6" fillId="5" borderId="1" xfId="0" applyNumberFormat="1" applyFont="1" applyFill="1" applyBorder="1"/>
    <xf numFmtId="0" fontId="7" fillId="0" borderId="1" xfId="0" applyFont="1" applyBorder="1"/>
    <xf numFmtId="0" fontId="8" fillId="0" borderId="1" xfId="0" applyFont="1" applyBorder="1" applyAlignment="1">
      <alignment vertical="top" wrapText="1"/>
    </xf>
    <xf numFmtId="165" fontId="6" fillId="5" borderId="1" xfId="0" applyNumberFormat="1" applyFont="1" applyFill="1" applyBorder="1"/>
    <xf numFmtId="0" fontId="0" fillId="3" borderId="0" xfId="0" applyFill="1"/>
    <xf numFmtId="166" fontId="6" fillId="5" borderId="1" xfId="0" applyNumberFormat="1" applyFont="1" applyFill="1" applyBorder="1"/>
    <xf numFmtId="167" fontId="5" fillId="0" borderId="1" xfId="0" applyNumberFormat="1" applyFont="1" applyBorder="1"/>
    <xf numFmtId="0" fontId="0" fillId="3" borderId="1" xfId="0" applyFill="1" applyBorder="1"/>
    <xf numFmtId="164" fontId="5" fillId="0" borderId="1" xfId="0" applyNumberFormat="1" applyFont="1" applyBorder="1"/>
    <xf numFmtId="0" fontId="5" fillId="6" borderId="1" xfId="0" applyFont="1" applyFill="1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0" fontId="5" fillId="4" borderId="1" xfId="0" applyFont="1" applyFill="1" applyBorder="1"/>
    <xf numFmtId="164" fontId="4" fillId="4" borderId="1" xfId="0" applyNumberFormat="1" applyFont="1" applyFill="1" applyBorder="1"/>
    <xf numFmtId="164" fontId="9" fillId="0" borderId="1" xfId="0" applyNumberFormat="1" applyFont="1" applyBorder="1"/>
    <xf numFmtId="0" fontId="5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C458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5" width="26" customWidth="1"/>
    <col min="6" max="7" width="13" customWidth="1"/>
  </cols>
  <sheetData>
    <row r="1" spans="1:7" ht="17.25" customHeight="1" x14ac:dyDescent="0.2">
      <c r="A1" s="1" t="s">
        <v>0</v>
      </c>
    </row>
    <row r="2" spans="1:7" ht="15" customHeight="1" x14ac:dyDescent="0.2">
      <c r="A2" s="2" t="s">
        <v>1</v>
      </c>
    </row>
    <row r="4" spans="1:7" ht="15" customHeight="1" x14ac:dyDescent="0.2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7" ht="15" customHeight="1" x14ac:dyDescent="0.2">
      <c r="B5" s="5" t="s">
        <v>8</v>
      </c>
      <c r="C5" s="6"/>
      <c r="D5" s="6"/>
      <c r="E5" s="6"/>
      <c r="F5" s="6"/>
      <c r="G5" s="6"/>
    </row>
    <row r="6" spans="1:7" ht="15" customHeight="1" x14ac:dyDescent="0.2">
      <c r="B6" s="7" t="s">
        <v>9</v>
      </c>
      <c r="C6" s="8">
        <f>'Analisis Lengkap'!C6</f>
        <v>12000000</v>
      </c>
      <c r="D6" s="8">
        <f>'Analisis Lengkap'!D6</f>
        <v>11000000</v>
      </c>
      <c r="E6" s="8">
        <f>'Analisis Lengkap'!E6</f>
        <v>20000000</v>
      </c>
      <c r="F6" s="8">
        <f>'Analisis Lengkap'!F6</f>
        <v>31500000</v>
      </c>
      <c r="G6" s="8">
        <f>'Analisis Lengkap'!G6</f>
        <v>23500000</v>
      </c>
    </row>
    <row r="7" spans="1:7" ht="15" customHeight="1" x14ac:dyDescent="0.2">
      <c r="B7" s="9" t="s">
        <v>10</v>
      </c>
      <c r="C7" s="10">
        <f>'Analisis Lengkap'!C15</f>
        <v>7665000</v>
      </c>
      <c r="D7" s="10">
        <f>'Analisis Lengkap'!D15</f>
        <v>8745000</v>
      </c>
      <c r="E7" s="10">
        <f>'Analisis Lengkap'!E15</f>
        <v>12600000</v>
      </c>
      <c r="F7" s="10">
        <f>'Analisis Lengkap'!F15</f>
        <v>20070000</v>
      </c>
      <c r="G7" s="10">
        <f>'Analisis Lengkap'!G15</f>
        <v>17110000</v>
      </c>
    </row>
    <row r="8" spans="1:7" ht="15" customHeight="1" x14ac:dyDescent="0.2">
      <c r="B8" s="7" t="s">
        <v>11</v>
      </c>
      <c r="C8" s="8">
        <f>'Analisis Lengkap'!C18</f>
        <v>4335000</v>
      </c>
      <c r="D8" s="8">
        <f>'Analisis Lengkap'!D18</f>
        <v>2255000</v>
      </c>
      <c r="E8" s="8">
        <f>'Analisis Lengkap'!E18</f>
        <v>7400000</v>
      </c>
      <c r="F8" s="8">
        <f>'Analisis Lengkap'!F18</f>
        <v>11430000</v>
      </c>
      <c r="G8" s="8">
        <f>'Analisis Lengkap'!G18</f>
        <v>6390000</v>
      </c>
    </row>
    <row r="9" spans="1:7" ht="15" customHeight="1" x14ac:dyDescent="0.2">
      <c r="B9" s="7" t="s">
        <v>12</v>
      </c>
      <c r="C9" s="11">
        <f>'Analisis Lengkap'!C19</f>
        <v>0.36125000000000002</v>
      </c>
      <c r="D9" s="11">
        <f>'Analisis Lengkap'!D19</f>
        <v>0.20499999999999999</v>
      </c>
      <c r="E9" s="11">
        <f>'Analisis Lengkap'!E19</f>
        <v>0.37</v>
      </c>
      <c r="F9" s="11">
        <f>'Analisis Lengkap'!F19</f>
        <v>0.36285714285714288</v>
      </c>
      <c r="G9" s="11">
        <f>'Analisis Lengkap'!G19</f>
        <v>0.27191489361702126</v>
      </c>
    </row>
    <row r="10" spans="1:7" ht="15" customHeight="1" x14ac:dyDescent="0.2">
      <c r="B10" s="7" t="s">
        <v>13</v>
      </c>
      <c r="C10" s="12" t="str">
        <f>IF('Analisis Lengkap'!C19&lt;'Input Tarif'!$D$25,"Di bawah minimum",IF('Analisis Lengkap'!C19&lt;='Input Tarif'!$D$26,"Dalam rentang sehat","Di atas ideal"))</f>
        <v>Di atas ideal</v>
      </c>
      <c r="D10" s="12" t="str">
        <f>IF('Analisis Lengkap'!D19&lt;'Input Tarif'!$D$25,"Di bawah minimum",IF('Analisis Lengkap'!D19&lt;='Input Tarif'!$D$26,"Dalam rentang sehat","Di atas ideal"))</f>
        <v>Dalam rentang sehat</v>
      </c>
      <c r="E10" s="12" t="str">
        <f>IF('Analisis Lengkap'!E19&lt;'Input Tarif'!$D$25,"Di bawah minimum",IF('Analisis Lengkap'!E19&lt;='Input Tarif'!$D$26,"Dalam rentang sehat","Di atas ideal"))</f>
        <v>Di atas ideal</v>
      </c>
      <c r="F10" s="12" t="str">
        <f>IF('Analisis Lengkap'!F19&lt;'Input Tarif'!$D$25,"Di bawah minimum",IF('Analisis Lengkap'!F19&lt;='Input Tarif'!$D$26,"Dalam rentang sehat","Di atas ideal"))</f>
        <v>Di atas ideal</v>
      </c>
      <c r="G10" s="12" t="str">
        <f>IF('Analisis Lengkap'!G19&lt;'Input Tarif'!$D$25,"Di bawah minimum",IF('Analisis Lengkap'!G19&lt;='Input Tarif'!$D$26,"Dalam rentang sehat","Di atas ideal"))</f>
        <v>Di atas ideal</v>
      </c>
    </row>
    <row r="11" spans="1:7" ht="15" customHeight="1" x14ac:dyDescent="0.2">
      <c r="B11" s="5" t="s">
        <v>14</v>
      </c>
      <c r="C11" s="6"/>
      <c r="D11" s="6"/>
      <c r="E11" s="6"/>
      <c r="F11" s="6"/>
      <c r="G11" s="6"/>
    </row>
    <row r="12" spans="1:7" ht="15" customHeight="1" x14ac:dyDescent="0.2">
      <c r="B12" s="9" t="s">
        <v>15</v>
      </c>
      <c r="C12" s="10">
        <f>'Analisis Lengkap'!C33</f>
        <v>9000000</v>
      </c>
      <c r="D12" s="10">
        <f>'Analisis Lengkap'!D33</f>
        <v>10500000</v>
      </c>
      <c r="E12" s="10">
        <f>'Analisis Lengkap'!E33</f>
        <v>15000000</v>
      </c>
      <c r="F12" s="10">
        <f>'Analisis Lengkap'!F33</f>
        <v>23500000</v>
      </c>
      <c r="G12" s="10">
        <f>'Analisis Lengkap'!G33</f>
        <v>20500000</v>
      </c>
    </row>
    <row r="13" spans="1:7" ht="15" customHeight="1" x14ac:dyDescent="0.2">
      <c r="B13" s="9" t="s">
        <v>16</v>
      </c>
      <c r="C13" s="10">
        <f>'Analisis Lengkap'!C34</f>
        <v>10500000</v>
      </c>
      <c r="D13" s="10">
        <f>'Analisis Lengkap'!D34</f>
        <v>12000000</v>
      </c>
      <c r="E13" s="10">
        <f>'Analisis Lengkap'!E34</f>
        <v>17000000</v>
      </c>
      <c r="F13" s="10">
        <f>'Analisis Lengkap'!F34</f>
        <v>27000000</v>
      </c>
      <c r="G13" s="10">
        <f>'Analisis Lengkap'!G34</f>
        <v>23500000</v>
      </c>
    </row>
    <row r="14" spans="1:7" ht="15" customHeight="1" x14ac:dyDescent="0.2">
      <c r="B14" s="13" t="s">
        <v>17</v>
      </c>
      <c r="C14" s="14">
        <f>'Analisis Lengkap'!C36</f>
        <v>12000000</v>
      </c>
      <c r="D14" s="14">
        <f>'Analisis Lengkap'!D36</f>
        <v>11000000</v>
      </c>
      <c r="E14" s="14">
        <f>'Analisis Lengkap'!E36</f>
        <v>20000000</v>
      </c>
      <c r="F14" s="14">
        <f>'Analisis Lengkap'!F36</f>
        <v>31500000</v>
      </c>
      <c r="G14" s="14">
        <f>'Analisis Lengkap'!G36</f>
        <v>23500000</v>
      </c>
    </row>
    <row r="15" spans="1:7" ht="15" customHeight="1" x14ac:dyDescent="0.2">
      <c r="B15" s="9" t="s">
        <v>18</v>
      </c>
      <c r="C15" s="10">
        <f>'Analisis Lengkap'!C37</f>
        <v>0</v>
      </c>
      <c r="D15" s="10">
        <f>'Analisis Lengkap'!D37</f>
        <v>0</v>
      </c>
      <c r="E15" s="10">
        <f>'Analisis Lengkap'!E37</f>
        <v>0</v>
      </c>
      <c r="F15" s="10">
        <f>'Analisis Lengkap'!F37</f>
        <v>0</v>
      </c>
      <c r="G15" s="10">
        <f>'Analisis Lengkap'!G37</f>
        <v>0</v>
      </c>
    </row>
    <row r="16" spans="1:7" ht="15" customHeight="1" x14ac:dyDescent="0.2">
      <c r="B16" s="9" t="s">
        <v>19</v>
      </c>
      <c r="C16" s="10">
        <f>'Analisis Lengkap'!C39</f>
        <v>4335000</v>
      </c>
      <c r="D16" s="10">
        <f>'Analisis Lengkap'!D39</f>
        <v>2255000</v>
      </c>
      <c r="E16" s="10">
        <f>'Analisis Lengkap'!E39</f>
        <v>7400000</v>
      </c>
      <c r="F16" s="10">
        <f>'Analisis Lengkap'!F39</f>
        <v>11430000</v>
      </c>
      <c r="G16" s="10">
        <f>'Analisis Lengkap'!G39</f>
        <v>6390000</v>
      </c>
    </row>
    <row r="17" spans="2:7" ht="15" customHeight="1" x14ac:dyDescent="0.2">
      <c r="B17" s="9" t="s">
        <v>20</v>
      </c>
      <c r="C17" s="10">
        <f>'Analisis Lengkap'!C41</f>
        <v>0</v>
      </c>
      <c r="D17" s="10">
        <f>'Analisis Lengkap'!D41</f>
        <v>0</v>
      </c>
      <c r="E17" s="10">
        <f>'Analisis Lengkap'!E41</f>
        <v>0</v>
      </c>
      <c r="F17" s="10">
        <f>'Analisis Lengkap'!F41</f>
        <v>0</v>
      </c>
      <c r="G17" s="10">
        <f>'Analisis Lengkap'!G41</f>
        <v>0</v>
      </c>
    </row>
    <row r="18" spans="2:7" ht="15" customHeight="1" x14ac:dyDescent="0.2">
      <c r="B18" s="5" t="s">
        <v>21</v>
      </c>
      <c r="C18" s="6"/>
      <c r="D18" s="6"/>
      <c r="E18" s="6"/>
      <c r="F18" s="6"/>
      <c r="G18" s="6"/>
    </row>
    <row r="19" spans="2:7" ht="15" customHeight="1" x14ac:dyDescent="0.2">
      <c r="B19" s="9" t="s">
        <v>22</v>
      </c>
      <c r="C19" s="10">
        <f>'Analisis Lengkap'!C26</f>
        <v>5880000</v>
      </c>
      <c r="D19" s="10">
        <f>'Analisis Lengkap'!D26</f>
        <v>5390000</v>
      </c>
      <c r="E19" s="10">
        <f>'Analisis Lengkap'!E26</f>
        <v>9800000</v>
      </c>
      <c r="F19" s="10">
        <f>'Analisis Lengkap'!F26</f>
        <v>15435000</v>
      </c>
      <c r="G19" s="10">
        <f>'Analisis Lengkap'!G26</f>
        <v>11515000</v>
      </c>
    </row>
    <row r="20" spans="2:7" ht="15" customHeight="1" x14ac:dyDescent="0.2">
      <c r="B20" s="9" t="s">
        <v>23</v>
      </c>
      <c r="C20" s="10">
        <f>'Analisis Lengkap'!C27</f>
        <v>1445000</v>
      </c>
      <c r="D20" s="10">
        <f>'Analisis Lengkap'!D27</f>
        <v>751666.66666666663</v>
      </c>
      <c r="E20" s="10">
        <f>'Analisis Lengkap'!E27</f>
        <v>2466666.6666666665</v>
      </c>
      <c r="F20" s="10">
        <f>'Analisis Lengkap'!F27</f>
        <v>3810000</v>
      </c>
      <c r="G20" s="10">
        <f>'Analisis Lengkap'!G27</f>
        <v>2130000</v>
      </c>
    </row>
    <row r="21" spans="2:7" ht="15" customHeight="1" x14ac:dyDescent="0.2">
      <c r="B21" s="9" t="s">
        <v>24</v>
      </c>
      <c r="C21" s="15">
        <f>'Analisis Lengkap'!C28</f>
        <v>7.2249999999999995E-2</v>
      </c>
      <c r="D21" s="15">
        <f>'Analisis Lengkap'!D28</f>
        <v>3.7583333333333337E-2</v>
      </c>
      <c r="E21" s="15">
        <f>'Analisis Lengkap'!E28</f>
        <v>0.12333333333333334</v>
      </c>
      <c r="F21" s="15">
        <f>'Analisis Lengkap'!F28</f>
        <v>0.1905</v>
      </c>
      <c r="G21" s="15">
        <f>'Analisis Lengkap'!G28</f>
        <v>0.1065</v>
      </c>
    </row>
    <row r="22" spans="2:7" ht="15" customHeight="1" x14ac:dyDescent="0.2">
      <c r="B22" s="9" t="s">
        <v>25</v>
      </c>
      <c r="C22" s="10">
        <f>'Analisis Lengkap'!C24</f>
        <v>9585000</v>
      </c>
      <c r="D22" s="10">
        <f>'Analisis Lengkap'!D24</f>
        <v>7505000</v>
      </c>
      <c r="E22" s="10">
        <f>'Analisis Lengkap'!E24</f>
        <v>15800000</v>
      </c>
      <c r="F22" s="10">
        <f>'Analisis Lengkap'!F24</f>
        <v>24030000</v>
      </c>
      <c r="G22" s="10">
        <f>'Analisis Lengkap'!G24</f>
        <v>18990000</v>
      </c>
    </row>
    <row r="23" spans="2:7" ht="15" customHeight="1" x14ac:dyDescent="0.2">
      <c r="B23" s="5" t="s">
        <v>26</v>
      </c>
      <c r="C23" s="6"/>
      <c r="D23" s="6"/>
      <c r="E23" s="6"/>
      <c r="F23" s="6"/>
      <c r="G23" s="6"/>
    </row>
    <row r="24" spans="2:7" ht="60" customHeight="1" x14ac:dyDescent="0.2">
      <c r="B24" s="7" t="s">
        <v>27</v>
      </c>
      <c r="C24" s="12" t="str">
        <f>'Analisis Lengkap'!C42</f>
        <v>Harga sekarang sudah sehat - pertahankan</v>
      </c>
      <c r="D24" s="12" t="str">
        <f>'Analisis Lengkap'!D42</f>
        <v>Harga sekarang sudah sehat - pertahankan</v>
      </c>
      <c r="E24" s="12" t="str">
        <f>'Analisis Lengkap'!E42</f>
        <v>Harga sekarang sudah sehat - pertahankan</v>
      </c>
      <c r="F24" s="12" t="str">
        <f>'Analisis Lengkap'!F42</f>
        <v>Harga sekarang sudah sehat - pertahankan</v>
      </c>
      <c r="G24" s="12" t="str">
        <f>'Analisis Lengkap'!G42</f>
        <v>Harga sekarang sudah sehat - pertahankan</v>
      </c>
    </row>
    <row r="26" spans="2:7" ht="15" customHeight="1" x14ac:dyDescent="0.2">
      <c r="B26" s="2" t="s">
        <v>28</v>
      </c>
    </row>
    <row r="27" spans="2:7" ht="15" customHeight="1" x14ac:dyDescent="0.2">
      <c r="B27" s="2" t="s">
        <v>29</v>
      </c>
    </row>
  </sheetData>
  <conditionalFormatting sqref="C10:F10">
    <cfRule type="expression" dxfId="3" priority="2">
      <formula>C10="Di bawah minimum"</formula>
    </cfRule>
    <cfRule type="expression" dxfId="2" priority="3">
      <formula>C10&lt;&gt;"Di bawah minimum"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5" width="26" customWidth="1"/>
    <col min="6" max="7" width="13" customWidth="1"/>
  </cols>
  <sheetData>
    <row r="1" spans="1:7" ht="17.25" customHeight="1" x14ac:dyDescent="0.2">
      <c r="A1" s="1" t="s">
        <v>30</v>
      </c>
    </row>
    <row r="2" spans="1:7" ht="15" customHeight="1" x14ac:dyDescent="0.2">
      <c r="A2" s="2" t="s">
        <v>31</v>
      </c>
    </row>
    <row r="4" spans="1:7" ht="23.75" customHeight="1" x14ac:dyDescent="0.2">
      <c r="A4" s="3"/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</row>
    <row r="5" spans="1:7" ht="15" customHeight="1" x14ac:dyDescent="0.2">
      <c r="B5" s="5" t="s">
        <v>38</v>
      </c>
      <c r="C5" s="6"/>
      <c r="D5" s="6"/>
      <c r="E5" s="6"/>
      <c r="F5" s="6"/>
      <c r="G5" s="6"/>
    </row>
    <row r="6" spans="1:7" ht="15" customHeight="1" x14ac:dyDescent="0.2">
      <c r="B6" s="9" t="s">
        <v>39</v>
      </c>
      <c r="C6" s="16" t="str">
        <f>'Desain Program'!D8&amp;" sesi"</f>
        <v>15 sesi</v>
      </c>
      <c r="D6" s="16" t="str">
        <f>'Desain Program'!E8&amp;" sesi"</f>
        <v>15 sesi</v>
      </c>
      <c r="E6" s="16" t="str">
        <f>'Desain Program'!F8&amp;" sesi"</f>
        <v>24 sesi</v>
      </c>
      <c r="F6" s="16" t="str">
        <f>'Desain Program'!G8&amp;" sesi"</f>
        <v>36 sesi</v>
      </c>
      <c r="G6" s="16" t="str">
        <f>'Desain Program'!H8&amp;" sesi"</f>
        <v>36 sesi</v>
      </c>
    </row>
    <row r="7" spans="1:7" ht="15" customHeight="1" x14ac:dyDescent="0.2">
      <c r="B7" s="9" t="s">
        <v>40</v>
      </c>
      <c r="C7" s="16" t="str">
        <f>"± "&amp;TEXT('Desain Program'!D9,"0")&amp;" pegawai (3 sesi/orang)"</f>
        <v>± 5 pegawai (3 sesi/orang)</v>
      </c>
      <c r="D7" s="16" t="str">
        <f>"± "&amp;TEXT('Desain Program'!E9,"0")&amp;" pegawai (3 sesi/orang)"</f>
        <v>± 5 pegawai (3 sesi/orang)</v>
      </c>
      <c r="E7" s="16" t="str">
        <f>"± "&amp;TEXT('Desain Program'!F9,"0")&amp;" pegawai (3 sesi/orang)"</f>
        <v>± 8 pegawai (3 sesi/orang)</v>
      </c>
      <c r="F7" s="16" t="str">
        <f>"± "&amp;TEXT('Desain Program'!G9,"0")&amp;" pegawai (3 sesi/orang)"</f>
        <v>± 12 pegawai (3 sesi/orang)</v>
      </c>
      <c r="G7" s="16" t="str">
        <f>"± "&amp;TEXT('Desain Program'!H9,"0")&amp;" pegawai (3 sesi/orang)"</f>
        <v>± 12 pegawai (3 sesi/orang)</v>
      </c>
    </row>
    <row r="8" spans="1:7" ht="15" customHeight="1" x14ac:dyDescent="0.2">
      <c r="B8" s="9" t="s">
        <v>41</v>
      </c>
      <c r="C8" s="16" t="str">
        <f>IF('Desain Program'!D10=0,"-",'Desain Program'!D10&amp;"x ("&amp;IF('Desain Program'!D10&gt;=2,"pre &amp; post","baseline")&amp;")")</f>
        <v>-</v>
      </c>
      <c r="D8" s="16" t="str">
        <f>IF('Desain Program'!E10=0,"-",'Desain Program'!E10&amp;"x ("&amp;IF('Desain Program'!E10&gt;=2,"pre &amp; post","baseline")&amp;")")</f>
        <v>1x (baseline)</v>
      </c>
      <c r="E8" s="16" t="str">
        <f>IF('Desain Program'!F10=0,"-",'Desain Program'!F10&amp;"x ("&amp;IF('Desain Program'!F10&gt;=2,"pre &amp; post","baseline")&amp;")")</f>
        <v>1x (baseline)</v>
      </c>
      <c r="F8" s="16" t="str">
        <f>IF('Desain Program'!G10=0,"-",'Desain Program'!G10&amp;"x ("&amp;IF('Desain Program'!G10&gt;=2,"pre &amp; post","baseline")&amp;")")</f>
        <v>2x (pre &amp; post)</v>
      </c>
      <c r="G8" s="16" t="str">
        <f>IF('Desain Program'!H10=0,"-",'Desain Program'!H10&amp;"x ("&amp;IF('Desain Program'!H10&gt;=2,"pre &amp; post","baseline")&amp;")")</f>
        <v>2x (pre &amp; post)</v>
      </c>
    </row>
    <row r="9" spans="1:7" ht="23.75" customHeight="1" x14ac:dyDescent="0.2">
      <c r="B9" s="9" t="s">
        <v>42</v>
      </c>
      <c r="C9" s="16" t="str">
        <f>IF('Desain Program'!D11=1,IF('Desain Program'!D10&gt;=2,"Ya, dengan perbandingan pre/post","Ya"),"-")</f>
        <v>-</v>
      </c>
      <c r="D9" s="16" t="str">
        <f>IF('Desain Program'!E11=1,IF('Desain Program'!E10&gt;=2,"Ya, dengan perbandingan pre/post","Ya"),"-")</f>
        <v>Ya</v>
      </c>
      <c r="E9" s="16" t="str">
        <f>IF('Desain Program'!F11=1,IF('Desain Program'!F10&gt;=2,"Ya, dengan perbandingan pre/post","Ya"),"-")</f>
        <v>Ya</v>
      </c>
      <c r="F9" s="16" t="str">
        <f>IF('Desain Program'!G11=1,IF('Desain Program'!G10&gt;=2,"Ya, dengan perbandingan pre/post","Ya"),"-")</f>
        <v>Ya, dengan perbandingan pre/post</v>
      </c>
      <c r="G9" s="16" t="str">
        <f>IF('Desain Program'!H11=1,IF('Desain Program'!H10&gt;=2,"Ya, dengan perbandingan pre/post","Ya"),"-")</f>
        <v>Ya, dengan perbandingan pre/post</v>
      </c>
    </row>
    <row r="10" spans="1:7" ht="15" customHeight="1" x14ac:dyDescent="0.2">
      <c r="B10" s="9" t="s">
        <v>43</v>
      </c>
      <c r="C10" s="16" t="str">
        <f>IF('Desain Program'!D12=1,"Ya","-")</f>
        <v>-</v>
      </c>
      <c r="D10" s="16" t="str">
        <f>IF('Desain Program'!E12=1,"Ya","-")</f>
        <v>-</v>
      </c>
      <c r="E10" s="16" t="str">
        <f>IF('Desain Program'!F12=1,"Ya","-")</f>
        <v>-</v>
      </c>
      <c r="F10" s="16" t="str">
        <f>IF('Desain Program'!G12=1,"Ya","-")</f>
        <v>Ya</v>
      </c>
      <c r="G10" s="16" t="str">
        <f>IF('Desain Program'!H12=1,"Ya","-")</f>
        <v>Ya</v>
      </c>
    </row>
    <row r="11" spans="1:7" ht="15" customHeight="1" x14ac:dyDescent="0.2">
      <c r="B11" s="9" t="s">
        <v>44</v>
      </c>
      <c r="C11" s="16" t="str">
        <f>IF('Desain Program'!D13+'Desain Program'!D14+'Desain Program'!D15=0,"-",IF('Desain Program'!D14&gt;0,'Desain Program'!D14&amp;" seminar offline",IF('Desain Program'!D13&gt;0,'Desain Program'!D13&amp;" webinar online",""))&amp;IF('Desain Program'!D15&gt;0,IF('Desain Program'!D13+'Desain Program'!D14&gt;0," + ","")&amp;'Desain Program'!D15&amp;" penyuluhan gratis (30 menit, terbuka untuk umum)",""))</f>
        <v>1 webinar online</v>
      </c>
      <c r="D11" s="16" t="str">
        <f>IF('Desain Program'!E13+'Desain Program'!E14+'Desain Program'!E15=0,"-",IF('Desain Program'!E14&gt;0,'Desain Program'!E14&amp;" seminar offline",IF('Desain Program'!E13&gt;0,'Desain Program'!E13&amp;" webinar online",""))&amp;IF('Desain Program'!E15&gt;0,IF('Desain Program'!E13+'Desain Program'!E14&gt;0," + ","")&amp;'Desain Program'!E15&amp;" penyuluhan gratis (30 menit, terbuka untuk umum)",""))</f>
        <v>1 webinar online</v>
      </c>
      <c r="E11" s="16" t="str">
        <f>IF('Desain Program'!F13+'Desain Program'!F14+'Desain Program'!F15=0,"-",IF('Desain Program'!F14&gt;0,'Desain Program'!F14&amp;" seminar offline",IF('Desain Program'!F13&gt;0,'Desain Program'!F13&amp;" webinar online",""))&amp;IF('Desain Program'!F15&gt;0,IF('Desain Program'!F13+'Desain Program'!F14&gt;0," + ","")&amp;'Desain Program'!F15&amp;" penyuluhan gratis (30 menit, terbuka untuk umum)",""))</f>
        <v>1 webinar online</v>
      </c>
      <c r="F11" s="16" t="str">
        <f>IF('Desain Program'!G13+'Desain Program'!G14+'Desain Program'!G15=0,"-",IF('Desain Program'!G14&gt;0,'Desain Program'!G14&amp;" seminar offline",IF('Desain Program'!G13&gt;0,'Desain Program'!G13&amp;" webinar online",""))&amp;IF('Desain Program'!G15&gt;0,IF('Desain Program'!G13+'Desain Program'!G14&gt;0," + ","")&amp;'Desain Program'!G15&amp;" penyuluhan gratis (30 menit, terbuka untuk umum)",""))</f>
        <v>1 seminar offline</v>
      </c>
      <c r="G11" s="16" t="str">
        <f>IF('Desain Program'!H13+'Desain Program'!H14+'Desain Program'!H15=0,"-",IF('Desain Program'!H14&gt;0,'Desain Program'!H14&amp;" seminar offline",IF('Desain Program'!H13&gt;0,'Desain Program'!H13&amp;" webinar online",""))&amp;IF('Desain Program'!H15&gt;0,IF('Desain Program'!H13+'Desain Program'!H14&gt;0," + ","")&amp;'Desain Program'!H15&amp;" penyuluhan gratis (30 menit, terbuka untuk umum)",""))</f>
        <v>2 penyuluhan gratis (30 menit, terbuka untuk umum)</v>
      </c>
    </row>
    <row r="12" spans="1:7" ht="23.75" customHeight="1" x14ac:dyDescent="0.2">
      <c r="B12" s="9" t="s">
        <v>45</v>
      </c>
      <c r="C12" s="16" t="str">
        <f>'Input Tarif'!$D$19&amp;" bulan sejak SPK"</f>
        <v>3 bulan sejak SPK</v>
      </c>
      <c r="D12" s="16" t="str">
        <f>"Kuota per "&amp;'Input Tarif'!$D$19&amp;" bulan, kontrak 1 tahun (4 term)"</f>
        <v>Kuota per 3 bulan, kontrak 1 tahun (4 term)</v>
      </c>
      <c r="E12" s="16" t="str">
        <f>'Input Tarif'!$D$19&amp;" bulan sejak SPK"</f>
        <v>3 bulan sejak SPK</v>
      </c>
      <c r="F12" s="16" t="str">
        <f>'Input Tarif'!$D$19&amp;" bulan sejak SPK"</f>
        <v>3 bulan sejak SPK</v>
      </c>
      <c r="G12" s="16" t="str">
        <f>'Input Tarif'!$D$19&amp;" bulan sejak SPK"</f>
        <v>3 bulan sejak SPK</v>
      </c>
    </row>
    <row r="13" spans="1:7" ht="15" customHeight="1" x14ac:dyDescent="0.2">
      <c r="B13" s="5" t="s">
        <v>46</v>
      </c>
      <c r="C13" s="6"/>
      <c r="D13" s="6"/>
      <c r="E13" s="6"/>
      <c r="F13" s="6"/>
      <c r="G13" s="6"/>
    </row>
    <row r="14" spans="1:7" ht="15" customHeight="1" x14ac:dyDescent="0.2">
      <c r="B14" s="9" t="s">
        <v>47</v>
      </c>
      <c r="C14" s="17" t="str">
        <f>IF('Analisis Lengkap'!C30&gt;'Analisis Lengkap'!C6,'Analisis Lengkap'!C30,"-")</f>
        <v>-</v>
      </c>
      <c r="D14" s="17">
        <f>IF('Analisis Lengkap'!D30&gt;'Analisis Lengkap'!D6,'Analisis Lengkap'!D30,"-")</f>
        <v>15000000</v>
      </c>
      <c r="E14" s="17" t="str">
        <f>IF('Analisis Lengkap'!E30&gt;'Analisis Lengkap'!E6,'Analisis Lengkap'!E30,"-")</f>
        <v>-</v>
      </c>
      <c r="F14" s="17" t="str">
        <f>IF('Analisis Lengkap'!F30&gt;'Analisis Lengkap'!F6,'Analisis Lengkap'!F30,"-")</f>
        <v>-</v>
      </c>
      <c r="G14" s="17">
        <f>IF('Analisis Lengkap'!G30&gt;'Analisis Lengkap'!G6,'Analisis Lengkap'!G30,"-")</f>
        <v>27000000</v>
      </c>
    </row>
    <row r="15" spans="1:7" ht="15" customHeight="1" x14ac:dyDescent="0.2">
      <c r="B15" s="13" t="s">
        <v>48</v>
      </c>
      <c r="C15" s="18">
        <f>'Analisis Lengkap'!C6</f>
        <v>12000000</v>
      </c>
      <c r="D15" s="18">
        <f>'Analisis Lengkap'!D6</f>
        <v>11000000</v>
      </c>
      <c r="E15" s="18">
        <f>'Analisis Lengkap'!E6</f>
        <v>20000000</v>
      </c>
      <c r="F15" s="18">
        <f>'Analisis Lengkap'!F6</f>
        <v>31500000</v>
      </c>
      <c r="G15" s="18">
        <f>'Analisis Lengkap'!G6</f>
        <v>23500000</v>
      </c>
    </row>
    <row r="16" spans="1:7" ht="15" customHeight="1" x14ac:dyDescent="0.2">
      <c r="B16" s="7" t="s">
        <v>49</v>
      </c>
      <c r="C16" s="19" t="str">
        <f>IF('Analisis Lengkap'!C30-'Analisis Lengkap'!C6&gt;0,"Rp"&amp;TEXT('Analisis Lengkap'!C30-'Analisis Lengkap'!C6,"#,##0")&amp;" ("&amp;TEXT(1-'Analisis Lengkap'!C6/'Analisis Lengkap'!C30,"0%")&amp;")","-")</f>
        <v>-</v>
      </c>
      <c r="D16" s="19" t="str">
        <f>IF('Analisis Lengkap'!D30-'Analisis Lengkap'!D6&gt;0,"Rp"&amp;TEXT('Analisis Lengkap'!D30-'Analisis Lengkap'!D6,"#,##0")&amp;" ("&amp;TEXT(1-'Analisis Lengkap'!D6/'Analisis Lengkap'!D30,"0%")&amp;")","-")</f>
        <v>Rp4000000,0 (27%)</v>
      </c>
      <c r="E16" s="19" t="str">
        <f>IF('Analisis Lengkap'!E30-'Analisis Lengkap'!E6&gt;0,"Rp"&amp;TEXT('Analisis Lengkap'!E30-'Analisis Lengkap'!E6,"#,##0")&amp;" ("&amp;TEXT(1-'Analisis Lengkap'!E6/'Analisis Lengkap'!E30,"0%")&amp;")","-")</f>
        <v>-</v>
      </c>
      <c r="F16" s="19" t="str">
        <f>IF('Analisis Lengkap'!F30-'Analisis Lengkap'!F6&gt;0,"Rp"&amp;TEXT('Analisis Lengkap'!F30-'Analisis Lengkap'!F6,"#,##0")&amp;" ("&amp;TEXT(1-'Analisis Lengkap'!F6/'Analisis Lengkap'!F30,"0%")&amp;")","-")</f>
        <v>-</v>
      </c>
      <c r="G16" s="19" t="str">
        <f>IF('Analisis Lengkap'!G30-'Analisis Lengkap'!G6&gt;0,"Rp"&amp;TEXT('Analisis Lengkap'!G30-'Analisis Lengkap'!G6,"#,##0")&amp;" ("&amp;TEXT(1-'Analisis Lengkap'!G6/'Analisis Lengkap'!G30,"0%")&amp;")","-")</f>
        <v>Rp3500000,0 (13%)</v>
      </c>
    </row>
    <row r="17" spans="2:7" ht="15" customHeight="1" x14ac:dyDescent="0.2">
      <c r="B17" s="9" t="s">
        <v>50</v>
      </c>
      <c r="C17" s="17">
        <f>'Analisis Lengkap'!C7</f>
        <v>4000000</v>
      </c>
      <c r="D17" s="17">
        <f>'Analisis Lengkap'!D7</f>
        <v>3666666.6666666665</v>
      </c>
      <c r="E17" s="17">
        <f>'Analisis Lengkap'!E7</f>
        <v>6666666.666666667</v>
      </c>
      <c r="F17" s="17">
        <f>'Analisis Lengkap'!F7</f>
        <v>10500000</v>
      </c>
      <c r="G17" s="17">
        <f>'Analisis Lengkap'!G7</f>
        <v>7833333.333333333</v>
      </c>
    </row>
    <row r="18" spans="2:7" ht="15" customHeight="1" x14ac:dyDescent="0.2">
      <c r="B18" s="9" t="s">
        <v>51</v>
      </c>
      <c r="C18" s="17">
        <f>'Analisis Lengkap'!C6/'Desain Program'!D9</f>
        <v>2400000</v>
      </c>
      <c r="D18" s="17">
        <f>'Analisis Lengkap'!D6/'Desain Program'!E9</f>
        <v>2200000</v>
      </c>
      <c r="E18" s="17">
        <f>'Analisis Lengkap'!E6/'Desain Program'!F9</f>
        <v>2500000</v>
      </c>
      <c r="F18" s="17">
        <f>'Analisis Lengkap'!F6/'Desain Program'!G9</f>
        <v>2625000</v>
      </c>
      <c r="G18" s="17">
        <f>'Analisis Lengkap'!G6/'Desain Program'!H9</f>
        <v>1958333.3333333333</v>
      </c>
    </row>
    <row r="20" spans="2:7" ht="15" customHeight="1" x14ac:dyDescent="0.2">
      <c r="B20" s="5" t="s">
        <v>52</v>
      </c>
      <c r="C20" s="6"/>
      <c r="D20" s="6"/>
      <c r="E20" s="6"/>
      <c r="F20" s="6"/>
    </row>
    <row r="21" spans="2:7" ht="15" customHeight="1" x14ac:dyDescent="0.2">
      <c r="B21" s="7" t="s">
        <v>53</v>
      </c>
      <c r="C21" s="42" t="s">
        <v>54</v>
      </c>
      <c r="D21" s="43"/>
      <c r="E21" s="43"/>
      <c r="F21" s="43"/>
      <c r="G21" s="44"/>
    </row>
    <row r="22" spans="2:7" ht="15" customHeight="1" x14ac:dyDescent="0.2">
      <c r="B22" s="7" t="s">
        <v>55</v>
      </c>
      <c r="C22" s="42" t="str">
        <f>"Paket 3 bulan: DP "&amp;TEXT('Input Tarif'!$D$21,"0%")&amp;" saat SPK, pelunasan setelah laporan akhir. Jeda Tahunan: 2x per semester (Rp22.000.000 di awal tiap semester, total Rp44.000.000/tahun)"</f>
        <v>Paket 3 bulan: DP 50% saat SPK, pelunasan setelah laporan akhir. Jeda Tahunan: 2x per semester (Rp22.000.000 di awal tiap semester, total Rp44.000.000/tahun)</v>
      </c>
      <c r="D22" s="43"/>
      <c r="E22" s="43"/>
      <c r="F22" s="43"/>
      <c r="G22" s="44"/>
    </row>
    <row r="23" spans="2:7" ht="15" customHeight="1" x14ac:dyDescent="0.2">
      <c r="B23" s="7" t="s">
        <v>56</v>
      </c>
      <c r="C23" s="42" t="s">
        <v>57</v>
      </c>
      <c r="D23" s="43"/>
      <c r="E23" s="43"/>
      <c r="F23" s="43"/>
      <c r="G23" s="44"/>
    </row>
    <row r="24" spans="2:7" ht="15" customHeight="1" x14ac:dyDescent="0.2">
      <c r="B24" s="7" t="s">
        <v>58</v>
      </c>
      <c r="C24" s="42" t="str">
        <f>"Rp"&amp;TEXT('Input Tarif'!$D$17,"#,##0")&amp;" per sesi"</f>
        <v>Rp500000,0 per sesi</v>
      </c>
      <c r="D24" s="43"/>
      <c r="E24" s="43"/>
      <c r="F24" s="43"/>
      <c r="G24" s="44"/>
    </row>
    <row r="25" spans="2:7" ht="15" customHeight="1" x14ac:dyDescent="0.2">
      <c r="B25" s="7" t="s">
        <v>59</v>
      </c>
      <c r="C25" s="42" t="s">
        <v>60</v>
      </c>
      <c r="D25" s="43"/>
      <c r="E25" s="43"/>
      <c r="F25" s="43"/>
      <c r="G25" s="44"/>
    </row>
    <row r="26" spans="2:7" ht="15" customHeight="1" x14ac:dyDescent="0.2">
      <c r="B26" s="7" t="s">
        <v>61</v>
      </c>
      <c r="C26" s="42" t="s">
        <v>62</v>
      </c>
      <c r="D26" s="43"/>
      <c r="E26" s="43"/>
      <c r="F26" s="43"/>
      <c r="G26" s="44"/>
    </row>
  </sheetData>
  <mergeCells count="6">
    <mergeCell ref="C26:G26"/>
    <mergeCell ref="C21:G21"/>
    <mergeCell ref="C24:G24"/>
    <mergeCell ref="C25:G25"/>
    <mergeCell ref="C23:G23"/>
    <mergeCell ref="C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8" customWidth="1"/>
    <col min="3" max="3" width="22" customWidth="1"/>
    <col min="4" max="4" width="30" customWidth="1"/>
    <col min="5" max="5" width="22" customWidth="1"/>
    <col min="6" max="7" width="13" customWidth="1"/>
  </cols>
  <sheetData>
    <row r="1" spans="1:7" ht="17.25" customHeight="1" x14ac:dyDescent="0.2">
      <c r="A1" s="1" t="s">
        <v>63</v>
      </c>
    </row>
    <row r="2" spans="1:7" ht="15" customHeight="1" x14ac:dyDescent="0.2">
      <c r="A2" s="2" t="s">
        <v>64</v>
      </c>
    </row>
    <row r="4" spans="1:7" ht="15" customHeight="1" x14ac:dyDescent="0.2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7" ht="15" customHeight="1" x14ac:dyDescent="0.2">
      <c r="B5" s="5" t="s">
        <v>65</v>
      </c>
      <c r="C5" s="6"/>
      <c r="D5" s="6"/>
      <c r="E5" s="6"/>
      <c r="F5" s="6"/>
      <c r="G5" s="6"/>
    </row>
    <row r="6" spans="1:7" ht="15" customHeight="1" x14ac:dyDescent="0.2">
      <c r="B6" s="7" t="s">
        <v>66</v>
      </c>
      <c r="C6" s="20">
        <f>'Desain Program'!D5</f>
        <v>12000000</v>
      </c>
      <c r="D6" s="20">
        <f>'Desain Program'!E5</f>
        <v>11000000</v>
      </c>
      <c r="E6" s="20">
        <f>'Desain Program'!F5</f>
        <v>20000000</v>
      </c>
      <c r="F6" s="20">
        <f>'Desain Program'!G5</f>
        <v>31500000</v>
      </c>
      <c r="G6" s="20">
        <f>'Desain Program'!H5</f>
        <v>23500000</v>
      </c>
    </row>
    <row r="7" spans="1:7" ht="15" customHeight="1" x14ac:dyDescent="0.2">
      <c r="B7" s="9" t="s">
        <v>50</v>
      </c>
      <c r="C7" s="21">
        <f>'Desain Program'!D5/'Input Tarif'!$D$19</f>
        <v>4000000</v>
      </c>
      <c r="D7" s="21">
        <f>'Desain Program'!E5/'Input Tarif'!$D$19</f>
        <v>3666666.6666666665</v>
      </c>
      <c r="E7" s="21">
        <f>'Desain Program'!F5/'Input Tarif'!$D$19</f>
        <v>6666666.666666667</v>
      </c>
      <c r="F7" s="21">
        <f>'Desain Program'!G5/'Input Tarif'!$D$19</f>
        <v>10500000</v>
      </c>
      <c r="G7" s="21">
        <f>'Desain Program'!H5/'Input Tarif'!$D$19</f>
        <v>7833333.333333333</v>
      </c>
    </row>
    <row r="8" spans="1:7" ht="15" customHeight="1" x14ac:dyDescent="0.2">
      <c r="B8" s="9" t="s">
        <v>67</v>
      </c>
      <c r="C8" s="22" t="str">
        <f>TEXT('Desain Program'!D8,"0")&amp;" sesi / "&amp;TEXT('Desain Program'!D9,"0")&amp;" org"</f>
        <v>15 sesi / 5 org</v>
      </c>
      <c r="D8" s="22" t="str">
        <f>TEXT('Desain Program'!E8,"0")&amp;" sesi / "&amp;TEXT('Desain Program'!E9,"0")&amp;" org"</f>
        <v>15 sesi / 5 org</v>
      </c>
      <c r="E8" s="22" t="str">
        <f>TEXT('Desain Program'!F8,"0")&amp;" sesi / "&amp;TEXT('Desain Program'!F9,"0")&amp;" org"</f>
        <v>24 sesi / 8 org</v>
      </c>
      <c r="F8" s="22" t="str">
        <f>TEXT('Desain Program'!G8,"0")&amp;" sesi / "&amp;TEXT('Desain Program'!G9,"0")&amp;" org"</f>
        <v>36 sesi / 12 org</v>
      </c>
      <c r="G8" s="22" t="str">
        <f>TEXT('Desain Program'!H8,"0")&amp;" sesi / "&amp;TEXT('Desain Program'!H9,"0")&amp;" org"</f>
        <v>36 sesi / 12 org</v>
      </c>
    </row>
    <row r="9" spans="1:7" ht="15" customHeight="1" x14ac:dyDescent="0.2">
      <c r="B9" s="5" t="s">
        <v>68</v>
      </c>
      <c r="C9" s="6"/>
      <c r="D9" s="6"/>
      <c r="E9" s="6"/>
      <c r="F9" s="6"/>
      <c r="G9" s="6"/>
    </row>
    <row r="10" spans="1:7" ht="15" customHeight="1" x14ac:dyDescent="0.2">
      <c r="B10" s="9" t="s">
        <v>69</v>
      </c>
      <c r="C10" s="21">
        <f>'Rincian Biaya'!D8</f>
        <v>5775000</v>
      </c>
      <c r="D10" s="21">
        <f>'Rincian Biaya'!E8</f>
        <v>5775000</v>
      </c>
      <c r="E10" s="21">
        <f>'Rincian Biaya'!F8</f>
        <v>9240000</v>
      </c>
      <c r="F10" s="21">
        <f>'Rincian Biaya'!G8</f>
        <v>13860000</v>
      </c>
      <c r="G10" s="21">
        <f>'Rincian Biaya'!H8</f>
        <v>13860000</v>
      </c>
    </row>
    <row r="11" spans="1:7" ht="15" customHeight="1" x14ac:dyDescent="0.2">
      <c r="B11" s="9" t="s">
        <v>70</v>
      </c>
      <c r="C11" s="21">
        <f>'Rincian Biaya'!D13</f>
        <v>0</v>
      </c>
      <c r="D11" s="21">
        <f>'Rincian Biaya'!E13</f>
        <v>1100000</v>
      </c>
      <c r="E11" s="21">
        <f>'Rincian Biaya'!F13</f>
        <v>1310000</v>
      </c>
      <c r="F11" s="21">
        <f>'Rincian Biaya'!G13</f>
        <v>2430000</v>
      </c>
      <c r="G11" s="21">
        <f>'Rincian Biaya'!H13</f>
        <v>2430000</v>
      </c>
    </row>
    <row r="12" spans="1:7" ht="15" customHeight="1" x14ac:dyDescent="0.2">
      <c r="B12" s="9" t="s">
        <v>71</v>
      </c>
      <c r="C12" s="21">
        <f>'Rincian Biaya'!D19</f>
        <v>1500000</v>
      </c>
      <c r="D12" s="21">
        <f>'Rincian Biaya'!E19</f>
        <v>1500000</v>
      </c>
      <c r="E12" s="21">
        <f>'Rincian Biaya'!F19</f>
        <v>1500000</v>
      </c>
      <c r="F12" s="21">
        <f>'Rincian Biaya'!G19</f>
        <v>3000000</v>
      </c>
      <c r="G12" s="21">
        <f>'Rincian Biaya'!H19</f>
        <v>200000</v>
      </c>
    </row>
    <row r="13" spans="1:7" ht="15" customHeight="1" x14ac:dyDescent="0.2">
      <c r="B13" s="9" t="s">
        <v>72</v>
      </c>
      <c r="C13" s="21">
        <f>'Rincian Biaya'!D23</f>
        <v>150000</v>
      </c>
      <c r="D13" s="21">
        <f>'Rincian Biaya'!E23</f>
        <v>150000</v>
      </c>
      <c r="E13" s="21">
        <f>'Rincian Biaya'!F23</f>
        <v>150000</v>
      </c>
      <c r="F13" s="21">
        <f>'Rincian Biaya'!G23</f>
        <v>150000</v>
      </c>
      <c r="G13" s="21">
        <f>'Rincian Biaya'!H23</f>
        <v>150000</v>
      </c>
    </row>
    <row r="14" spans="1:7" ht="15" customHeight="1" x14ac:dyDescent="0.2">
      <c r="B14" s="9" t="s">
        <v>73</v>
      </c>
      <c r="C14" s="21">
        <f>'Rincian Biaya'!D28</f>
        <v>240000</v>
      </c>
      <c r="D14" s="21">
        <f>'Rincian Biaya'!E28</f>
        <v>220000</v>
      </c>
      <c r="E14" s="21">
        <f>'Rincian Biaya'!F28</f>
        <v>400000</v>
      </c>
      <c r="F14" s="21">
        <f>'Rincian Biaya'!G28</f>
        <v>630000</v>
      </c>
      <c r="G14" s="21">
        <f>'Rincian Biaya'!H28</f>
        <v>470000</v>
      </c>
    </row>
    <row r="15" spans="1:7" ht="15" customHeight="1" x14ac:dyDescent="0.2">
      <c r="B15" s="13" t="s">
        <v>10</v>
      </c>
      <c r="C15" s="23">
        <f>'Rincian Biaya'!D30</f>
        <v>7665000</v>
      </c>
      <c r="D15" s="23">
        <f>'Rincian Biaya'!E30</f>
        <v>8745000</v>
      </c>
      <c r="E15" s="23">
        <f>'Rincian Biaya'!F30</f>
        <v>12600000</v>
      </c>
      <c r="F15" s="23">
        <f>'Rincian Biaya'!G30</f>
        <v>20070000</v>
      </c>
      <c r="G15" s="23">
        <f>'Rincian Biaya'!H30</f>
        <v>17110000</v>
      </c>
    </row>
    <row r="16" spans="1:7" ht="15" customHeight="1" x14ac:dyDescent="0.2">
      <c r="B16" s="9" t="s">
        <v>74</v>
      </c>
      <c r="C16" s="24">
        <f>IF('Desain Program'!D5=0,0,'Rincian Biaya'!D30/'Desain Program'!D5)</f>
        <v>0.63875000000000004</v>
      </c>
      <c r="D16" s="24">
        <f>IF('Desain Program'!E5=0,0,'Rincian Biaya'!E30/'Desain Program'!E5)</f>
        <v>0.79500000000000004</v>
      </c>
      <c r="E16" s="24">
        <f>IF('Desain Program'!F5=0,0,'Rincian Biaya'!F30/'Desain Program'!F5)</f>
        <v>0.63</v>
      </c>
      <c r="F16" s="24">
        <f>IF('Desain Program'!G5=0,0,'Rincian Biaya'!G30/'Desain Program'!G5)</f>
        <v>0.63714285714285712</v>
      </c>
      <c r="G16" s="24">
        <f>IF('Desain Program'!H5=0,0,'Rincian Biaya'!H30/'Desain Program'!H5)</f>
        <v>0.72808510638297874</v>
      </c>
    </row>
    <row r="17" spans="2:7" ht="15" customHeight="1" x14ac:dyDescent="0.2">
      <c r="B17" s="5" t="s">
        <v>75</v>
      </c>
      <c r="C17" s="6"/>
      <c r="D17" s="6"/>
      <c r="E17" s="6"/>
      <c r="F17" s="6"/>
      <c r="G17" s="6"/>
    </row>
    <row r="18" spans="2:7" ht="15" customHeight="1" x14ac:dyDescent="0.2">
      <c r="B18" s="7" t="s">
        <v>11</v>
      </c>
      <c r="C18" s="20">
        <f>'Desain Program'!D5-'Rincian Biaya'!D30</f>
        <v>4335000</v>
      </c>
      <c r="D18" s="20">
        <f>'Desain Program'!E5-'Rincian Biaya'!E30</f>
        <v>2255000</v>
      </c>
      <c r="E18" s="20">
        <f>'Desain Program'!F5-'Rincian Biaya'!F30</f>
        <v>7400000</v>
      </c>
      <c r="F18" s="20">
        <f>'Desain Program'!G5-'Rincian Biaya'!G30</f>
        <v>11430000</v>
      </c>
      <c r="G18" s="20">
        <f>'Desain Program'!H5-'Rincian Biaya'!H30</f>
        <v>6390000</v>
      </c>
    </row>
    <row r="19" spans="2:7" ht="15" customHeight="1" x14ac:dyDescent="0.2">
      <c r="B19" s="7" t="s">
        <v>76</v>
      </c>
      <c r="C19" s="25">
        <f>IF('Desain Program'!D5=0,0,('Desain Program'!D5-'Rincian Biaya'!D30)/'Desain Program'!D5)</f>
        <v>0.36125000000000002</v>
      </c>
      <c r="D19" s="25">
        <f>IF('Desain Program'!E5=0,0,('Desain Program'!E5-'Rincian Biaya'!E30)/'Desain Program'!E5)</f>
        <v>0.20499999999999999</v>
      </c>
      <c r="E19" s="25">
        <f>IF('Desain Program'!F5=0,0,('Desain Program'!F5-'Rincian Biaya'!F30)/'Desain Program'!F5)</f>
        <v>0.37</v>
      </c>
      <c r="F19" s="25">
        <f>IF('Desain Program'!G5=0,0,('Desain Program'!G5-'Rincian Biaya'!G30)/'Desain Program'!G5)</f>
        <v>0.36285714285714288</v>
      </c>
      <c r="G19" s="25">
        <f>IF('Desain Program'!H5=0,0,('Desain Program'!H5-'Rincian Biaya'!H30)/'Desain Program'!H5)</f>
        <v>0.27191489361702126</v>
      </c>
    </row>
    <row r="20" spans="2:7" ht="15" customHeight="1" x14ac:dyDescent="0.2">
      <c r="B20" s="9" t="s">
        <v>77</v>
      </c>
      <c r="C20" s="24">
        <f>'Desain Program'!D6</f>
        <v>0.36</v>
      </c>
      <c r="D20" s="24">
        <f>'Desain Program'!E6</f>
        <v>0.2</v>
      </c>
      <c r="E20" s="24">
        <f>'Desain Program'!F6</f>
        <v>0.36</v>
      </c>
      <c r="F20" s="24">
        <f>'Desain Program'!G6</f>
        <v>0.36</v>
      </c>
      <c r="G20" s="24">
        <f>'Desain Program'!H6</f>
        <v>0.26</v>
      </c>
    </row>
    <row r="21" spans="2:7" ht="15" customHeight="1" x14ac:dyDescent="0.2">
      <c r="B21" s="9" t="s">
        <v>78</v>
      </c>
      <c r="C21" s="21">
        <f>('Rincian Biaya'!D30-'Rincian Biaya'!D26-'Rincian Biaya'!D27)/(1-'Input Tarif'!$D$13-'Input Tarif'!$D$14-'Desain Program'!D6)</f>
        <v>11975806.451612903</v>
      </c>
      <c r="D21" s="21">
        <f>('Rincian Biaya'!E30-'Rincian Biaya'!E26-'Rincian Biaya'!E27)/(1-'Input Tarif'!$D$13-'Input Tarif'!$D$14-'Desain Program'!E6)</f>
        <v>10929487.17948718</v>
      </c>
      <c r="E21" s="21">
        <f>('Rincian Biaya'!F30-'Rincian Biaya'!F26-'Rincian Biaya'!F27)/(1-'Input Tarif'!$D$13-'Input Tarif'!$D$14-'Desain Program'!F6)</f>
        <v>19677419.35483871</v>
      </c>
      <c r="F21" s="21">
        <f>('Rincian Biaya'!G30-'Rincian Biaya'!G26-'Rincian Biaya'!G27)/(1-'Input Tarif'!$D$13-'Input Tarif'!$D$14-'Desain Program'!G6)</f>
        <v>31354838.709677421</v>
      </c>
      <c r="G21" s="21">
        <f>('Rincian Biaya'!H30-'Rincian Biaya'!H26-'Rincian Biaya'!H27)/(1-'Input Tarif'!$D$13-'Input Tarif'!$D$14-'Desain Program'!H6)</f>
        <v>23111111.111111112</v>
      </c>
    </row>
    <row r="22" spans="2:7" ht="15" customHeight="1" x14ac:dyDescent="0.2">
      <c r="B22" s="9" t="s">
        <v>79</v>
      </c>
      <c r="C22" s="21">
        <f>'Desain Program'!D5-('Rincian Biaya'!D30-'Rincian Biaya'!D26-'Rincian Biaya'!D27)/(1-'Input Tarif'!$D$13-'Input Tarif'!$D$14-'Desain Program'!D6)</f>
        <v>24193.548387097195</v>
      </c>
      <c r="D22" s="21">
        <f>'Desain Program'!E5-('Rincian Biaya'!E30-'Rincian Biaya'!E26-'Rincian Biaya'!E27)/(1-'Input Tarif'!$D$13-'Input Tarif'!$D$14-'Desain Program'!E6)</f>
        <v>70512.820512820035</v>
      </c>
      <c r="E22" s="21">
        <f>'Desain Program'!F5-('Rincian Biaya'!F30-'Rincian Biaya'!F26-'Rincian Biaya'!F27)/(1-'Input Tarif'!$D$13-'Input Tarif'!$D$14-'Desain Program'!F6)</f>
        <v>322580.64516128972</v>
      </c>
      <c r="F22" s="21">
        <f>'Desain Program'!G5-('Rincian Biaya'!G30-'Rincian Biaya'!G26-'Rincian Biaya'!G27)/(1-'Input Tarif'!$D$13-'Input Tarif'!$D$14-'Desain Program'!G6)</f>
        <v>145161.29032257944</v>
      </c>
      <c r="G22" s="21">
        <f>'Desain Program'!H5-('Rincian Biaya'!H30-'Rincian Biaya'!H26-'Rincian Biaya'!H27)/(1-'Input Tarif'!$D$13-'Input Tarif'!$D$14-'Desain Program'!H6)</f>
        <v>388888.88888888806</v>
      </c>
    </row>
    <row r="23" spans="2:7" ht="15" customHeight="1" x14ac:dyDescent="0.2">
      <c r="B23" s="9" t="s">
        <v>80</v>
      </c>
      <c r="C23" s="22" t="str">
        <f>IF(C22&gt;=0,"Memenuhi target","Di bawah target")</f>
        <v>Memenuhi target</v>
      </c>
      <c r="D23" s="22" t="str">
        <f>IF(D22&gt;=0,"Memenuhi target","Di bawah target")</f>
        <v>Memenuhi target</v>
      </c>
      <c r="E23" s="22" t="str">
        <f>IF(E22&gt;=0,"Memenuhi target","Di bawah target")</f>
        <v>Memenuhi target</v>
      </c>
      <c r="F23" s="22" t="str">
        <f>IF(F22&gt;=0,"Memenuhi target","Di bawah target")</f>
        <v>Memenuhi target</v>
      </c>
      <c r="G23" s="22" t="str">
        <f>IF(G22&gt;=0,"Memenuhi target","Di bawah target")</f>
        <v>Memenuhi target</v>
      </c>
    </row>
    <row r="24" spans="2:7" ht="15" customHeight="1" x14ac:dyDescent="0.2">
      <c r="B24" s="9" t="s">
        <v>81</v>
      </c>
      <c r="C24" s="21">
        <f>'Desain Program'!D5-'Rincian Biaya'!D30+'Rincian Biaya'!D6</f>
        <v>9585000</v>
      </c>
      <c r="D24" s="21">
        <f>'Desain Program'!E5-'Rincian Biaya'!E30+'Rincian Biaya'!E6</f>
        <v>7505000</v>
      </c>
      <c r="E24" s="21">
        <f>'Desain Program'!F5-'Rincian Biaya'!F30+'Rincian Biaya'!F6</f>
        <v>15800000</v>
      </c>
      <c r="F24" s="21">
        <f>'Desain Program'!G5-'Rincian Biaya'!G30+'Rincian Biaya'!G6</f>
        <v>24030000</v>
      </c>
      <c r="G24" s="21">
        <f>'Desain Program'!H5-'Rincian Biaya'!H30+'Rincian Biaya'!H6</f>
        <v>18990000</v>
      </c>
    </row>
    <row r="25" spans="2:7" ht="15" customHeight="1" x14ac:dyDescent="0.2">
      <c r="B25" s="5" t="s">
        <v>82</v>
      </c>
      <c r="C25" s="6"/>
      <c r="D25" s="6"/>
      <c r="E25" s="6"/>
      <c r="F25" s="6"/>
      <c r="G25" s="6"/>
    </row>
    <row r="26" spans="2:7" ht="15" customHeight="1" x14ac:dyDescent="0.2">
      <c r="B26" s="9" t="s">
        <v>83</v>
      </c>
      <c r="C26" s="21">
        <f>'Desain Program'!D5*'Input Tarif'!$D$21*(1-'Input Tarif'!$D$13)</f>
        <v>5880000</v>
      </c>
      <c r="D26" s="21">
        <f>'Desain Program'!E5*'Input Tarif'!$D$21*(1-'Input Tarif'!$D$13)</f>
        <v>5390000</v>
      </c>
      <c r="E26" s="21">
        <f>'Desain Program'!F5*'Input Tarif'!$D$21*(1-'Input Tarif'!$D$13)</f>
        <v>9800000</v>
      </c>
      <c r="F26" s="21">
        <f>'Desain Program'!G5*'Input Tarif'!$D$21*(1-'Input Tarif'!$D$13)</f>
        <v>15435000</v>
      </c>
      <c r="G26" s="21">
        <f>'Desain Program'!H5*'Input Tarif'!$D$21*(1-'Input Tarif'!$D$13)</f>
        <v>11515000</v>
      </c>
    </row>
    <row r="27" spans="2:7" ht="15" customHeight="1" x14ac:dyDescent="0.2">
      <c r="B27" s="9" t="s">
        <v>84</v>
      </c>
      <c r="C27" s="21">
        <f>('Desain Program'!D5-'Rincian Biaya'!D30)/'Input Tarif'!$D$19</f>
        <v>1445000</v>
      </c>
      <c r="D27" s="21">
        <f>('Desain Program'!E5-'Rincian Biaya'!E30)/'Input Tarif'!$D$19</f>
        <v>751666.66666666663</v>
      </c>
      <c r="E27" s="21">
        <f>('Desain Program'!F5-'Rincian Biaya'!F30)/'Input Tarif'!$D$19</f>
        <v>2466666.6666666665</v>
      </c>
      <c r="F27" s="21">
        <f>('Desain Program'!G5-'Rincian Biaya'!G30)/'Input Tarif'!$D$19</f>
        <v>3810000</v>
      </c>
      <c r="G27" s="21">
        <f>('Desain Program'!H5-'Rincian Biaya'!H30)/'Input Tarif'!$D$19</f>
        <v>2130000</v>
      </c>
    </row>
    <row r="28" spans="2:7" ht="15" customHeight="1" x14ac:dyDescent="0.2">
      <c r="B28" s="9" t="s">
        <v>85</v>
      </c>
      <c r="C28" s="24">
        <f>('Desain Program'!D5-'Rincian Biaya'!D30)/('Input Tarif'!$D$20*'Input Tarif'!$D$19)</f>
        <v>7.2249999999999995E-2</v>
      </c>
      <c r="D28" s="24">
        <f>('Desain Program'!E5-'Rincian Biaya'!E30)/('Input Tarif'!$D$20*'Input Tarif'!$D$19)</f>
        <v>3.7583333333333337E-2</v>
      </c>
      <c r="E28" s="24">
        <f>('Desain Program'!F5-'Rincian Biaya'!F30)/('Input Tarif'!$D$20*'Input Tarif'!$D$19)</f>
        <v>0.12333333333333334</v>
      </c>
      <c r="F28" s="24">
        <f>('Desain Program'!G5-'Rincian Biaya'!G30)/('Input Tarif'!$D$20*'Input Tarif'!$D$19)</f>
        <v>0.1905</v>
      </c>
      <c r="G28" s="24">
        <f>('Desain Program'!H5-'Rincian Biaya'!H30)/('Input Tarif'!$D$20*'Input Tarif'!$D$19)</f>
        <v>0.1065</v>
      </c>
    </row>
    <row r="29" spans="2:7" ht="15" customHeight="1" x14ac:dyDescent="0.2">
      <c r="B29" s="5" t="s">
        <v>86</v>
      </c>
      <c r="C29" s="6"/>
      <c r="D29" s="6"/>
      <c r="E29" s="6"/>
      <c r="F29" s="6"/>
      <c r="G29" s="6"/>
    </row>
    <row r="30" spans="2:7" ht="15" customHeight="1" x14ac:dyDescent="0.2">
      <c r="B30" s="9" t="s">
        <v>87</v>
      </c>
      <c r="C30" s="21">
        <f>'Desain Program'!D8*'Input Tarif'!$D$17+'Desain Program'!D10*'Input Tarif'!$D$22+'Desain Program'!D11*'Input Tarif'!$D$23+('Desain Program'!D13+'Desain Program'!D14)*'Input Tarif'!$D$24+'Desain Program'!D15*'Input Tarif'!$D$28</f>
        <v>10500000</v>
      </c>
      <c r="D30" s="21">
        <f>'Desain Program'!E8*'Input Tarif'!$D$17+'Desain Program'!E10*'Input Tarif'!$D$22+'Desain Program'!E11*'Input Tarif'!$D$23+('Desain Program'!E13+'Desain Program'!E14)*'Input Tarif'!$D$24+'Desain Program'!E15*'Input Tarif'!$D$28</f>
        <v>15000000</v>
      </c>
      <c r="E30" s="21">
        <f>'Desain Program'!F8*'Input Tarif'!$D$17+'Desain Program'!F10*'Input Tarif'!$D$22+'Desain Program'!F11*'Input Tarif'!$D$23+('Desain Program'!F13+'Desain Program'!F14)*'Input Tarif'!$D$24+'Desain Program'!F15*'Input Tarif'!$D$28</f>
        <v>19500000</v>
      </c>
      <c r="F30" s="21">
        <f>'Desain Program'!G8*'Input Tarif'!$D$17+'Desain Program'!G10*'Input Tarif'!$D$22+'Desain Program'!G11*'Input Tarif'!$D$23+('Desain Program'!G13+'Desain Program'!G14)*'Input Tarif'!$D$24+'Desain Program'!G15*'Input Tarif'!$D$28</f>
        <v>28000000</v>
      </c>
      <c r="G30" s="21">
        <f>'Desain Program'!H8*'Input Tarif'!$D$17+'Desain Program'!H10*'Input Tarif'!$D$22+'Desain Program'!H11*'Input Tarif'!$D$23+('Desain Program'!H13+'Desain Program'!H14)*'Input Tarif'!$D$24+'Desain Program'!H15*'Input Tarif'!$D$28</f>
        <v>27000000</v>
      </c>
    </row>
    <row r="31" spans="2:7" ht="15" customHeight="1" x14ac:dyDescent="0.2">
      <c r="B31" s="9" t="s">
        <v>88</v>
      </c>
      <c r="C31" s="24">
        <f>IF(C30=0,0,1-C6/C30)</f>
        <v>-0.14285714285714279</v>
      </c>
      <c r="D31" s="24">
        <f>IF(D30=0,0,1-D6/D30)</f>
        <v>0.26666666666666672</v>
      </c>
      <c r="E31" s="24">
        <f>IF(E30=0,0,1-E6/E30)</f>
        <v>-2.564102564102555E-2</v>
      </c>
      <c r="F31" s="24">
        <f>IF(F30=0,0,1-F6/F30)</f>
        <v>-0.125</v>
      </c>
      <c r="G31" s="24">
        <f>IF(G30=0,0,1-G6/G30)</f>
        <v>0.12962962962962965</v>
      </c>
    </row>
    <row r="32" spans="2:7" ht="15" customHeight="1" x14ac:dyDescent="0.2">
      <c r="B32" s="5" t="s">
        <v>89</v>
      </c>
      <c r="C32" s="6"/>
      <c r="D32" s="6"/>
      <c r="E32" s="6"/>
      <c r="F32" s="6"/>
      <c r="G32" s="6"/>
    </row>
    <row r="33" spans="2:7" ht="15" customHeight="1" x14ac:dyDescent="0.2">
      <c r="B33" s="9" t="s">
        <v>90</v>
      </c>
      <c r="C33" s="21">
        <f>CEILING(('Rincian Biaya'!D30-'Rincian Biaya'!D26-'Rincian Biaya'!D27)/(1-'Input Tarif'!$D$13-'Input Tarif'!$D$14-'Input Tarif'!$D$25),'Input Tarif'!$D$27)</f>
        <v>9000000</v>
      </c>
      <c r="D33" s="21">
        <f>CEILING(('Rincian Biaya'!E30-'Rincian Biaya'!E26-'Rincian Biaya'!E27)/(1-'Input Tarif'!$D$13-'Input Tarif'!$D$14-'Input Tarif'!$D$25),'Input Tarif'!$D$27)</f>
        <v>10500000</v>
      </c>
      <c r="E33" s="21">
        <f>CEILING(('Rincian Biaya'!F30-'Rincian Biaya'!F26-'Rincian Biaya'!F27)/(1-'Input Tarif'!$D$13-'Input Tarif'!$D$14-'Input Tarif'!$D$25),'Input Tarif'!$D$27)</f>
        <v>15000000</v>
      </c>
      <c r="F33" s="21">
        <f>CEILING(('Rincian Biaya'!G30-'Rincian Biaya'!G26-'Rincian Biaya'!G27)/(1-'Input Tarif'!$D$13-'Input Tarif'!$D$14-'Input Tarif'!$D$25),'Input Tarif'!$D$27)</f>
        <v>23500000</v>
      </c>
      <c r="G33" s="21">
        <f>CEILING(('Rincian Biaya'!H30-'Rincian Biaya'!H26-'Rincian Biaya'!H27)/(1-'Input Tarif'!$D$13-'Input Tarif'!$D$14-'Input Tarif'!$D$25),'Input Tarif'!$D$27)</f>
        <v>20500000</v>
      </c>
    </row>
    <row r="34" spans="2:7" ht="15" customHeight="1" x14ac:dyDescent="0.2">
      <c r="B34" s="9" t="s">
        <v>91</v>
      </c>
      <c r="C34" s="21">
        <f>CEILING(('Rincian Biaya'!D30-'Rincian Biaya'!D26-'Rincian Biaya'!D27)/(1-'Input Tarif'!$D$13-'Input Tarif'!$D$14-'Input Tarif'!$D$26),'Input Tarif'!$D$27)</f>
        <v>10500000</v>
      </c>
      <c r="D34" s="21">
        <f>CEILING(('Rincian Biaya'!E30-'Rincian Biaya'!E26-'Rincian Biaya'!E27)/(1-'Input Tarif'!$D$13-'Input Tarif'!$D$14-'Input Tarif'!$D$26),'Input Tarif'!$D$27)</f>
        <v>12000000</v>
      </c>
      <c r="E34" s="21">
        <f>CEILING(('Rincian Biaya'!F30-'Rincian Biaya'!F26-'Rincian Biaya'!F27)/(1-'Input Tarif'!$D$13-'Input Tarif'!$D$14-'Input Tarif'!$D$26),'Input Tarif'!$D$27)</f>
        <v>17000000</v>
      </c>
      <c r="F34" s="21">
        <f>CEILING(('Rincian Biaya'!G30-'Rincian Biaya'!G26-'Rincian Biaya'!G27)/(1-'Input Tarif'!$D$13-'Input Tarif'!$D$14-'Input Tarif'!$D$26),'Input Tarif'!$D$27)</f>
        <v>27000000</v>
      </c>
      <c r="G34" s="21">
        <f>CEILING(('Rincian Biaya'!H30-'Rincian Biaya'!H26-'Rincian Biaya'!H27)/(1-'Input Tarif'!$D$13-'Input Tarif'!$D$14-'Input Tarif'!$D$26),'Input Tarif'!$D$27)</f>
        <v>23500000</v>
      </c>
    </row>
    <row r="35" spans="2:7" ht="15" customHeight="1" x14ac:dyDescent="0.2">
      <c r="B35" s="9" t="s">
        <v>92</v>
      </c>
      <c r="C35" s="24">
        <f>MAX('Input Tarif'!$D$25,MIN('Input Tarif'!$D$26,'Desain Program'!D6))</f>
        <v>0.26</v>
      </c>
      <c r="D35" s="24">
        <f>MAX('Input Tarif'!$D$25,MIN('Input Tarif'!$D$26,'Desain Program'!E6))</f>
        <v>0.2</v>
      </c>
      <c r="E35" s="24">
        <f>MAX('Input Tarif'!$D$25,MIN('Input Tarif'!$D$26,'Desain Program'!F6))</f>
        <v>0.26</v>
      </c>
      <c r="F35" s="24">
        <f>MAX('Input Tarif'!$D$25,MIN('Input Tarif'!$D$26,'Desain Program'!G6))</f>
        <v>0.26</v>
      </c>
      <c r="G35" s="24">
        <f>MAX('Input Tarif'!$D$25,MIN('Input Tarif'!$D$26,'Desain Program'!H6))</f>
        <v>0.26</v>
      </c>
    </row>
    <row r="36" spans="2:7" ht="15" customHeight="1" x14ac:dyDescent="0.2">
      <c r="B36" s="13" t="s">
        <v>93</v>
      </c>
      <c r="C36" s="23">
        <f>MAX(C6,CEILING(('Rincian Biaya'!D30-'Rincian Biaya'!D26-'Rincian Biaya'!D27)/(1-'Input Tarif'!$D$13-'Input Tarif'!$D$14-C35),'Input Tarif'!$D$27))</f>
        <v>12000000</v>
      </c>
      <c r="D36" s="23">
        <f>MAX(D6,CEILING(('Rincian Biaya'!E30-'Rincian Biaya'!E26-'Rincian Biaya'!E27)/(1-'Input Tarif'!$D$13-'Input Tarif'!$D$14-D35),'Input Tarif'!$D$27))</f>
        <v>11000000</v>
      </c>
      <c r="E36" s="23">
        <f>MAX(E6,CEILING(('Rincian Biaya'!F30-'Rincian Biaya'!F26-'Rincian Biaya'!F27)/(1-'Input Tarif'!$D$13-'Input Tarif'!$D$14-E35),'Input Tarif'!$D$27))</f>
        <v>20000000</v>
      </c>
      <c r="F36" s="23">
        <f>MAX(F6,CEILING(('Rincian Biaya'!G30-'Rincian Biaya'!G26-'Rincian Biaya'!G27)/(1-'Input Tarif'!$D$13-'Input Tarif'!$D$14-F35),'Input Tarif'!$D$27))</f>
        <v>31500000</v>
      </c>
      <c r="G36" s="23">
        <f>MAX(G6,CEILING(('Rincian Biaya'!H30-'Rincian Biaya'!H26-'Rincian Biaya'!H27)/(1-'Input Tarif'!$D$13-'Input Tarif'!$D$14-G35),'Input Tarif'!$D$27))</f>
        <v>23500000</v>
      </c>
    </row>
    <row r="37" spans="2:7" ht="15" customHeight="1" x14ac:dyDescent="0.2">
      <c r="B37" s="7" t="s">
        <v>94</v>
      </c>
      <c r="C37" s="20">
        <f>C36-C6</f>
        <v>0</v>
      </c>
      <c r="D37" s="20">
        <f>D36-D6</f>
        <v>0</v>
      </c>
      <c r="E37" s="20">
        <f>E36-E6</f>
        <v>0</v>
      </c>
      <c r="F37" s="20">
        <f>F36-F6</f>
        <v>0</v>
      </c>
      <c r="G37" s="20">
        <f>G36-G6</f>
        <v>0</v>
      </c>
    </row>
    <row r="38" spans="2:7" ht="15" customHeight="1" x14ac:dyDescent="0.2">
      <c r="B38" s="9" t="s">
        <v>95</v>
      </c>
      <c r="C38" s="24">
        <f>(C36*(1-'Input Tarif'!$D$13-'Input Tarif'!$D$14)-('Rincian Biaya'!D30-'Rincian Biaya'!D26-'Rincian Biaya'!D27))/C36</f>
        <v>0.36125000000000002</v>
      </c>
      <c r="D38" s="24">
        <f>(D36*(1-'Input Tarif'!$D$13-'Input Tarif'!$D$14)-('Rincian Biaya'!E30-'Rincian Biaya'!E26-'Rincian Biaya'!E27))/D36</f>
        <v>0.20499999999999999</v>
      </c>
      <c r="E38" s="24">
        <f>(E36*(1-'Input Tarif'!$D$13-'Input Tarif'!$D$14)-('Rincian Biaya'!F30-'Rincian Biaya'!F26-'Rincian Biaya'!F27))/E36</f>
        <v>0.37</v>
      </c>
      <c r="F38" s="24">
        <f>(F36*(1-'Input Tarif'!$D$13-'Input Tarif'!$D$14)-('Rincian Biaya'!G30-'Rincian Biaya'!G26-'Rincian Biaya'!G27))/F36</f>
        <v>0.36285714285714288</v>
      </c>
      <c r="G38" s="24">
        <f>(G36*(1-'Input Tarif'!$D$13-'Input Tarif'!$D$14)-('Rincian Biaya'!H30-'Rincian Biaya'!H26-'Rincian Biaya'!H27))/G36</f>
        <v>0.27191489361702126</v>
      </c>
    </row>
    <row r="39" spans="2:7" ht="15" customHeight="1" x14ac:dyDescent="0.2">
      <c r="B39" s="9" t="s">
        <v>96</v>
      </c>
      <c r="C39" s="21">
        <f>C36*(1-'Input Tarif'!$D$13-'Input Tarif'!$D$14)-('Rincian Biaya'!D30-'Rincian Biaya'!D26-'Rincian Biaya'!D27)</f>
        <v>4335000</v>
      </c>
      <c r="D39" s="21">
        <f>D36*(1-'Input Tarif'!$D$13-'Input Tarif'!$D$14)-('Rincian Biaya'!E30-'Rincian Biaya'!E26-'Rincian Biaya'!E27)</f>
        <v>2255000</v>
      </c>
      <c r="E39" s="21">
        <f>E36*(1-'Input Tarif'!$D$13-'Input Tarif'!$D$14)-('Rincian Biaya'!F30-'Rincian Biaya'!F26-'Rincian Biaya'!F27)</f>
        <v>7400000</v>
      </c>
      <c r="F39" s="21">
        <f>F36*(1-'Input Tarif'!$D$13-'Input Tarif'!$D$14)-('Rincian Biaya'!G30-'Rincian Biaya'!G26-'Rincian Biaya'!G27)</f>
        <v>11430000</v>
      </c>
      <c r="G39" s="21">
        <f>G36*(1-'Input Tarif'!$D$13-'Input Tarif'!$D$14)-('Rincian Biaya'!H30-'Rincian Biaya'!H26-'Rincian Biaya'!H27)</f>
        <v>6390000</v>
      </c>
    </row>
    <row r="40" spans="2:7" ht="15" customHeight="1" x14ac:dyDescent="0.2">
      <c r="B40" s="9" t="s">
        <v>97</v>
      </c>
      <c r="C40" s="21">
        <f>C36/'Input Tarif'!$D$19</f>
        <v>4000000</v>
      </c>
      <c r="D40" s="21">
        <f>D36/'Input Tarif'!$D$19</f>
        <v>3666666.6666666665</v>
      </c>
      <c r="E40" s="21">
        <f>E36/'Input Tarif'!$D$19</f>
        <v>6666666.666666667</v>
      </c>
      <c r="F40" s="21">
        <f>F36/'Input Tarif'!$D$19</f>
        <v>10500000</v>
      </c>
      <c r="G40" s="21">
        <f>G36/'Input Tarif'!$D$19</f>
        <v>7833333.333333333</v>
      </c>
    </row>
    <row r="41" spans="2:7" ht="15" customHeight="1" x14ac:dyDescent="0.2">
      <c r="B41" s="9" t="s">
        <v>98</v>
      </c>
      <c r="C41" s="21">
        <f>MAX(0,('Rincian Biaya'!D30-'Rincian Biaya'!D26-'Rincian Biaya'!D27)-'Desain Program'!D5*(1-'Input Tarif'!$D$13-'Input Tarif'!$D$14-'Input Tarif'!$D$25))</f>
        <v>0</v>
      </c>
      <c r="D41" s="21">
        <f>MAX(0,('Rincian Biaya'!E30-'Rincian Biaya'!E26-'Rincian Biaya'!E27)-'Desain Program'!E5*(1-'Input Tarif'!$D$13-'Input Tarif'!$D$14-'Input Tarif'!$D$25))</f>
        <v>0</v>
      </c>
      <c r="E41" s="21">
        <f>MAX(0,('Rincian Biaya'!F30-'Rincian Biaya'!F26-'Rincian Biaya'!F27)-'Desain Program'!F5*(1-'Input Tarif'!$D$13-'Input Tarif'!$D$14-'Input Tarif'!$D$25))</f>
        <v>0</v>
      </c>
      <c r="F41" s="21">
        <f>MAX(0,('Rincian Biaya'!G30-'Rincian Biaya'!G26-'Rincian Biaya'!G27)-'Desain Program'!G5*(1-'Input Tarif'!$D$13-'Input Tarif'!$D$14-'Input Tarif'!$D$25))</f>
        <v>0</v>
      </c>
      <c r="G41" s="21">
        <f>MAX(0,('Rincian Biaya'!H30-'Rincian Biaya'!H26-'Rincian Biaya'!H27)-'Desain Program'!H5*(1-'Input Tarif'!$D$13-'Input Tarif'!$D$14-'Input Tarif'!$D$25))</f>
        <v>0</v>
      </c>
    </row>
    <row r="42" spans="2:7" ht="57.75" customHeight="1" x14ac:dyDescent="0.2">
      <c r="B42" s="9" t="s">
        <v>99</v>
      </c>
      <c r="C42" s="26" t="str">
        <f>IF(C37=0,"Harga sekarang sudah sehat - pertahankan","Naikkan Rp"&amp;TEXT(C37,"#,##0")&amp;" (jadi Rp"&amp;TEXT(C36,"#,##0")&amp;"), atau hemat biaya Rp"&amp;TEXT(C41,"#,##0")&amp;" untuk minimal 15%")</f>
        <v>Harga sekarang sudah sehat - pertahankan</v>
      </c>
      <c r="D42" s="26" t="str">
        <f>IF(D37=0,"Harga sekarang sudah sehat - pertahankan","Naikkan Rp"&amp;TEXT(D37,"#,##0")&amp;" (jadi Rp"&amp;TEXT(D36,"#,##0")&amp;"), atau hemat biaya Rp"&amp;TEXT(D41,"#,##0")&amp;" untuk minimal 15%")</f>
        <v>Harga sekarang sudah sehat - pertahankan</v>
      </c>
      <c r="E42" s="26" t="str">
        <f>IF(E37=0,"Harga sekarang sudah sehat - pertahankan","Naikkan Rp"&amp;TEXT(E37,"#,##0")&amp;" (jadi Rp"&amp;TEXT(E36,"#,##0")&amp;"), atau hemat biaya Rp"&amp;TEXT(E41,"#,##0")&amp;" untuk minimal 15%")</f>
        <v>Harga sekarang sudah sehat - pertahankan</v>
      </c>
      <c r="F42" s="26" t="str">
        <f>IF(F37=0,"Harga sekarang sudah sehat - pertahankan","Naikkan Rp"&amp;TEXT(F37,"#,##0")&amp;" (jadi Rp"&amp;TEXT(F36,"#,##0")&amp;"), atau hemat biaya Rp"&amp;TEXT(F41,"#,##0")&amp;" untuk minimal 15%")</f>
        <v>Harga sekarang sudah sehat - pertahankan</v>
      </c>
      <c r="G42" s="26" t="str">
        <f>IF(G37=0,"Harga sekarang sudah sehat - pertahankan","Naikkan Rp"&amp;TEXT(G37,"#,##0")&amp;" (jadi Rp"&amp;TEXT(G36,"#,##0")&amp;"), atau hemat biaya Rp"&amp;TEXT(G41,"#,##0")&amp;" untuk minimal 15%")</f>
        <v>Harga sekarang sudah sehat - pertahankan</v>
      </c>
    </row>
    <row r="44" spans="2:7" ht="15" customHeight="1" x14ac:dyDescent="0.2">
      <c r="B44" s="2" t="s">
        <v>100</v>
      </c>
    </row>
    <row r="45" spans="2:7" ht="15" customHeight="1" x14ac:dyDescent="0.2">
      <c r="B45" s="2" t="s">
        <v>101</v>
      </c>
    </row>
    <row r="46" spans="2:7" ht="15" customHeight="1" x14ac:dyDescent="0.2">
      <c r="B46" s="2" t="s">
        <v>102</v>
      </c>
    </row>
    <row r="47" spans="2:7" ht="15" customHeight="1" x14ac:dyDescent="0.2">
      <c r="B47" s="2" t="s">
        <v>103</v>
      </c>
    </row>
    <row r="48" spans="2:7" ht="15" customHeight="1" x14ac:dyDescent="0.2">
      <c r="B48" s="2" t="s">
        <v>104</v>
      </c>
    </row>
  </sheetData>
  <conditionalFormatting sqref="C23:F23">
    <cfRule type="expression" dxfId="1" priority="2">
      <formula>C23="Memenuhi target"</formula>
    </cfRule>
    <cfRule type="expression" dxfId="0" priority="3">
      <formula>C23="Di bawah target"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40" customWidth="1"/>
    <col min="3" max="3" width="20" customWidth="1"/>
    <col min="4" max="4" width="16" customWidth="1"/>
    <col min="5" max="5" width="18" customWidth="1"/>
    <col min="6" max="6" width="70" customWidth="1"/>
  </cols>
  <sheetData>
    <row r="1" spans="1:6" ht="17.25" customHeight="1" x14ac:dyDescent="0.2">
      <c r="A1" s="1" t="s">
        <v>105</v>
      </c>
    </row>
    <row r="2" spans="1:6" ht="15" customHeight="1" x14ac:dyDescent="0.2">
      <c r="A2" s="2" t="s">
        <v>106</v>
      </c>
    </row>
    <row r="4" spans="1:6" ht="15" customHeight="1" x14ac:dyDescent="0.2">
      <c r="A4" s="3" t="s">
        <v>107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</row>
    <row r="5" spans="1:6" ht="42" customHeight="1" x14ac:dyDescent="0.2">
      <c r="A5" s="9" t="s">
        <v>69</v>
      </c>
      <c r="B5" s="7" t="s">
        <v>113</v>
      </c>
      <c r="C5" s="9" t="s">
        <v>114</v>
      </c>
      <c r="D5" s="27">
        <v>350000</v>
      </c>
      <c r="E5" s="28" t="s">
        <v>115</v>
      </c>
      <c r="F5" s="29" t="s">
        <v>116</v>
      </c>
    </row>
    <row r="6" spans="1:6" ht="42" customHeight="1" x14ac:dyDescent="0.2">
      <c r="A6" s="9" t="s">
        <v>69</v>
      </c>
      <c r="B6" s="7" t="s">
        <v>117</v>
      </c>
      <c r="C6" s="9" t="s">
        <v>118</v>
      </c>
      <c r="D6" s="27">
        <v>35000</v>
      </c>
      <c r="E6" s="28" t="s">
        <v>119</v>
      </c>
      <c r="F6" s="29" t="s">
        <v>120</v>
      </c>
    </row>
    <row r="7" spans="1:6" ht="42" customHeight="1" x14ac:dyDescent="0.2">
      <c r="A7" s="9" t="s">
        <v>70</v>
      </c>
      <c r="B7" s="7" t="s">
        <v>121</v>
      </c>
      <c r="C7" s="9" t="s">
        <v>122</v>
      </c>
      <c r="D7" s="27">
        <v>70000</v>
      </c>
      <c r="E7" s="28" t="s">
        <v>115</v>
      </c>
      <c r="F7" s="29" t="s">
        <v>123</v>
      </c>
    </row>
    <row r="8" spans="1:6" ht="42" customHeight="1" x14ac:dyDescent="0.2">
      <c r="A8" s="9" t="s">
        <v>70</v>
      </c>
      <c r="B8" s="7" t="s">
        <v>124</v>
      </c>
      <c r="C8" s="9" t="s">
        <v>125</v>
      </c>
      <c r="D8" s="27">
        <v>750000</v>
      </c>
      <c r="E8" s="28" t="s">
        <v>119</v>
      </c>
      <c r="F8" s="29" t="s">
        <v>126</v>
      </c>
    </row>
    <row r="9" spans="1:6" ht="42" customHeight="1" x14ac:dyDescent="0.2">
      <c r="A9" s="9" t="s">
        <v>71</v>
      </c>
      <c r="B9" s="7" t="s">
        <v>127</v>
      </c>
      <c r="C9" s="9" t="s">
        <v>118</v>
      </c>
      <c r="D9" s="27">
        <v>1500000</v>
      </c>
      <c r="E9" s="28" t="s">
        <v>115</v>
      </c>
      <c r="F9" s="29" t="s">
        <v>128</v>
      </c>
    </row>
    <row r="10" spans="1:6" ht="42" customHeight="1" x14ac:dyDescent="0.2">
      <c r="A10" s="9" t="s">
        <v>71</v>
      </c>
      <c r="B10" s="7" t="s">
        <v>129</v>
      </c>
      <c r="C10" s="9" t="s">
        <v>118</v>
      </c>
      <c r="D10" s="27">
        <v>3000000</v>
      </c>
      <c r="E10" s="28" t="s">
        <v>115</v>
      </c>
      <c r="F10" s="29" t="s">
        <v>130</v>
      </c>
    </row>
    <row r="11" spans="1:6" ht="42" customHeight="1" x14ac:dyDescent="0.2">
      <c r="A11" s="9" t="s">
        <v>72</v>
      </c>
      <c r="B11" s="7" t="s">
        <v>131</v>
      </c>
      <c r="C11" s="9" t="s">
        <v>125</v>
      </c>
      <c r="D11" s="27">
        <v>0</v>
      </c>
      <c r="E11" s="28" t="s">
        <v>132</v>
      </c>
      <c r="F11" s="29" t="s">
        <v>133</v>
      </c>
    </row>
    <row r="12" spans="1:6" ht="42" customHeight="1" x14ac:dyDescent="0.2">
      <c r="A12" s="9" t="s">
        <v>72</v>
      </c>
      <c r="B12" s="7" t="s">
        <v>134</v>
      </c>
      <c r="C12" s="9" t="s">
        <v>125</v>
      </c>
      <c r="D12" s="27">
        <v>150000</v>
      </c>
      <c r="E12" s="28" t="s">
        <v>119</v>
      </c>
      <c r="F12" s="29" t="s">
        <v>135</v>
      </c>
    </row>
    <row r="13" spans="1:6" ht="42" customHeight="1" x14ac:dyDescent="0.2">
      <c r="A13" s="9" t="s">
        <v>73</v>
      </c>
      <c r="B13" s="7" t="s">
        <v>136</v>
      </c>
      <c r="C13" s="9" t="s">
        <v>137</v>
      </c>
      <c r="D13" s="30">
        <v>0.02</v>
      </c>
      <c r="E13" s="28" t="s">
        <v>138</v>
      </c>
      <c r="F13" s="29" t="s">
        <v>139</v>
      </c>
    </row>
    <row r="14" spans="1:6" ht="42" customHeight="1" x14ac:dyDescent="0.2">
      <c r="A14" s="9" t="s">
        <v>73</v>
      </c>
      <c r="B14" s="7" t="s">
        <v>140</v>
      </c>
      <c r="C14" s="9" t="s">
        <v>137</v>
      </c>
      <c r="D14" s="30">
        <v>0</v>
      </c>
      <c r="E14" s="28" t="s">
        <v>141</v>
      </c>
      <c r="F14" s="29" t="s">
        <v>142</v>
      </c>
    </row>
    <row r="15" spans="1:6" ht="26" customHeight="1" x14ac:dyDescent="0.2">
      <c r="A15" s="9" t="s">
        <v>71</v>
      </c>
      <c r="B15" s="7" t="s">
        <v>143</v>
      </c>
      <c r="C15" s="9" t="s">
        <v>118</v>
      </c>
      <c r="D15" s="27">
        <v>100000</v>
      </c>
      <c r="E15" s="28" t="s">
        <v>119</v>
      </c>
      <c r="F15" s="29" t="s">
        <v>144</v>
      </c>
    </row>
    <row r="16" spans="1:6" ht="15" customHeight="1" x14ac:dyDescent="0.2">
      <c r="A16" s="5" t="s">
        <v>145</v>
      </c>
      <c r="B16" s="31"/>
      <c r="C16" s="31"/>
      <c r="D16" s="31"/>
      <c r="E16" s="31"/>
      <c r="F16" s="31"/>
    </row>
    <row r="17" spans="2:5" ht="15" customHeight="1" x14ac:dyDescent="0.2">
      <c r="B17" s="7" t="s">
        <v>146</v>
      </c>
      <c r="C17" s="9" t="s">
        <v>118</v>
      </c>
      <c r="D17" s="27">
        <v>500000</v>
      </c>
      <c r="E17" s="28" t="s">
        <v>115</v>
      </c>
    </row>
    <row r="18" spans="2:5" ht="15" customHeight="1" x14ac:dyDescent="0.2">
      <c r="B18" s="7" t="s">
        <v>147</v>
      </c>
      <c r="C18" s="9" t="s">
        <v>148</v>
      </c>
      <c r="D18" s="32">
        <v>3</v>
      </c>
      <c r="E18" s="28" t="s">
        <v>149</v>
      </c>
    </row>
    <row r="19" spans="2:5" ht="15" customHeight="1" x14ac:dyDescent="0.2">
      <c r="B19" s="7" t="s">
        <v>150</v>
      </c>
      <c r="C19" s="9" t="s">
        <v>151</v>
      </c>
      <c r="D19" s="32">
        <v>3</v>
      </c>
      <c r="E19" s="28" t="s">
        <v>115</v>
      </c>
    </row>
    <row r="20" spans="2:5" ht="15" customHeight="1" x14ac:dyDescent="0.2">
      <c r="B20" s="7" t="s">
        <v>152</v>
      </c>
      <c r="C20" s="9" t="s">
        <v>153</v>
      </c>
      <c r="D20" s="27">
        <v>20000000</v>
      </c>
      <c r="E20" s="28" t="s">
        <v>115</v>
      </c>
    </row>
    <row r="21" spans="2:5" ht="15" customHeight="1" x14ac:dyDescent="0.2">
      <c r="B21" s="7" t="s">
        <v>154</v>
      </c>
      <c r="C21" s="9" t="s">
        <v>137</v>
      </c>
      <c r="D21" s="30">
        <v>0.5</v>
      </c>
      <c r="E21" s="28" t="s">
        <v>155</v>
      </c>
    </row>
    <row r="22" spans="2:5" ht="15" customHeight="1" x14ac:dyDescent="0.2">
      <c r="B22" s="7" t="s">
        <v>156</v>
      </c>
      <c r="C22" s="9" t="s">
        <v>157</v>
      </c>
      <c r="D22" s="27">
        <v>2500000</v>
      </c>
      <c r="E22" s="28" t="s">
        <v>158</v>
      </c>
    </row>
    <row r="23" spans="2:5" ht="15" customHeight="1" x14ac:dyDescent="0.2">
      <c r="B23" s="7" t="s">
        <v>159</v>
      </c>
      <c r="C23" s="9" t="s">
        <v>157</v>
      </c>
      <c r="D23" s="27">
        <v>2000000</v>
      </c>
      <c r="E23" s="28" t="s">
        <v>158</v>
      </c>
    </row>
    <row r="24" spans="2:5" ht="15" customHeight="1" x14ac:dyDescent="0.2">
      <c r="B24" s="7" t="s">
        <v>160</v>
      </c>
      <c r="C24" s="9" t="s">
        <v>157</v>
      </c>
      <c r="D24" s="27">
        <v>3000000</v>
      </c>
      <c r="E24" s="28" t="s">
        <v>158</v>
      </c>
    </row>
    <row r="25" spans="2:5" ht="15" customHeight="1" x14ac:dyDescent="0.2">
      <c r="B25" s="7" t="s">
        <v>161</v>
      </c>
      <c r="C25" s="9" t="s">
        <v>137</v>
      </c>
      <c r="D25" s="30">
        <v>0.15</v>
      </c>
      <c r="E25" s="28" t="s">
        <v>162</v>
      </c>
    </row>
    <row r="26" spans="2:5" ht="15" customHeight="1" x14ac:dyDescent="0.2">
      <c r="B26" s="7" t="s">
        <v>163</v>
      </c>
      <c r="C26" s="9" t="s">
        <v>137</v>
      </c>
      <c r="D26" s="30">
        <v>0.26</v>
      </c>
      <c r="E26" s="28" t="s">
        <v>162</v>
      </c>
    </row>
    <row r="27" spans="2:5" ht="15" customHeight="1" x14ac:dyDescent="0.2">
      <c r="B27" s="7" t="s">
        <v>164</v>
      </c>
      <c r="C27" s="9" t="s">
        <v>157</v>
      </c>
      <c r="D27" s="27">
        <v>500000</v>
      </c>
      <c r="E27" s="28" t="s">
        <v>165</v>
      </c>
    </row>
    <row r="28" spans="2:5" x14ac:dyDescent="0.2">
      <c r="B28" s="7" t="s">
        <v>166</v>
      </c>
      <c r="C28" s="9" t="s">
        <v>157</v>
      </c>
      <c r="D28" s="41">
        <f>D24/3</f>
        <v>1000000</v>
      </c>
      <c r="E28" s="28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6" customWidth="1"/>
    <col min="2" max="2" width="36" customWidth="1"/>
    <col min="3" max="3" width="14" customWidth="1"/>
    <col min="4" max="4" width="18" customWidth="1"/>
    <col min="5" max="5" width="26" customWidth="1"/>
    <col min="6" max="6" width="18" customWidth="1"/>
    <col min="7" max="8" width="13" customWidth="1"/>
  </cols>
  <sheetData>
    <row r="1" spans="1:8" ht="17.25" customHeight="1" x14ac:dyDescent="0.2">
      <c r="A1" s="1" t="s">
        <v>168</v>
      </c>
    </row>
    <row r="2" spans="1:8" ht="15" customHeight="1" x14ac:dyDescent="0.2">
      <c r="A2" s="2" t="s">
        <v>169</v>
      </c>
    </row>
    <row r="4" spans="1:8" ht="15" customHeight="1" x14ac:dyDescent="0.2">
      <c r="A4" s="3" t="s">
        <v>170</v>
      </c>
      <c r="B4" s="4" t="s">
        <v>171</v>
      </c>
      <c r="C4" s="4" t="s">
        <v>109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ht="15" customHeight="1" x14ac:dyDescent="0.2">
      <c r="A5" s="9" t="s">
        <v>172</v>
      </c>
      <c r="B5" s="7" t="s">
        <v>173</v>
      </c>
      <c r="C5" s="9" t="s">
        <v>157</v>
      </c>
      <c r="D5" s="27">
        <v>12000000</v>
      </c>
      <c r="E5" s="27">
        <v>11000000</v>
      </c>
      <c r="F5" s="27">
        <v>20000000</v>
      </c>
      <c r="G5" s="27">
        <v>31500000</v>
      </c>
      <c r="H5" s="27">
        <v>23500000</v>
      </c>
    </row>
    <row r="6" spans="1:8" ht="15" customHeight="1" x14ac:dyDescent="0.2">
      <c r="A6" s="9" t="s">
        <v>172</v>
      </c>
      <c r="B6" s="7" t="s">
        <v>174</v>
      </c>
      <c r="C6" s="9" t="s">
        <v>137</v>
      </c>
      <c r="D6" s="30">
        <v>0.36</v>
      </c>
      <c r="E6" s="30">
        <v>0.2</v>
      </c>
      <c r="F6" s="30">
        <v>0.36</v>
      </c>
      <c r="G6" s="30">
        <v>0.36</v>
      </c>
      <c r="H6" s="30">
        <v>0.26</v>
      </c>
    </row>
    <row r="7" spans="1:8" ht="15" customHeight="1" x14ac:dyDescent="0.2">
      <c r="A7" s="9" t="s">
        <v>172</v>
      </c>
      <c r="B7" s="7" t="s">
        <v>175</v>
      </c>
      <c r="C7" s="9" t="s">
        <v>176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</row>
    <row r="8" spans="1:8" ht="15" customHeight="1" x14ac:dyDescent="0.2">
      <c r="A8" s="9" t="s">
        <v>177</v>
      </c>
      <c r="B8" s="7" t="s">
        <v>178</v>
      </c>
      <c r="C8" s="9" t="s">
        <v>148</v>
      </c>
      <c r="D8" s="32">
        <v>15</v>
      </c>
      <c r="E8" s="32">
        <v>15</v>
      </c>
      <c r="F8" s="32">
        <v>24</v>
      </c>
      <c r="G8" s="32">
        <v>36</v>
      </c>
      <c r="H8" s="32">
        <v>36</v>
      </c>
    </row>
    <row r="9" spans="1:8" ht="15" customHeight="1" x14ac:dyDescent="0.2">
      <c r="A9" s="9" t="s">
        <v>177</v>
      </c>
      <c r="B9" s="7" t="s">
        <v>179</v>
      </c>
      <c r="C9" s="9" t="s">
        <v>180</v>
      </c>
      <c r="D9" s="33">
        <f>D8/'Input Tarif'!$D$18</f>
        <v>5</v>
      </c>
      <c r="E9" s="33">
        <f>E8/'Input Tarif'!$D$18</f>
        <v>5</v>
      </c>
      <c r="F9" s="33">
        <f>F8/'Input Tarif'!$D$18</f>
        <v>8</v>
      </c>
      <c r="G9" s="33">
        <f>G8/'Input Tarif'!$D$18</f>
        <v>12</v>
      </c>
      <c r="H9" s="33">
        <f>H8/'Input Tarif'!$D$18</f>
        <v>12</v>
      </c>
    </row>
    <row r="10" spans="1:8" ht="15" customHeight="1" x14ac:dyDescent="0.2">
      <c r="A10" s="9" t="s">
        <v>177</v>
      </c>
      <c r="B10" s="7" t="s">
        <v>181</v>
      </c>
      <c r="C10" s="9" t="s">
        <v>182</v>
      </c>
      <c r="D10" s="32">
        <v>0</v>
      </c>
      <c r="E10" s="32">
        <v>1</v>
      </c>
      <c r="F10" s="32">
        <v>1</v>
      </c>
      <c r="G10" s="32">
        <v>2</v>
      </c>
      <c r="H10" s="32">
        <v>2</v>
      </c>
    </row>
    <row r="11" spans="1:8" ht="15" customHeight="1" x14ac:dyDescent="0.2">
      <c r="A11" s="9" t="s">
        <v>177</v>
      </c>
      <c r="B11" s="7" t="s">
        <v>183</v>
      </c>
      <c r="C11" s="9" t="s">
        <v>184</v>
      </c>
      <c r="D11" s="32">
        <v>0</v>
      </c>
      <c r="E11" s="32">
        <v>1</v>
      </c>
      <c r="F11" s="32">
        <v>1</v>
      </c>
      <c r="G11" s="32">
        <v>1</v>
      </c>
      <c r="H11" s="32">
        <v>1</v>
      </c>
    </row>
    <row r="12" spans="1:8" ht="15" customHeight="1" x14ac:dyDescent="0.2">
      <c r="A12" s="9" t="s">
        <v>177</v>
      </c>
      <c r="B12" s="7" t="s">
        <v>185</v>
      </c>
      <c r="C12" s="9" t="s">
        <v>184</v>
      </c>
      <c r="D12" s="32">
        <v>0</v>
      </c>
      <c r="E12" s="32">
        <v>0</v>
      </c>
      <c r="F12" s="32">
        <v>0</v>
      </c>
      <c r="G12" s="32">
        <v>1</v>
      </c>
      <c r="H12" s="32">
        <v>1</v>
      </c>
    </row>
    <row r="13" spans="1:8" ht="15" customHeight="1" x14ac:dyDescent="0.2">
      <c r="A13" s="9" t="s">
        <v>177</v>
      </c>
      <c r="B13" s="7" t="s">
        <v>186</v>
      </c>
      <c r="C13" s="9" t="s">
        <v>148</v>
      </c>
      <c r="D13" s="32">
        <v>1</v>
      </c>
      <c r="E13" s="32">
        <v>1</v>
      </c>
      <c r="F13" s="32">
        <v>1</v>
      </c>
      <c r="G13" s="32">
        <v>0</v>
      </c>
      <c r="H13" s="32">
        <v>0</v>
      </c>
    </row>
    <row r="14" spans="1:8" ht="15" customHeight="1" x14ac:dyDescent="0.2">
      <c r="A14" s="9" t="s">
        <v>177</v>
      </c>
      <c r="B14" s="7" t="s">
        <v>187</v>
      </c>
      <c r="C14" s="9" t="s">
        <v>148</v>
      </c>
      <c r="D14" s="32">
        <v>0</v>
      </c>
      <c r="E14" s="32">
        <v>0</v>
      </c>
      <c r="F14" s="32">
        <v>0</v>
      </c>
      <c r="G14" s="32">
        <v>1</v>
      </c>
      <c r="H14" s="32">
        <v>0</v>
      </c>
    </row>
    <row r="15" spans="1:8" x14ac:dyDescent="0.2">
      <c r="A15" s="9" t="s">
        <v>177</v>
      </c>
      <c r="B15" s="7" t="s">
        <v>188</v>
      </c>
      <c r="C15" s="9" t="s">
        <v>148</v>
      </c>
      <c r="D15" s="32">
        <v>0</v>
      </c>
      <c r="E15" s="32">
        <v>0</v>
      </c>
      <c r="F15" s="32">
        <v>0</v>
      </c>
      <c r="G15" s="32">
        <v>0</v>
      </c>
      <c r="H15" s="32">
        <v>2</v>
      </c>
    </row>
    <row r="16" spans="1:8" ht="15" customHeight="1" x14ac:dyDescent="0.2">
      <c r="A16" s="2"/>
    </row>
    <row r="17" spans="1:1" x14ac:dyDescent="0.2">
      <c r="A17" s="2" t="s">
        <v>189</v>
      </c>
    </row>
    <row r="18" spans="1:1" x14ac:dyDescent="0.2">
      <c r="A18" s="2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4" customWidth="1"/>
    <col min="2" max="2" width="30" customWidth="1"/>
    <col min="3" max="3" width="26" customWidth="1"/>
    <col min="4" max="4" width="18" customWidth="1"/>
    <col min="5" max="5" width="26" customWidth="1"/>
    <col min="6" max="6" width="18" customWidth="1"/>
    <col min="7" max="8" width="13" customWidth="1"/>
  </cols>
  <sheetData>
    <row r="1" spans="1:8" ht="17.25" customHeight="1" x14ac:dyDescent="0.2">
      <c r="A1" s="1" t="s">
        <v>191</v>
      </c>
    </row>
    <row r="2" spans="1:8" ht="15" customHeight="1" x14ac:dyDescent="0.2">
      <c r="A2" s="2" t="s">
        <v>192</v>
      </c>
    </row>
    <row r="4" spans="1:8" ht="15" customHeight="1" x14ac:dyDescent="0.2">
      <c r="A4" s="3" t="s">
        <v>107</v>
      </c>
      <c r="B4" s="4" t="s">
        <v>108</v>
      </c>
      <c r="C4" s="4" t="s">
        <v>193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ht="15" customHeight="1" x14ac:dyDescent="0.2">
      <c r="A5" s="5" t="s">
        <v>69</v>
      </c>
      <c r="B5" s="34"/>
      <c r="C5" s="34"/>
      <c r="D5" s="34"/>
      <c r="E5" s="34"/>
      <c r="F5" s="34"/>
      <c r="G5" s="34"/>
      <c r="H5" s="34"/>
    </row>
    <row r="6" spans="1:8" ht="15" customHeight="1" x14ac:dyDescent="0.2">
      <c r="A6" s="9"/>
      <c r="B6" s="9" t="s">
        <v>194</v>
      </c>
      <c r="C6" s="28" t="s">
        <v>195</v>
      </c>
      <c r="D6" s="35">
        <f>'Desain Program'!D8*'Desain Program'!D7*'Input Tarif'!$D$5</f>
        <v>5250000</v>
      </c>
      <c r="E6" s="35">
        <f>'Desain Program'!E8*'Desain Program'!E7*'Input Tarif'!$D$5</f>
        <v>5250000</v>
      </c>
      <c r="F6" s="35">
        <f>'Desain Program'!F8*'Desain Program'!F7*'Input Tarif'!$D$5</f>
        <v>8400000</v>
      </c>
      <c r="G6" s="35">
        <f>'Desain Program'!G8*'Desain Program'!G7*'Input Tarif'!$D$5</f>
        <v>12600000</v>
      </c>
      <c r="H6" s="35">
        <f>'Desain Program'!H8*'Desain Program'!H7*'Input Tarif'!$D$5</f>
        <v>12600000</v>
      </c>
    </row>
    <row r="7" spans="1:8" ht="15" customHeight="1" x14ac:dyDescent="0.2">
      <c r="A7" s="9"/>
      <c r="B7" s="9" t="s">
        <v>117</v>
      </c>
      <c r="C7" s="28" t="s">
        <v>196</v>
      </c>
      <c r="D7" s="35">
        <f>'Desain Program'!D8*'Input Tarif'!$D$6</f>
        <v>525000</v>
      </c>
      <c r="E7" s="35">
        <f>'Desain Program'!E8*'Input Tarif'!$D$6</f>
        <v>525000</v>
      </c>
      <c r="F7" s="35">
        <f>'Desain Program'!F8*'Input Tarif'!$D$6</f>
        <v>840000</v>
      </c>
      <c r="G7" s="35">
        <f>'Desain Program'!G8*'Input Tarif'!$D$6</f>
        <v>1260000</v>
      </c>
      <c r="H7" s="35">
        <f>'Desain Program'!H8*'Input Tarif'!$D$6</f>
        <v>1260000</v>
      </c>
    </row>
    <row r="8" spans="1:8" ht="15" customHeight="1" x14ac:dyDescent="0.2">
      <c r="A8" s="36"/>
      <c r="B8" s="37" t="s">
        <v>197</v>
      </c>
      <c r="C8" s="36"/>
      <c r="D8" s="38">
        <f>SUM(D6:D7)</f>
        <v>5775000</v>
      </c>
      <c r="E8" s="38">
        <f>SUM(E6:E7)</f>
        <v>5775000</v>
      </c>
      <c r="F8" s="38">
        <f>SUM(F6:F7)</f>
        <v>9240000</v>
      </c>
      <c r="G8" s="38">
        <f>SUM(G6:G7)</f>
        <v>13860000</v>
      </c>
      <c r="H8" s="38">
        <f>SUM(H6:H7)</f>
        <v>13860000</v>
      </c>
    </row>
    <row r="10" spans="1:8" ht="15" customHeight="1" x14ac:dyDescent="0.2">
      <c r="A10" s="5" t="s">
        <v>70</v>
      </c>
      <c r="B10" s="34"/>
      <c r="C10" s="34"/>
      <c r="D10" s="34"/>
      <c r="E10" s="34"/>
      <c r="F10" s="34"/>
      <c r="G10" s="34"/>
      <c r="H10" s="34"/>
    </row>
    <row r="11" spans="1:8" ht="15" customHeight="1" x14ac:dyDescent="0.2">
      <c r="A11" s="9"/>
      <c r="B11" s="9" t="s">
        <v>198</v>
      </c>
      <c r="C11" s="28" t="s">
        <v>199</v>
      </c>
      <c r="D11" s="35">
        <f>'Desain Program'!D10*'Desain Program'!D9*'Input Tarif'!$D$7</f>
        <v>0</v>
      </c>
      <c r="E11" s="35">
        <f>'Desain Program'!E10*'Desain Program'!E9*'Input Tarif'!$D$7</f>
        <v>350000</v>
      </c>
      <c r="F11" s="35">
        <f>'Desain Program'!F10*'Desain Program'!F9*'Input Tarif'!$D$7</f>
        <v>560000</v>
      </c>
      <c r="G11" s="35">
        <f>'Desain Program'!G10*'Desain Program'!G9*'Input Tarif'!$D$7</f>
        <v>1680000</v>
      </c>
      <c r="H11" s="35">
        <f>'Desain Program'!H10*'Desain Program'!H9*'Input Tarif'!$D$7</f>
        <v>1680000</v>
      </c>
    </row>
    <row r="12" spans="1:8" ht="15" customHeight="1" x14ac:dyDescent="0.2">
      <c r="A12" s="9"/>
      <c r="B12" s="9" t="s">
        <v>200</v>
      </c>
      <c r="C12" s="28" t="s">
        <v>201</v>
      </c>
      <c r="D12" s="35">
        <f>'Desain Program'!D11*'Input Tarif'!$D$8</f>
        <v>0</v>
      </c>
      <c r="E12" s="35">
        <f>'Desain Program'!E11*'Input Tarif'!$D$8</f>
        <v>750000</v>
      </c>
      <c r="F12" s="35">
        <f>'Desain Program'!F11*'Input Tarif'!$D$8</f>
        <v>750000</v>
      </c>
      <c r="G12" s="35">
        <f>'Desain Program'!G11*'Input Tarif'!$D$8</f>
        <v>750000</v>
      </c>
      <c r="H12" s="35">
        <f>'Desain Program'!H11*'Input Tarif'!$D$8</f>
        <v>750000</v>
      </c>
    </row>
    <row r="13" spans="1:8" ht="15" customHeight="1" x14ac:dyDescent="0.2">
      <c r="A13" s="36"/>
      <c r="B13" s="37" t="s">
        <v>202</v>
      </c>
      <c r="C13" s="36"/>
      <c r="D13" s="38">
        <f>SUM(D11:D12)</f>
        <v>0</v>
      </c>
      <c r="E13" s="38">
        <f>SUM(E11:E12)</f>
        <v>1100000</v>
      </c>
      <c r="F13" s="38">
        <f>SUM(F11:F12)</f>
        <v>1310000</v>
      </c>
      <c r="G13" s="38">
        <f>SUM(G11:G12)</f>
        <v>2430000</v>
      </c>
      <c r="H13" s="38">
        <f>SUM(H11:H12)</f>
        <v>2430000</v>
      </c>
    </row>
    <row r="15" spans="1:8" ht="15" customHeight="1" x14ac:dyDescent="0.2">
      <c r="A15" s="5" t="s">
        <v>71</v>
      </c>
      <c r="B15" s="34"/>
      <c r="C15" s="34"/>
      <c r="D15" s="34"/>
      <c r="E15" s="34"/>
      <c r="F15" s="34"/>
      <c r="G15" s="34"/>
      <c r="H15" s="34"/>
    </row>
    <row r="16" spans="1:8" ht="15" customHeight="1" x14ac:dyDescent="0.2">
      <c r="A16" s="9"/>
      <c r="B16" s="9" t="s">
        <v>203</v>
      </c>
      <c r="C16" s="28" t="s">
        <v>196</v>
      </c>
      <c r="D16" s="35">
        <f>'Desain Program'!D13*'Input Tarif'!$D$9</f>
        <v>1500000</v>
      </c>
      <c r="E16" s="35">
        <f>'Desain Program'!E13*'Input Tarif'!$D$9</f>
        <v>1500000</v>
      </c>
      <c r="F16" s="35">
        <f>'Desain Program'!F13*'Input Tarif'!$D$9</f>
        <v>1500000</v>
      </c>
      <c r="G16" s="35">
        <f>'Desain Program'!G13*'Input Tarif'!$D$9</f>
        <v>0</v>
      </c>
      <c r="H16" s="35">
        <f>'Desain Program'!H13*'Input Tarif'!$D$9</f>
        <v>0</v>
      </c>
    </row>
    <row r="17" spans="1:8" ht="15" customHeight="1" x14ac:dyDescent="0.2">
      <c r="A17" s="9"/>
      <c r="B17" s="9" t="s">
        <v>204</v>
      </c>
      <c r="C17" s="28" t="s">
        <v>196</v>
      </c>
      <c r="D17" s="35">
        <f>'Desain Program'!D14*'Input Tarif'!$D$10</f>
        <v>0</v>
      </c>
      <c r="E17" s="35">
        <f>'Desain Program'!E14*'Input Tarif'!$D$10</f>
        <v>0</v>
      </c>
      <c r="F17" s="35">
        <f>'Desain Program'!F14*'Input Tarif'!$D$10</f>
        <v>0</v>
      </c>
      <c r="G17" s="35">
        <f>'Desain Program'!G14*'Input Tarif'!$D$10</f>
        <v>3000000</v>
      </c>
      <c r="H17" s="35">
        <f>'Desain Program'!H14*'Input Tarif'!$D$10</f>
        <v>0</v>
      </c>
    </row>
    <row r="18" spans="1:8" ht="15" customHeight="1" x14ac:dyDescent="0.2">
      <c r="A18" s="9"/>
      <c r="B18" s="9" t="s">
        <v>205</v>
      </c>
      <c r="C18" s="28" t="s">
        <v>196</v>
      </c>
      <c r="D18" s="35">
        <f>'Desain Program'!D15*'Input Tarif'!$D$15</f>
        <v>0</v>
      </c>
      <c r="E18" s="35">
        <f>'Desain Program'!E15*'Input Tarif'!$D$15</f>
        <v>0</v>
      </c>
      <c r="F18" s="35">
        <f>'Desain Program'!F15*'Input Tarif'!$D$15</f>
        <v>0</v>
      </c>
      <c r="G18" s="35">
        <f>'Desain Program'!G15*'Input Tarif'!$D$15</f>
        <v>0</v>
      </c>
      <c r="H18" s="35">
        <f>'Desain Program'!H15*'Input Tarif'!$D$15</f>
        <v>200000</v>
      </c>
    </row>
    <row r="19" spans="1:8" x14ac:dyDescent="0.2">
      <c r="A19" s="36"/>
      <c r="B19" s="37" t="s">
        <v>206</v>
      </c>
      <c r="C19" s="36"/>
      <c r="D19" s="38">
        <f>SUM(D16:D18)</f>
        <v>1500000</v>
      </c>
      <c r="E19" s="38">
        <f>SUM(E16:E18)</f>
        <v>1500000</v>
      </c>
      <c r="F19" s="38">
        <f>SUM(F16:F18)</f>
        <v>1500000</v>
      </c>
      <c r="G19" s="38">
        <f>SUM(G16:G18)</f>
        <v>3000000</v>
      </c>
      <c r="H19" s="38">
        <f>SUM(H16:H18)</f>
        <v>200000</v>
      </c>
    </row>
    <row r="20" spans="1:8" ht="15" customHeight="1" x14ac:dyDescent="0.2">
      <c r="A20" s="5" t="s">
        <v>72</v>
      </c>
      <c r="B20" s="34"/>
      <c r="C20" s="34"/>
      <c r="D20" s="34"/>
      <c r="E20" s="34"/>
      <c r="F20" s="34"/>
      <c r="G20" s="34"/>
      <c r="H20" s="34"/>
    </row>
    <row r="21" spans="1:8" ht="15" customHeight="1" x14ac:dyDescent="0.2">
      <c r="A21" s="9"/>
      <c r="B21" s="9" t="s">
        <v>131</v>
      </c>
      <c r="C21" s="28" t="s">
        <v>207</v>
      </c>
      <c r="D21" s="35">
        <f>'Input Tarif'!$D$11</f>
        <v>0</v>
      </c>
      <c r="E21" s="35">
        <f>'Input Tarif'!$D$11</f>
        <v>0</v>
      </c>
      <c r="F21" s="35">
        <f>'Input Tarif'!$D$11</f>
        <v>0</v>
      </c>
      <c r="G21" s="35">
        <f>'Input Tarif'!$D$11</f>
        <v>0</v>
      </c>
      <c r="H21" s="35">
        <f>'Input Tarif'!$D$11</f>
        <v>0</v>
      </c>
    </row>
    <row r="22" spans="1:8" ht="15" customHeight="1" x14ac:dyDescent="0.2">
      <c r="A22" s="9"/>
      <c r="B22" s="9" t="s">
        <v>134</v>
      </c>
      <c r="C22" s="28" t="s">
        <v>207</v>
      </c>
      <c r="D22" s="35">
        <f>'Input Tarif'!$D$12</f>
        <v>150000</v>
      </c>
      <c r="E22" s="35">
        <f>'Input Tarif'!$D$12</f>
        <v>150000</v>
      </c>
      <c r="F22" s="35">
        <f>'Input Tarif'!$D$12</f>
        <v>150000</v>
      </c>
      <c r="G22" s="35">
        <f>'Input Tarif'!$D$12</f>
        <v>150000</v>
      </c>
      <c r="H22" s="35">
        <f>'Input Tarif'!$D$12</f>
        <v>150000</v>
      </c>
    </row>
    <row r="23" spans="1:8" ht="15" customHeight="1" x14ac:dyDescent="0.2">
      <c r="A23" s="36"/>
      <c r="B23" s="37" t="s">
        <v>208</v>
      </c>
      <c r="C23" s="36"/>
      <c r="D23" s="38">
        <f>SUM(D21:D22)</f>
        <v>150000</v>
      </c>
      <c r="E23" s="38">
        <f>SUM(E21:E22)</f>
        <v>150000</v>
      </c>
      <c r="F23" s="38">
        <f>SUM(F21:F22)</f>
        <v>150000</v>
      </c>
      <c r="G23" s="38">
        <f>SUM(G21:G22)</f>
        <v>150000</v>
      </c>
      <c r="H23" s="38">
        <f>SUM(H21:H22)</f>
        <v>150000</v>
      </c>
    </row>
    <row r="25" spans="1:8" ht="15" customHeight="1" x14ac:dyDescent="0.2">
      <c r="A25" s="5" t="s">
        <v>73</v>
      </c>
      <c r="B25" s="34"/>
      <c r="C25" s="34"/>
      <c r="D25" s="34"/>
      <c r="E25" s="34"/>
      <c r="F25" s="34"/>
      <c r="G25" s="34"/>
      <c r="H25" s="34"/>
    </row>
    <row r="26" spans="1:8" ht="15" customHeight="1" x14ac:dyDescent="0.2">
      <c r="A26" s="9"/>
      <c r="B26" s="9" t="s">
        <v>209</v>
      </c>
      <c r="C26" s="28" t="s">
        <v>210</v>
      </c>
      <c r="D26" s="35">
        <f>'Desain Program'!D5*'Input Tarif'!$D$13</f>
        <v>240000</v>
      </c>
      <c r="E26" s="35">
        <f>'Desain Program'!E5*'Input Tarif'!$D$13</f>
        <v>220000</v>
      </c>
      <c r="F26" s="35">
        <f>'Desain Program'!F5*'Input Tarif'!$D$13</f>
        <v>400000</v>
      </c>
      <c r="G26" s="35">
        <f>'Desain Program'!G5*'Input Tarif'!$D$13</f>
        <v>630000</v>
      </c>
      <c r="H26" s="35">
        <f>'Desain Program'!H5*'Input Tarif'!$D$13</f>
        <v>470000</v>
      </c>
    </row>
    <row r="27" spans="1:8" ht="15" customHeight="1" x14ac:dyDescent="0.2">
      <c r="A27" s="9"/>
      <c r="B27" s="9" t="s">
        <v>211</v>
      </c>
      <c r="C27" s="28" t="s">
        <v>210</v>
      </c>
      <c r="D27" s="35">
        <f>'Desain Program'!D5*'Input Tarif'!$D$14</f>
        <v>0</v>
      </c>
      <c r="E27" s="35">
        <f>'Desain Program'!E5*'Input Tarif'!$D$14</f>
        <v>0</v>
      </c>
      <c r="F27" s="35">
        <f>'Desain Program'!F5*'Input Tarif'!$D$14</f>
        <v>0</v>
      </c>
      <c r="G27" s="35">
        <f>'Desain Program'!G5*'Input Tarif'!$D$14</f>
        <v>0</v>
      </c>
      <c r="H27" s="35">
        <f>'Desain Program'!H5*'Input Tarif'!$D$14</f>
        <v>0</v>
      </c>
    </row>
    <row r="28" spans="1:8" ht="15" customHeight="1" x14ac:dyDescent="0.2">
      <c r="A28" s="36"/>
      <c r="B28" s="37" t="s">
        <v>212</v>
      </c>
      <c r="C28" s="36"/>
      <c r="D28" s="38">
        <f>SUM(D26:D27)</f>
        <v>240000</v>
      </c>
      <c r="E28" s="38">
        <f>SUM(E26:E27)</f>
        <v>220000</v>
      </c>
      <c r="F28" s="38">
        <f>SUM(F26:F27)</f>
        <v>400000</v>
      </c>
      <c r="G28" s="38">
        <f>SUM(G26:G27)</f>
        <v>630000</v>
      </c>
      <c r="H28" s="38">
        <f>SUM(H26:H27)</f>
        <v>470000</v>
      </c>
    </row>
    <row r="30" spans="1:8" ht="15" customHeight="1" x14ac:dyDescent="0.2">
      <c r="A30" s="39"/>
      <c r="B30" s="13" t="s">
        <v>213</v>
      </c>
      <c r="C30" s="39"/>
      <c r="D30" s="40">
        <f>D8+D13+D19+D23+D28</f>
        <v>7665000</v>
      </c>
      <c r="E30" s="40">
        <f>E8+E13+E19+E23+E28</f>
        <v>8745000</v>
      </c>
      <c r="F30" s="40">
        <f>F8+F13+F19+F23+F28</f>
        <v>12600000</v>
      </c>
      <c r="G30" s="40">
        <f>G8+G13+G19+G23+G28</f>
        <v>20070000</v>
      </c>
      <c r="H30" s="40">
        <f>H8+H13+H19+H23+H28</f>
        <v>17110000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Ringkasan Internal</vt:lpstr>
      <vt:lpstr>2. Ringkasan Klien</vt:lpstr>
      <vt:lpstr>Analisis Lengkap</vt:lpstr>
      <vt:lpstr>Input Tarif</vt:lpstr>
      <vt:lpstr>Desain Program</vt:lpstr>
      <vt:lpstr>Rincian Biaya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cp:revision>0</cp:revision>
  <dcterms:created xsi:type="dcterms:W3CDTF">2026-10-08T08:30:27Z</dcterms:created>
  <dcterms:modified xsi:type="dcterms:W3CDTF">2026-10-16T12:29:55Z</dcterms:modified>
  <dc:language>en-US</dc:language>
</cp:coreProperties>
</file>