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. Ringkasan Internal" sheetId="1" state="visible" r:id="rId3"/>
    <sheet name="2. Ringkasan Klien" sheetId="2" state="visible" r:id="rId4"/>
    <sheet name="Analisis Lengkap" sheetId="3" state="visible" r:id="rId5"/>
    <sheet name="Input Tarif" sheetId="4" state="visible" r:id="rId6"/>
    <sheet name="Desain Program" sheetId="5" state="visible" r:id="rId7"/>
    <sheet name="Rincian Biaya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<sst xmlns="http://schemas.openxmlformats.org/spreadsheetml/2006/main" count="283" uniqueCount="205">
  <si>
    <t xml:space="preserve">RINGKASAN INTERNAL - untuk keputusan (JANGAN dibagikan ke klien)</t>
  </si>
  <si>
    <t xml:space="preserve">Satu halaman: apakah harga sehat, berapa harga yang sebaiknya, dan apa dampaknya ke kas.</t>
  </si>
  <si>
    <t xml:space="preserve">Indikator</t>
  </si>
  <si>
    <t xml:space="preserve">Jeda</t>
  </si>
  <si>
    <t xml:space="preserve">Jeda Tahunan (per term)</t>
  </si>
  <si>
    <t xml:space="preserve">Tumbuh</t>
  </si>
  <si>
    <t xml:space="preserve">Seperjalanan</t>
  </si>
  <si>
    <t xml:space="preserve">APAKAH HARGA SEKARANG SEHAT?</t>
  </si>
  <si>
    <t xml:space="preserve">Harga sekarang</t>
  </si>
  <si>
    <t xml:space="preserve">Total biaya</t>
  </si>
  <si>
    <t xml:space="preserve">Laba bersih</t>
  </si>
  <si>
    <t xml:space="preserve">Margin bersih</t>
  </si>
  <si>
    <t xml:space="preserve">Posisi vs standar 15%-26%</t>
  </si>
  <si>
    <t xml:space="preserve">BERAPA HARGA YANG SEBAIKNYA?</t>
  </si>
  <si>
    <t xml:space="preserve">Harga minimum (15%)</t>
  </si>
  <si>
    <t xml:space="preserve">Harga ideal (26%)</t>
  </si>
  <si>
    <t xml:space="preserve">Harga rekomendasi</t>
  </si>
  <si>
    <t xml:space="preserve">Kenaikan yang dibutuhkan</t>
  </si>
  <si>
    <t xml:space="preserve">Laba bersih di harga rekomendasi</t>
  </si>
  <si>
    <t xml:space="preserve">Atau: hemat biaya (tanpa naik harga) utk 15%</t>
  </si>
  <si>
    <t xml:space="preserve">DAMPAK KE KAS &amp; OPERASIONAL</t>
  </si>
  <si>
    <t xml:space="preserve">Kas masuk saat SPK (DP, setelah PPh)</t>
  </si>
  <si>
    <t xml:space="preserve">Laba per bulan (harga sekarang)</t>
  </si>
  <si>
    <t xml:space="preserve">% opex 3 bulan yang tertutup</t>
  </si>
  <si>
    <t xml:space="preserve">Laba jika semua sesi oleh Vania/Kia</t>
  </si>
  <si>
    <t xml:space="preserve">KEPUTUSAN</t>
  </si>
  <si>
    <t xml:space="preserve">Rekomendasi</t>
  </si>
  <si>
    <t xml:space="preserve">Cara baca: merah = harga belum menutup standar minimum margin 15%. Ikuti baris 'Harga rekomendasi', atau hemat biaya sebesar angka di bawahnya.</t>
  </si>
  <si>
    <t xml:space="preserve">Angka di sini otomatis mengikuti 'Analisis Lengkap'. Ubah tarif di 'Input Tarif' dan kuantitas/harga/target di 'Desain Program'.</t>
  </si>
  <si>
    <t xml:space="preserve">Welcoming Package - Employee Wellbeing Program</t>
  </si>
  <si>
    <t xml:space="preserve">Bank Indonesia KPw Sibolga  |  PT Indo Medika Resolusi (Teman Journey)  |  Dapat dibagikan ke klien</t>
  </si>
  <si>
    <t xml:space="preserve">Yang Anda dapatkan</t>
  </si>
  <si>
    <t xml:space="preserve">Paket Jeda</t>
  </si>
  <si>
    <t xml:space="preserve">Paket Jeda Tahunan (per term)</t>
  </si>
  <si>
    <t xml:space="preserve">Paket Tumbuh</t>
  </si>
  <si>
    <t xml:space="preserve">Paket Seperjalanan</t>
  </si>
  <si>
    <t xml:space="preserve">LAYANAN</t>
  </si>
  <si>
    <t xml:space="preserve">Konseling psikologi online (60 menit)</t>
  </si>
  <si>
    <t xml:space="preserve">Perkiraan pegawai terlayani</t>
  </si>
  <si>
    <t xml:space="preserve">Mental Health Check-Up (MHCU)</t>
  </si>
  <si>
    <t xml:space="preserve">Laporan agregat anonim untuk manajemen</t>
  </si>
  <si>
    <t xml:space="preserve">Hasil MHCU individual untuk pegawai</t>
  </si>
  <si>
    <t xml:space="preserve">Psikoedukasi oleh psikolog</t>
  </si>
  <si>
    <t xml:space="preserve">Masa berlaku</t>
  </si>
  <si>
    <t xml:space="preserve">INVESTASI</t>
  </si>
  <si>
    <t xml:space="preserve">Nilai layanan (harga reguler)</t>
  </si>
  <si>
    <t xml:space="preserve">Harga Welcoming Package</t>
  </si>
  <si>
    <t xml:space="preserve">Anda hemat</t>
  </si>
  <si>
    <t xml:space="preserve">Setara per bulan</t>
  </si>
  <si>
    <t xml:space="preserve">Setara per pegawai</t>
  </si>
  <si>
    <t xml:space="preserve">KETENTUAN</t>
  </si>
  <si>
    <t xml:space="preserve">Batas penandatanganan SPK</t>
  </si>
  <si>
    <t xml:space="preserve">31 Oktober 2026</t>
  </si>
  <si>
    <t xml:space="preserve">Pembayaran</t>
  </si>
  <si>
    <t xml:space="preserve">Pajak</t>
  </si>
  <si>
    <t xml:space="preserve">Teman Journey non-PKP (tanpa PPN); PPh 23 dipotong oleh pemberi kerja</t>
  </si>
  <si>
    <t xml:space="preserve">Sesi tambahan</t>
  </si>
  <si>
    <t xml:space="preserve">Kerahasiaan</t>
  </si>
  <si>
    <t xml:space="preserve">Manajemen hanya menerima data agregat anonim. Hasil MHCU individual (Seperjalanan) hanya diberikan ke pegawai yang bersangkutan</t>
  </si>
  <si>
    <t xml:space="preserve">Penyelenggara</t>
  </si>
  <si>
    <t xml:space="preserve">PT Indo Medika Resolusi (Teman Journey) - info@temanjourney.id</t>
  </si>
  <si>
    <t xml:space="preserve">ANALISIS LENGKAP - BI KPw Sibolga (INTERNAL)</t>
  </si>
  <si>
    <t xml:space="preserve">Margin = laba bersih / harga jual. Target margin diatur di sheet 'Desain Program'.</t>
  </si>
  <si>
    <t xml:space="preserve">HARGA</t>
  </si>
  <si>
    <t xml:space="preserve">Harga jual</t>
  </si>
  <si>
    <t xml:space="preserve">Jumlah sesi / pegawai terlayani</t>
  </si>
  <si>
    <t xml:space="preserve">BIAYA PER KATEGORI</t>
  </si>
  <si>
    <t xml:space="preserve">A. Delivery konseling</t>
  </si>
  <si>
    <t xml:space="preserve">B. Asesmen</t>
  </si>
  <si>
    <t xml:space="preserve">C. Psikoedukasi</t>
  </si>
  <si>
    <t xml:space="preserve">D. Administrasi proyek</t>
  </si>
  <si>
    <t xml:space="preserve">E. Pajak &amp; overhead</t>
  </si>
  <si>
    <t xml:space="preserve">Biaya sebagai % harga</t>
  </si>
  <si>
    <t xml:space="preserve">LABA &amp; MARGIN</t>
  </si>
  <si>
    <t xml:space="preserve">Margin bersih aktual</t>
  </si>
  <si>
    <t xml:space="preserve">Target margin</t>
  </si>
  <si>
    <t xml:space="preserve">Harga minimum utk capai target</t>
  </si>
  <si>
    <t xml:space="preserve">Selisih harga jual vs harga minimum</t>
  </si>
  <si>
    <t xml:space="preserve">Status</t>
  </si>
  <si>
    <t xml:space="preserve">Laba bersih jika semua sesi in-house</t>
  </si>
  <si>
    <t xml:space="preserve">KAS &amp; KONTRIBUSI</t>
  </si>
  <si>
    <t xml:space="preserve">Kas diterima saat SPK (DP, setelah PPh)</t>
  </si>
  <si>
    <t xml:space="preserve">Laba bersih per bulan</t>
  </si>
  <si>
    <t xml:space="preserve">% opex masa paket yang tertutup</t>
  </si>
  <si>
    <t xml:space="preserve">NILAI UNTUK PROPOSAL</t>
  </si>
  <si>
    <t xml:space="preserve">Nilai normal (harga reguler)</t>
  </si>
  <si>
    <t xml:space="preserve">Hemat untuk BI</t>
  </si>
  <si>
    <t xml:space="preserve">REKOMENDASI HARGA</t>
  </si>
  <si>
    <t xml:space="preserve">Harga minimum (margin 15%)</t>
  </si>
  <si>
    <t xml:space="preserve">Harga ideal (margin 26%)</t>
  </si>
  <si>
    <t xml:space="preserve">Margin dipakai untuk rekomendasi</t>
  </si>
  <si>
    <t xml:space="preserve">HARGA REKOMENDASI</t>
  </si>
  <si>
    <t xml:space="preserve">Perubahan vs harga sekarang</t>
  </si>
  <si>
    <t xml:space="preserve">Margin bersih pada harga rekomendasi</t>
  </si>
  <si>
    <t xml:space="preserve">Laba bersih pada harga rekomendasi</t>
  </si>
  <si>
    <t xml:space="preserve">Setara per bulan (harga rekomendasi)</t>
  </si>
  <si>
    <t xml:space="preserve">Alternatif: penghematan biaya agar margin 15% tanpa naik harga</t>
  </si>
  <si>
    <t xml:space="preserve">Kesimpulan</t>
  </si>
  <si>
    <t xml:space="preserve">Cara pakai: (1) ubah tarif di 'Input Tarif', (2) ubah kuantitas, harga, dan target margin di 'Desain Program', (3) baca hasil di sini.</t>
  </si>
  <si>
    <t xml:space="preserve">Harga minimum = biaya non-pajak / (1 - PPh - overhead% - target margin). Jika harga jual di bawahnya, status merah.</t>
  </si>
  <si>
    <t xml:space="preserve">'Laba bersih jika semua sesi in-house' = skenario Vania/Kia membawakan semua sesi (honor sesi Rp0, gaji sudah di opex).</t>
  </si>
  <si>
    <t xml:space="preserve">REKOMENDASI: standar Teman Journey = margin bersih 15% (batas bawah) s/d 26% (ideal). Harga rekomendasi memakai target margin program, dibatasi 15-26%, dibulatkan ke atas Rp500rb, dan tidak pernah di bawah harga sekarang.</t>
  </si>
  <si>
    <t xml:space="preserve">Jika harga sekarang di bawah 'Harga minimum (margin 15%)', program merugikan jangka panjang. Pilihannya: naikkan harga, atau kurangi biaya sebesar angka 'Alternatif: penghematan biaya'.</t>
  </si>
  <si>
    <t xml:space="preserve">INPUT TARIF &amp; ASUMSI</t>
  </si>
  <si>
    <t xml:space="preserve">Ubah hanya sel biru berlatar kuning. Semua angka lain dihitung otomatis. Kolom 'Review CFO' = catatan kewajaran tarif.</t>
  </si>
  <si>
    <t xml:space="preserve">Kategori</t>
  </si>
  <si>
    <t xml:space="preserve">Komponen</t>
  </si>
  <si>
    <t xml:space="preserve">Satuan</t>
  </si>
  <si>
    <t xml:space="preserve">Tarif / Nilai</t>
  </si>
  <si>
    <t xml:space="preserve">Sumber</t>
  </si>
  <si>
    <t xml:space="preserve">Review CFO</t>
  </si>
  <si>
    <t xml:space="preserve">Honor psikolog per sesi konseling</t>
  </si>
  <si>
    <t xml:space="preserve">Rp / sesi 60 menit</t>
  </si>
  <si>
    <t xml:space="preserve">Kia</t>
  </si>
  <si>
    <t xml:space="preserve">TINGGI: 70% dari harga reguler Rp500rb. Praktik umum bagi hasil associate 50-60% (Rp250-300rb). Untuk Vania (gaji tetap), gunakan biaya internal per sesi = gaji / kapasitas sesi, bukan Rp350rb.</t>
  </si>
  <si>
    <t xml:space="preserve">Admin &amp; platform</t>
  </si>
  <si>
    <t xml:space="preserve">Rp / sesi</t>
  </si>
  <si>
    <t xml:space="preserve">Asumsi</t>
  </si>
  <si>
    <t xml:space="preserve">AGAK TINGGI bila Zoom &amp; tools sudah dibayar bulanan (masuk opex). Biaya marginal realistis Rp10-15rb/sesi (reminder, penjadwalan).</t>
  </si>
  <si>
    <t xml:space="preserve">MHCU (alat ukur + skoring)</t>
  </si>
  <si>
    <t xml:space="preserve">Rp / orang / putaran</t>
  </si>
  <si>
    <t xml:space="preserve">WAJAR jika termasuk interpretasi psikolog. Jika memakai alat ukur bebas lisensi (mis. DASS-21, Copenhagen Burnout Inventory) dan skoring otomatis, biaya bisa ditekan.</t>
  </si>
  <si>
    <t xml:space="preserve">Laporan agregat anonim</t>
  </si>
  <si>
    <t xml:space="preserve">Rp / program</t>
  </si>
  <si>
    <t xml:space="preserve">WAJAR (± 0,5-1 hari kerja psikolog). Bisa dibuat template agar program berikutnya lebih murah.</t>
  </si>
  <si>
    <t xml:space="preserve">Webinar online oleh psikolog</t>
  </si>
  <si>
    <t xml:space="preserve">WAJAR untuk narasumber eksternal. Jika dibawakan Kia/Vania (gaji/opex), biaya marginal mendekati Rp0-500rb (moderator, materi).</t>
  </si>
  <si>
    <t xml:space="preserve">Seminar offline oleh psikolog</t>
  </si>
  <si>
    <t xml:space="preserve">KEMUNGKINAN TERLALU RENDAH jika narasumber berangkat dari Jakarta: tiket ke Sibolga (via Medan) + hotel + uang harian bisa melebihi Rp3jt sebelum honor. Cek ulang, atau pakai psikolog mitra di Sumut.</t>
  </si>
  <si>
    <t xml:space="preserve">PIC / Project Officer</t>
  </si>
  <si>
    <t xml:space="preserve">Belum ada</t>
  </si>
  <si>
    <t xml:space="preserve">KURANG: koordinasi jadwal 12 pegawai x 3 bulan tetap memakan waktu. Pertimbangkan Rp300-500rb/program agar margin tidak semu.</t>
  </si>
  <si>
    <t xml:space="preserve">Kontrak, materai, invoice</t>
  </si>
  <si>
    <t xml:space="preserve">WAJAR.</t>
  </si>
  <si>
    <t xml:space="preserve">PPh 23 dipotong BI</t>
  </si>
  <si>
    <t xml:space="preserve">% dari harga</t>
  </si>
  <si>
    <t xml:space="preserve">Ketentuan</t>
  </si>
  <si>
    <t xml:space="preserve">Non-PKP: tidak ada PPN. PPh 23 = kredit pajak, tapi mengurangi kas.</t>
  </si>
  <si>
    <t xml:space="preserve">Alokasi overhead kantor</t>
  </si>
  <si>
    <t xml:space="preserve">Belum diisi</t>
  </si>
  <si>
    <t xml:space="preserve">DISARANKAN 10-15% agar laba mencerminkan kontribusi nyata terhadap opex Rp20jt/bulan.</t>
  </si>
  <si>
    <t xml:space="preserve">Parameter umum</t>
  </si>
  <si>
    <t xml:space="preserve">Harga reguler per sesi</t>
  </si>
  <si>
    <t xml:space="preserve">Sesi konseling per pegawai</t>
  </si>
  <si>
    <t xml:space="preserve">sesi</t>
  </si>
  <si>
    <t xml:space="preserve">Asumsi praktik konseling singkat</t>
  </si>
  <si>
    <t xml:space="preserve">Masa paket</t>
  </si>
  <si>
    <t xml:space="preserve">bulan</t>
  </si>
  <si>
    <t xml:space="preserve">Biaya operasional bulanan Teman Journey</t>
  </si>
  <si>
    <t xml:space="preserve">Rp / bulan</t>
  </si>
  <si>
    <t xml:space="preserve">DP saat SPK</t>
  </si>
  <si>
    <t xml:space="preserve">Ketentuan proposal</t>
  </si>
  <si>
    <t xml:space="preserve">Nilai normal 1 putaran MHCU (untuk proposal)</t>
  </si>
  <si>
    <t xml:space="preserve">Rp</t>
  </si>
  <si>
    <t xml:space="preserve">Nilai jual, bukan biaya</t>
  </si>
  <si>
    <t xml:space="preserve">Nilai normal laporan agregat (untuk proposal)</t>
  </si>
  <si>
    <t xml:space="preserve">Nilai normal 1 sesi psikoedukasi (untuk proposal)</t>
  </si>
  <si>
    <t xml:space="preserve">Standar margin bersih minimum</t>
  </si>
  <si>
    <t xml:space="preserve">Kebijakan Teman Journey</t>
  </si>
  <si>
    <t xml:space="preserve">Standar margin bersih maksimum / ideal</t>
  </si>
  <si>
    <t xml:space="preserve">Pembulatan harga rekomendasi</t>
  </si>
  <si>
    <t xml:space="preserve">Dibulatkan ke atas</t>
  </si>
  <si>
    <t xml:space="preserve">DESAIN PROGRAM (isi per paket)</t>
  </si>
  <si>
    <t xml:space="preserve">Kuantitas layanan, harga jual, dan TARGET MARGIN bisa diatur per program.</t>
  </si>
  <si>
    <t xml:space="preserve">Bagian</t>
  </si>
  <si>
    <t xml:space="preserve">Parameter</t>
  </si>
  <si>
    <t xml:space="preserve">Harga &amp; target</t>
  </si>
  <si>
    <t xml:space="preserve">Harga jual (proposal)</t>
  </si>
  <si>
    <t xml:space="preserve">Target margin bersih</t>
  </si>
  <si>
    <t xml:space="preserve">% sesi oleh psikolog berbayar</t>
  </si>
  <si>
    <t xml:space="preserve">%</t>
  </si>
  <si>
    <t xml:space="preserve">Layanan</t>
  </si>
  <si>
    <t xml:space="preserve">Jumlah sesi konseling</t>
  </si>
  <si>
    <t xml:space="preserve">Pegawai terlayani</t>
  </si>
  <si>
    <t xml:space="preserve">orang</t>
  </si>
  <si>
    <t xml:space="preserve">Putaran MHCU</t>
  </si>
  <si>
    <t xml:space="preserve">putaran</t>
  </si>
  <si>
    <t xml:space="preserve">Laporan agregat (1=ya)</t>
  </si>
  <si>
    <t xml:space="preserve">flag</t>
  </si>
  <si>
    <t xml:space="preserve">Hasil MHCU individual (1=ya)</t>
  </si>
  <si>
    <t xml:space="preserve">Psikoedukasi online (webinar)</t>
  </si>
  <si>
    <t xml:space="preserve">Psikoedukasi offline (seminar)</t>
  </si>
  <si>
    <t xml:space="preserve">Catatan: '% sesi oleh psikolog berbayar' = 100% berarti semua sesi dibayar honor (skenario konservatif). Isi 0% jika semua sesi dibawakan Vania/Kia (gaji tetap).</t>
  </si>
  <si>
    <t xml:space="preserve">RINCIAN BIAYA PER KATEGORI</t>
  </si>
  <si>
    <t xml:space="preserve">Biaya = kuantitas (Desain Program) x tarif (Input Tarif). Jangan ketik angka di sini.</t>
  </si>
  <si>
    <t xml:space="preserve">Dasar perhitungan</t>
  </si>
  <si>
    <t xml:space="preserve">Honor psikolog</t>
  </si>
  <si>
    <t xml:space="preserve">sesi x % berbayar x tarif</t>
  </si>
  <si>
    <t xml:space="preserve">sesi x tarif</t>
  </si>
  <si>
    <t xml:space="preserve">Subtotal A. Delivery konseling</t>
  </si>
  <si>
    <t xml:space="preserve">MHCU</t>
  </si>
  <si>
    <t xml:space="preserve">putaran x pegawai x tarif</t>
  </si>
  <si>
    <t xml:space="preserve">Laporan agregat</t>
  </si>
  <si>
    <t xml:space="preserve">flag x tarif</t>
  </si>
  <si>
    <t xml:space="preserve">Subtotal B. Asesmen</t>
  </si>
  <si>
    <t xml:space="preserve">Webinar online</t>
  </si>
  <si>
    <t xml:space="preserve">Seminar offline</t>
  </si>
  <si>
    <t xml:space="preserve">Subtotal C. Psikoedukasi</t>
  </si>
  <si>
    <t xml:space="preserve">per program</t>
  </si>
  <si>
    <t xml:space="preserve">Subtotal D. Administrasi proyek</t>
  </si>
  <si>
    <t xml:space="preserve">PPh 23</t>
  </si>
  <si>
    <t xml:space="preserve">harga x %</t>
  </si>
  <si>
    <t xml:space="preserve">Alokasi overhead</t>
  </si>
  <si>
    <t xml:space="preserve">Subtotal E. Pajak &amp; overhead</t>
  </si>
  <si>
    <t xml:space="preserve">TOTAL BIAYA (A s/d E)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</si>
</sst>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&quot;Rp&quot;#,##0;&quot;(Rp&quot;#,##0\);\-"/>
    <numFmt numFmtId="166" formatCode="0.0%;\(0.0%\);\-"/>
    <numFmt numFmtId="167" formatCode="#,##0;\(#,##0\);\-"/>
    <numFmt numFmtId="168" formatCode="#,##0.0;\(#,##0.0\);\-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C4587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9"/>
      <color rgb="FF666666"/>
      <name val="Arial"/>
      <family val="0"/>
      <charset val="1"/>
    </font>
    <font>
      <sz val="9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C4587"/>
        <bgColor rgb="FF003366"/>
      </patternFill>
    </fill>
    <fill>
      <patternFill patternType="solid">
        <fgColor rgb="FFDCE6F1"/>
        <bgColor rgb="FFC9DAF8"/>
      </patternFill>
    </fill>
    <fill>
      <patternFill patternType="solid">
        <fgColor rgb="FFC9DAF8"/>
        <bgColor rgb="FFDCE6F1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Arial"/>
        <charset val="1"/>
        <family val="0"/>
        <b val="1"/>
        <color rgb="FF9C0006"/>
      </font>
      <fill>
        <patternFill>
          <bgColor rgb="FFFFC7CE"/>
        </patternFill>
      </fill>
    </dxf>
    <dxf>
      <font>
        <name val="Arial"/>
        <charset val="1"/>
        <family val="0"/>
        <b val="1"/>
        <color rgb="FF006100"/>
      </font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CE6F1"/>
      <rgbColor rgb="FF660066"/>
      <rgbColor rgb="FFFF8080"/>
      <rgbColor rgb="FF0066CC"/>
      <rgbColor rgb="FFC9DA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C458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2"/>
    <col collapsed="false" customWidth="true" hidden="false" outlineLevel="0" max="6" min="3" style="0" width="2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/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</row>
    <row r="5" customFormat="false" ht="15" hidden="false" customHeight="false" outlineLevel="0" collapsed="false">
      <c r="B5" s="5" t="s">
        <v>7</v>
      </c>
      <c r="C5" s="6"/>
      <c r="D5" s="6"/>
      <c r="E5" s="6"/>
      <c r="F5" s="6"/>
    </row>
    <row r="6" customFormat="false" ht="15" hidden="false" customHeight="false" outlineLevel="0" collapsed="false">
      <c r="B6" s="7" t="s">
        <v>8</v>
      </c>
      <c r="C6" s="8" t="n">
        <f aca="false">'Analisis Lengkap'!C6</f>
        <v>12000000</v>
      </c>
      <c r="D6" s="8" t="n">
        <f aca="false">'Analisis Lengkap'!D6</f>
        <v>11000000</v>
      </c>
      <c r="E6" s="8" t="n">
        <f aca="false">'Analisis Lengkap'!E6</f>
        <v>20000000</v>
      </c>
      <c r="F6" s="8" t="n">
        <f aca="false">'Analisis Lengkap'!F6</f>
        <v>31500000</v>
      </c>
    </row>
    <row r="7" customFormat="false" ht="15" hidden="false" customHeight="false" outlineLevel="0" collapsed="false">
      <c r="B7" s="9" t="s">
        <v>9</v>
      </c>
      <c r="C7" s="10" t="n">
        <f aca="false">'Analisis Lengkap'!C15</f>
        <v>7665000</v>
      </c>
      <c r="D7" s="10" t="n">
        <f aca="false">'Analisis Lengkap'!D15</f>
        <v>8745000</v>
      </c>
      <c r="E7" s="10" t="n">
        <f aca="false">'Analisis Lengkap'!E15</f>
        <v>12600000</v>
      </c>
      <c r="F7" s="10" t="n">
        <f aca="false">'Analisis Lengkap'!F15</f>
        <v>20070000</v>
      </c>
    </row>
    <row r="8" customFormat="false" ht="15" hidden="false" customHeight="false" outlineLevel="0" collapsed="false">
      <c r="B8" s="7" t="s">
        <v>10</v>
      </c>
      <c r="C8" s="8" t="n">
        <f aca="false">'Analisis Lengkap'!C18</f>
        <v>4335000</v>
      </c>
      <c r="D8" s="8" t="n">
        <f aca="false">'Analisis Lengkap'!D18</f>
        <v>2255000</v>
      </c>
      <c r="E8" s="8" t="n">
        <f aca="false">'Analisis Lengkap'!E18</f>
        <v>7400000</v>
      </c>
      <c r="F8" s="8" t="n">
        <f aca="false">'Analisis Lengkap'!F18</f>
        <v>11430000</v>
      </c>
    </row>
    <row r="9" customFormat="false" ht="15" hidden="false" customHeight="false" outlineLevel="0" collapsed="false">
      <c r="B9" s="7" t="s">
        <v>11</v>
      </c>
      <c r="C9" s="11" t="n">
        <f aca="false">'Analisis Lengkap'!C19</f>
        <v>0.36125</v>
      </c>
      <c r="D9" s="11" t="n">
        <f aca="false">'Analisis Lengkap'!D19</f>
        <v>0.205</v>
      </c>
      <c r="E9" s="11" t="n">
        <f aca="false">'Analisis Lengkap'!E19</f>
        <v>0.37</v>
      </c>
      <c r="F9" s="11" t="n">
        <f aca="false">'Analisis Lengkap'!F19</f>
        <v>0.362857142857143</v>
      </c>
    </row>
    <row r="10" customFormat="false" ht="15" hidden="false" customHeight="false" outlineLevel="0" collapsed="false">
      <c r="B10" s="7" t="s">
        <v>12</v>
      </c>
      <c r="C10" s="12" t="str">
        <f aca="false">IF('Analisis Lengkap'!C19&lt;'Input Tarif'!$D$25,"Di bawah minimum",IF('Analisis Lengkap'!C19&lt;='Input Tarif'!$D$26,"Dalam rentang sehat","Di atas ideal"))</f>
        <v>Di atas ideal</v>
      </c>
      <c r="D10" s="12" t="str">
        <f aca="false">IF('Analisis Lengkap'!D19&lt;'Input Tarif'!$D$25,"Di bawah minimum",IF('Analisis Lengkap'!D19&lt;='Input Tarif'!$D$26,"Dalam rentang sehat","Di atas ideal"))</f>
        <v>Dalam rentang sehat</v>
      </c>
      <c r="E10" s="12" t="str">
        <f aca="false">IF('Analisis Lengkap'!E19&lt;'Input Tarif'!$D$25,"Di bawah minimum",IF('Analisis Lengkap'!E19&lt;='Input Tarif'!$D$26,"Dalam rentang sehat","Di atas ideal"))</f>
        <v>Di atas ideal</v>
      </c>
      <c r="F10" s="12" t="str">
        <f aca="false">IF('Analisis Lengkap'!F19&lt;'Input Tarif'!$D$25,"Di bawah minimum",IF('Analisis Lengkap'!F19&lt;='Input Tarif'!$D$26,"Dalam rentang sehat","Di atas ideal"))</f>
        <v>Di atas ideal</v>
      </c>
    </row>
    <row r="11" customFormat="false" ht="15" hidden="false" customHeight="false" outlineLevel="0" collapsed="false">
      <c r="B11" s="5" t="s">
        <v>13</v>
      </c>
      <c r="C11" s="6"/>
      <c r="D11" s="6"/>
      <c r="E11" s="6"/>
      <c r="F11" s="6"/>
    </row>
    <row r="12" customFormat="false" ht="15" hidden="false" customHeight="false" outlineLevel="0" collapsed="false">
      <c r="B12" s="9" t="s">
        <v>14</v>
      </c>
      <c r="C12" s="10" t="n">
        <f aca="false">'Analisis Lengkap'!C33</f>
        <v>9000000</v>
      </c>
      <c r="D12" s="10" t="n">
        <f aca="false">'Analisis Lengkap'!D33</f>
        <v>10500000</v>
      </c>
      <c r="E12" s="10" t="n">
        <f aca="false">'Analisis Lengkap'!E33</f>
        <v>15000000</v>
      </c>
      <c r="F12" s="10" t="n">
        <f aca="false">'Analisis Lengkap'!F33</f>
        <v>23500000</v>
      </c>
    </row>
    <row r="13" customFormat="false" ht="15" hidden="false" customHeight="false" outlineLevel="0" collapsed="false">
      <c r="B13" s="9" t="s">
        <v>15</v>
      </c>
      <c r="C13" s="10" t="n">
        <f aca="false">'Analisis Lengkap'!C34</f>
        <v>10500000</v>
      </c>
      <c r="D13" s="10" t="n">
        <f aca="false">'Analisis Lengkap'!D34</f>
        <v>12000000</v>
      </c>
      <c r="E13" s="10" t="n">
        <f aca="false">'Analisis Lengkap'!E34</f>
        <v>17000000</v>
      </c>
      <c r="F13" s="10" t="n">
        <f aca="false">'Analisis Lengkap'!F34</f>
        <v>27000000</v>
      </c>
    </row>
    <row r="14" customFormat="false" ht="15" hidden="false" customHeight="false" outlineLevel="0" collapsed="false">
      <c r="B14" s="13" t="s">
        <v>16</v>
      </c>
      <c r="C14" s="14" t="n">
        <f aca="false">'Analisis Lengkap'!C36</f>
        <v>12000000</v>
      </c>
      <c r="D14" s="14" t="n">
        <f aca="false">'Analisis Lengkap'!D36</f>
        <v>11000000</v>
      </c>
      <c r="E14" s="14" t="n">
        <f aca="false">'Analisis Lengkap'!E36</f>
        <v>20000000</v>
      </c>
      <c r="F14" s="14" t="n">
        <f aca="false">'Analisis Lengkap'!F36</f>
        <v>31500000</v>
      </c>
    </row>
    <row r="15" customFormat="false" ht="15" hidden="false" customHeight="false" outlineLevel="0" collapsed="false">
      <c r="B15" s="9" t="s">
        <v>17</v>
      </c>
      <c r="C15" s="10" t="n">
        <f aca="false">'Analisis Lengkap'!C37</f>
        <v>0</v>
      </c>
      <c r="D15" s="10" t="n">
        <f aca="false">'Analisis Lengkap'!D37</f>
        <v>0</v>
      </c>
      <c r="E15" s="10" t="n">
        <f aca="false">'Analisis Lengkap'!E37</f>
        <v>0</v>
      </c>
      <c r="F15" s="10" t="n">
        <f aca="false">'Analisis Lengkap'!F37</f>
        <v>0</v>
      </c>
    </row>
    <row r="16" customFormat="false" ht="15" hidden="false" customHeight="false" outlineLevel="0" collapsed="false">
      <c r="B16" s="9" t="s">
        <v>18</v>
      </c>
      <c r="C16" s="10" t="n">
        <f aca="false">'Analisis Lengkap'!C39</f>
        <v>4335000</v>
      </c>
      <c r="D16" s="10" t="n">
        <f aca="false">'Analisis Lengkap'!D39</f>
        <v>2255000</v>
      </c>
      <c r="E16" s="10" t="n">
        <f aca="false">'Analisis Lengkap'!E39</f>
        <v>7400000</v>
      </c>
      <c r="F16" s="10" t="n">
        <f aca="false">'Analisis Lengkap'!F39</f>
        <v>11430000</v>
      </c>
    </row>
    <row r="17" customFormat="false" ht="15" hidden="false" customHeight="false" outlineLevel="0" collapsed="false">
      <c r="B17" s="9" t="s">
        <v>19</v>
      </c>
      <c r="C17" s="10" t="n">
        <f aca="false">'Analisis Lengkap'!C41</f>
        <v>0</v>
      </c>
      <c r="D17" s="10" t="n">
        <f aca="false">'Analisis Lengkap'!D41</f>
        <v>0</v>
      </c>
      <c r="E17" s="10" t="n">
        <f aca="false">'Analisis Lengkap'!E41</f>
        <v>0</v>
      </c>
      <c r="F17" s="10" t="n">
        <f aca="false">'Analisis Lengkap'!F41</f>
        <v>0</v>
      </c>
    </row>
    <row r="18" customFormat="false" ht="15" hidden="false" customHeight="false" outlineLevel="0" collapsed="false">
      <c r="B18" s="5" t="s">
        <v>20</v>
      </c>
      <c r="C18" s="6"/>
      <c r="D18" s="6"/>
      <c r="E18" s="6"/>
      <c r="F18" s="6"/>
    </row>
    <row r="19" customFormat="false" ht="15" hidden="false" customHeight="false" outlineLevel="0" collapsed="false">
      <c r="B19" s="9" t="s">
        <v>21</v>
      </c>
      <c r="C19" s="10" t="n">
        <f aca="false">'Analisis Lengkap'!C26</f>
        <v>5880000</v>
      </c>
      <c r="D19" s="10" t="n">
        <f aca="false">'Analisis Lengkap'!D26</f>
        <v>5390000</v>
      </c>
      <c r="E19" s="10" t="n">
        <f aca="false">'Analisis Lengkap'!E26</f>
        <v>9800000</v>
      </c>
      <c r="F19" s="10" t="n">
        <f aca="false">'Analisis Lengkap'!F26</f>
        <v>15435000</v>
      </c>
    </row>
    <row r="20" customFormat="false" ht="15" hidden="false" customHeight="false" outlineLevel="0" collapsed="false">
      <c r="B20" s="9" t="s">
        <v>22</v>
      </c>
      <c r="C20" s="10" t="n">
        <f aca="false">'Analisis Lengkap'!C27</f>
        <v>1445000</v>
      </c>
      <c r="D20" s="10" t="n">
        <f aca="false">'Analisis Lengkap'!D27</f>
        <v>751666.666666667</v>
      </c>
      <c r="E20" s="10" t="n">
        <f aca="false">'Analisis Lengkap'!E27</f>
        <v>2466666.66666667</v>
      </c>
      <c r="F20" s="10" t="n">
        <f aca="false">'Analisis Lengkap'!F27</f>
        <v>3810000</v>
      </c>
    </row>
    <row r="21" customFormat="false" ht="15" hidden="false" customHeight="false" outlineLevel="0" collapsed="false">
      <c r="B21" s="9" t="s">
        <v>23</v>
      </c>
      <c r="C21" s="15" t="n">
        <f aca="false">'Analisis Lengkap'!C28</f>
        <v>0.07225</v>
      </c>
      <c r="D21" s="15" t="n">
        <f aca="false">'Analisis Lengkap'!D28</f>
        <v>0.0375833333333333</v>
      </c>
      <c r="E21" s="15" t="n">
        <f aca="false">'Analisis Lengkap'!E28</f>
        <v>0.123333333333333</v>
      </c>
      <c r="F21" s="15" t="n">
        <f aca="false">'Analisis Lengkap'!F28</f>
        <v>0.1905</v>
      </c>
    </row>
    <row r="22" customFormat="false" ht="15" hidden="false" customHeight="false" outlineLevel="0" collapsed="false">
      <c r="B22" s="9" t="s">
        <v>24</v>
      </c>
      <c r="C22" s="10" t="n">
        <f aca="false">'Analisis Lengkap'!C24</f>
        <v>9585000</v>
      </c>
      <c r="D22" s="10" t="n">
        <f aca="false">'Analisis Lengkap'!D24</f>
        <v>7505000</v>
      </c>
      <c r="E22" s="10" t="n">
        <f aca="false">'Analisis Lengkap'!E24</f>
        <v>15800000</v>
      </c>
      <c r="F22" s="10" t="n">
        <f aca="false">'Analisis Lengkap'!F24</f>
        <v>24030000</v>
      </c>
    </row>
    <row r="23" customFormat="false" ht="15" hidden="false" customHeight="false" outlineLevel="0" collapsed="false">
      <c r="B23" s="5" t="s">
        <v>25</v>
      </c>
      <c r="C23" s="6"/>
      <c r="D23" s="6"/>
      <c r="E23" s="6"/>
      <c r="F23" s="6"/>
    </row>
    <row r="24" customFormat="false" ht="60" hidden="false" customHeight="true" outlineLevel="0" collapsed="false">
      <c r="B24" s="7" t="s">
        <v>26</v>
      </c>
      <c r="C24" s="12" t="str">
        <f aca="false">'Analisis Lengkap'!C42</f>
        <v>Harga sekarang sudah sehat - pertahankan</v>
      </c>
      <c r="D24" s="12" t="str">
        <f aca="false">'Analisis Lengkap'!D42</f>
        <v>Harga sekarang sudah sehat - pertahankan</v>
      </c>
      <c r="E24" s="12" t="str">
        <f aca="false">'Analisis Lengkap'!E42</f>
        <v>Harga sekarang sudah sehat - pertahankan</v>
      </c>
      <c r="F24" s="12" t="str">
        <f aca="false">'Analisis Lengkap'!F42</f>
        <v>Harga sekarang sudah sehat - pertahankan</v>
      </c>
    </row>
    <row r="26" customFormat="false" ht="15" hidden="false" customHeight="false" outlineLevel="0" collapsed="false">
      <c r="B26" s="2" t="s">
        <v>27</v>
      </c>
    </row>
    <row r="27" customFormat="false" ht="15" hidden="false" customHeight="false" outlineLevel="0" collapsed="false">
      <c r="B27" s="2" t="s">
        <v>28</v>
      </c>
    </row>
  </sheetData>
  <conditionalFormatting sqref="C10:F10">
    <cfRule type="expression" priority="2" aboveAverage="0" equalAverage="0" bottom="0" percent="0" rank="0" text="" dxfId="0">
      <formula>C10="Di bawah minimum"</formula>
    </cfRule>
    <cfRule type="expression" priority="3" aboveAverage="0" equalAverage="0" bottom="0" percent="0" rank="0" text="" dxfId="1">
      <formula>C10&lt;&gt;"Di bawah minimum"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0"/>
    <col collapsed="false" customWidth="true" hidden="false" outlineLevel="0" max="6" min="3" style="0" width="26"/>
  </cols>
  <sheetData>
    <row r="1" customFormat="false" ht="17.35" hidden="false" customHeight="false" outlineLevel="0" collapsed="false">
      <c r="A1" s="1" t="s">
        <v>29</v>
      </c>
    </row>
    <row r="2" customFormat="false" ht="15" hidden="false" customHeight="false" outlineLevel="0" collapsed="false">
      <c r="A2" s="2" t="s">
        <v>30</v>
      </c>
    </row>
    <row r="4" customFormat="false" ht="23.85" hidden="false" customHeight="false" outlineLevel="0" collapsed="false">
      <c r="A4" s="3"/>
      <c r="B4" s="4" t="s">
        <v>31</v>
      </c>
      <c r="C4" s="4" t="s">
        <v>32</v>
      </c>
      <c r="D4" s="4" t="s">
        <v>33</v>
      </c>
      <c r="E4" s="4" t="s">
        <v>34</v>
      </c>
      <c r="F4" s="4" t="s">
        <v>35</v>
      </c>
    </row>
    <row r="5" customFormat="false" ht="15" hidden="false" customHeight="false" outlineLevel="0" collapsed="false">
      <c r="B5" s="5" t="s">
        <v>36</v>
      </c>
      <c r="C5" s="6"/>
      <c r="D5" s="6"/>
      <c r="E5" s="6"/>
      <c r="F5" s="6"/>
    </row>
    <row r="6" customFormat="false" ht="15" hidden="false" customHeight="false" outlineLevel="0" collapsed="false">
      <c r="B6" s="9" t="s">
        <v>37</v>
      </c>
      <c r="C6" s="16" t="str">
        <f aca="false">'Desain Program'!D8&amp;" sesi"</f>
        <v>15 sesi</v>
      </c>
      <c r="D6" s="16" t="str">
        <f aca="false">'Desain Program'!E8&amp;" sesi"</f>
        <v>15 sesi</v>
      </c>
      <c r="E6" s="16" t="str">
        <f aca="false">'Desain Program'!F8&amp;" sesi"</f>
        <v>24 sesi</v>
      </c>
      <c r="F6" s="16" t="str">
        <f aca="false">'Desain Program'!G8&amp;" sesi"</f>
        <v>36 sesi</v>
      </c>
    </row>
    <row r="7" customFormat="false" ht="15" hidden="false" customHeight="false" outlineLevel="0" collapsed="false">
      <c r="B7" s="9" t="s">
        <v>38</v>
      </c>
      <c r="C7" s="16" t="str">
        <f aca="false">"± "&amp;TEXT('Desain Program'!D9,"0")&amp;" pegawai (3 sesi/orang)"</f>
        <v>± 5 pegawai (3 sesi/orang)</v>
      </c>
      <c r="D7" s="16" t="str">
        <f aca="false">"± "&amp;TEXT('Desain Program'!E9,"0")&amp;" pegawai (3 sesi/orang)"</f>
        <v>± 5 pegawai (3 sesi/orang)</v>
      </c>
      <c r="E7" s="16" t="str">
        <f aca="false">"± "&amp;TEXT('Desain Program'!F9,"0")&amp;" pegawai (3 sesi/orang)"</f>
        <v>± 8 pegawai (3 sesi/orang)</v>
      </c>
      <c r="F7" s="16" t="str">
        <f aca="false">"± "&amp;TEXT('Desain Program'!G9,"0")&amp;" pegawai (3 sesi/orang)"</f>
        <v>± 12 pegawai (3 sesi/orang)</v>
      </c>
    </row>
    <row r="8" customFormat="false" ht="15" hidden="false" customHeight="false" outlineLevel="0" collapsed="false">
      <c r="B8" s="9" t="s">
        <v>39</v>
      </c>
      <c r="C8" s="16" t="str">
        <f aca="false">IF('Desain Program'!D10=0,"-",'Desain Program'!D10&amp;"x ("&amp;IF('Desain Program'!D10&gt;=2,"pre &amp; post","baseline")&amp;")")</f>
        <v>-</v>
      </c>
      <c r="D8" s="16" t="str">
        <f aca="false">IF('Desain Program'!E10=0,"-",'Desain Program'!E10&amp;"x ("&amp;IF('Desain Program'!E10&gt;=2,"pre &amp; post","baseline")&amp;")")</f>
        <v>1x (baseline)</v>
      </c>
      <c r="E8" s="16" t="str">
        <f aca="false">IF('Desain Program'!F10=0,"-",'Desain Program'!F10&amp;"x ("&amp;IF('Desain Program'!F10&gt;=2,"pre &amp; post","baseline")&amp;")")</f>
        <v>1x (baseline)</v>
      </c>
      <c r="F8" s="16" t="str">
        <f aca="false">IF('Desain Program'!G10=0,"-",'Desain Program'!G10&amp;"x ("&amp;IF('Desain Program'!G10&gt;=2,"pre &amp; post","baseline")&amp;")")</f>
        <v>2x (pre &amp; post)</v>
      </c>
    </row>
    <row r="9" customFormat="false" ht="23.85" hidden="false" customHeight="false" outlineLevel="0" collapsed="false">
      <c r="B9" s="9" t="s">
        <v>40</v>
      </c>
      <c r="C9" s="16" t="str">
        <f aca="false">IF('Desain Program'!D11=1,IF('Desain Program'!D10&gt;=2,"Ya, dengan perbandingan pre/post","Ya"),"-")</f>
        <v>-</v>
      </c>
      <c r="D9" s="16" t="str">
        <f aca="false">IF('Desain Program'!E11=1,IF('Desain Program'!E10&gt;=2,"Ya, dengan perbandingan pre/post","Ya"),"-")</f>
        <v>Ya</v>
      </c>
      <c r="E9" s="16" t="str">
        <f aca="false">IF('Desain Program'!F11=1,IF('Desain Program'!F10&gt;=2,"Ya, dengan perbandingan pre/post","Ya"),"-")</f>
        <v>Ya</v>
      </c>
      <c r="F9" s="16" t="str">
        <f aca="false">IF('Desain Program'!G11=1,IF('Desain Program'!G10&gt;=2,"Ya, dengan perbandingan pre/post","Ya"),"-")</f>
        <v>Ya, dengan perbandingan pre/post</v>
      </c>
    </row>
    <row r="10" customFormat="false" ht="15" hidden="false" customHeight="false" outlineLevel="0" collapsed="false">
      <c r="B10" s="9" t="s">
        <v>41</v>
      </c>
      <c r="C10" s="16" t="str">
        <f aca="false">IF('Desain Program'!D12=1,"Ya","-")</f>
        <v>-</v>
      </c>
      <c r="D10" s="16" t="str">
        <f aca="false">IF('Desain Program'!E12=1,"Ya","-")</f>
        <v>-</v>
      </c>
      <c r="E10" s="16" t="str">
        <f aca="false">IF('Desain Program'!F12=1,"Ya","-")</f>
        <v>-</v>
      </c>
      <c r="F10" s="16" t="str">
        <f aca="false">IF('Desain Program'!G12=1,"Ya","-")</f>
        <v>Ya</v>
      </c>
    </row>
    <row r="11" customFormat="false" ht="15" hidden="false" customHeight="false" outlineLevel="0" collapsed="false">
      <c r="B11" s="9" t="s">
        <v>42</v>
      </c>
      <c r="C11" s="16" t="str">
        <f aca="false">IF('Desain Program'!D14&gt;0,'Desain Program'!D14&amp;" seminar offline",IF('Desain Program'!D13&gt;0,'Desain Program'!D13&amp;" webinar online","-"))</f>
        <v>1 webinar online</v>
      </c>
      <c r="D11" s="16" t="str">
        <f aca="false">IF('Desain Program'!E14&gt;0,'Desain Program'!E14&amp;" seminar offline",IF('Desain Program'!E13&gt;0,'Desain Program'!E13&amp;" webinar online","-"))</f>
        <v>1 webinar online</v>
      </c>
      <c r="E11" s="16" t="str">
        <f aca="false">IF('Desain Program'!F14&gt;0,'Desain Program'!F14&amp;" seminar offline",IF('Desain Program'!F13&gt;0,'Desain Program'!F13&amp;" webinar online","-"))</f>
        <v>1 webinar online</v>
      </c>
      <c r="F11" s="16" t="str">
        <f aca="false">IF('Desain Program'!G14&gt;0,'Desain Program'!G14&amp;" seminar offline",IF('Desain Program'!G13&gt;0,'Desain Program'!G13&amp;" webinar online","-"))</f>
        <v>1 seminar offline</v>
      </c>
    </row>
    <row r="12" customFormat="false" ht="23.85" hidden="false" customHeight="false" outlineLevel="0" collapsed="false">
      <c r="B12" s="9" t="s">
        <v>43</v>
      </c>
      <c r="C12" s="16" t="str">
        <f aca="false">'Input Tarif'!$D$19&amp;" bulan sejak SPK"</f>
        <v>3 bulan sejak SPK</v>
      </c>
      <c r="D12" s="16" t="str">
        <f aca="false">"Kuota per "&amp;'Input Tarif'!$D$19&amp;" bulan, kontrak 1 tahun (4 term)"</f>
        <v>Kuota per 3 bulan, kontrak 1 tahun (4 term)</v>
      </c>
      <c r="E12" s="16" t="str">
        <f aca="false">'Input Tarif'!$D$19&amp;" bulan sejak SPK"</f>
        <v>3 bulan sejak SPK</v>
      </c>
      <c r="F12" s="16" t="str">
        <f aca="false">'Input Tarif'!$D$19&amp;" bulan sejak SPK"</f>
        <v>3 bulan sejak SPK</v>
      </c>
    </row>
    <row r="13" customFormat="false" ht="15" hidden="false" customHeight="false" outlineLevel="0" collapsed="false">
      <c r="B13" s="5" t="s">
        <v>44</v>
      </c>
      <c r="C13" s="6"/>
      <c r="D13" s="6"/>
      <c r="E13" s="6"/>
      <c r="F13" s="6"/>
    </row>
    <row r="14" customFormat="false" ht="15" hidden="false" customHeight="false" outlineLevel="0" collapsed="false">
      <c r="B14" s="9" t="s">
        <v>45</v>
      </c>
      <c r="C14" s="17" t="str">
        <f aca="false">IF('Analisis Lengkap'!C30&gt;'Analisis Lengkap'!C6,'Analisis Lengkap'!C30,"-")</f>
        <v>-</v>
      </c>
      <c r="D14" s="17" t="n">
        <f aca="false">IF('Analisis Lengkap'!D30&gt;'Analisis Lengkap'!D6,'Analisis Lengkap'!D30,"-")</f>
        <v>15000000</v>
      </c>
      <c r="E14" s="17" t="str">
        <f aca="false">IF('Analisis Lengkap'!E30&gt;'Analisis Lengkap'!E6,'Analisis Lengkap'!E30,"-")</f>
        <v>-</v>
      </c>
      <c r="F14" s="17" t="str">
        <f aca="false">IF('Analisis Lengkap'!F30&gt;'Analisis Lengkap'!F6,'Analisis Lengkap'!F30,"-")</f>
        <v>-</v>
      </c>
    </row>
    <row r="15" customFormat="false" ht="15" hidden="false" customHeight="false" outlineLevel="0" collapsed="false">
      <c r="B15" s="13" t="s">
        <v>46</v>
      </c>
      <c r="C15" s="18" t="n">
        <f aca="false">'Analisis Lengkap'!C6</f>
        <v>12000000</v>
      </c>
      <c r="D15" s="18" t="n">
        <f aca="false">'Analisis Lengkap'!D6</f>
        <v>11000000</v>
      </c>
      <c r="E15" s="18" t="n">
        <f aca="false">'Analisis Lengkap'!E6</f>
        <v>20000000</v>
      </c>
      <c r="F15" s="18" t="n">
        <f aca="false">'Analisis Lengkap'!F6</f>
        <v>31500000</v>
      </c>
    </row>
    <row r="16" customFormat="false" ht="15" hidden="false" customHeight="false" outlineLevel="0" collapsed="false">
      <c r="B16" s="7" t="s">
        <v>47</v>
      </c>
      <c r="C16" s="19" t="str">
        <f aca="false">IF('Analisis Lengkap'!C30-'Analisis Lengkap'!C6&gt;0,"Rp"&amp;TEXT('Analisis Lengkap'!C30-'Analisis Lengkap'!C6,"#,##0")&amp;" ("&amp;TEXT(1-'Analisis Lengkap'!C6/'Analisis Lengkap'!C30,"0%")&amp;")","-")</f>
        <v>-</v>
      </c>
      <c r="D16" s="19" t="str">
        <f aca="false">IF('Analisis Lengkap'!D30-'Analisis Lengkap'!D6&gt;0,"Rp"&amp;TEXT('Analisis Lengkap'!D30-'Analisis Lengkap'!D6,"#,##0")&amp;" ("&amp;TEXT(1-'Analisis Lengkap'!D6/'Analisis Lengkap'!D30,"0%")&amp;")","-")</f>
        <v>Rp4,000,000 (27%)</v>
      </c>
      <c r="E16" s="19" t="str">
        <f aca="false">IF('Analisis Lengkap'!E30-'Analisis Lengkap'!E6&gt;0,"Rp"&amp;TEXT('Analisis Lengkap'!E30-'Analisis Lengkap'!E6,"#,##0")&amp;" ("&amp;TEXT(1-'Analisis Lengkap'!E6/'Analisis Lengkap'!E30,"0%")&amp;")","-")</f>
        <v>-</v>
      </c>
      <c r="F16" s="19" t="str">
        <f aca="false">IF('Analisis Lengkap'!F30-'Analisis Lengkap'!F6&gt;0,"Rp"&amp;TEXT('Analisis Lengkap'!F30-'Analisis Lengkap'!F6,"#,##0")&amp;" ("&amp;TEXT(1-'Analisis Lengkap'!F6/'Analisis Lengkap'!F30,"0%")&amp;")","-")</f>
        <v>-</v>
      </c>
    </row>
    <row r="17" customFormat="false" ht="15" hidden="false" customHeight="false" outlineLevel="0" collapsed="false">
      <c r="B17" s="9" t="s">
        <v>48</v>
      </c>
      <c r="C17" s="17" t="n">
        <f aca="false">'Analisis Lengkap'!C7</f>
        <v>4000000</v>
      </c>
      <c r="D17" s="17" t="n">
        <f aca="false">'Analisis Lengkap'!D7</f>
        <v>3666666.66666667</v>
      </c>
      <c r="E17" s="17" t="n">
        <f aca="false">'Analisis Lengkap'!E7</f>
        <v>6666666.66666667</v>
      </c>
      <c r="F17" s="17" t="n">
        <f aca="false">'Analisis Lengkap'!F7</f>
        <v>10500000</v>
      </c>
    </row>
    <row r="18" customFormat="false" ht="15" hidden="false" customHeight="false" outlineLevel="0" collapsed="false">
      <c r="B18" s="9" t="s">
        <v>49</v>
      </c>
      <c r="C18" s="17" t="n">
        <f aca="false">'Analisis Lengkap'!C6/'Desain Program'!D9</f>
        <v>2400000</v>
      </c>
      <c r="D18" s="17" t="n">
        <f aca="false">'Analisis Lengkap'!D6/'Desain Program'!E9</f>
        <v>2200000</v>
      </c>
      <c r="E18" s="17" t="n">
        <f aca="false">'Analisis Lengkap'!E6/'Desain Program'!F9</f>
        <v>2500000</v>
      </c>
      <c r="F18" s="17" t="n">
        <f aca="false">'Analisis Lengkap'!F6/'Desain Program'!G9</f>
        <v>2625000</v>
      </c>
    </row>
    <row r="20" customFormat="false" ht="15" hidden="false" customHeight="false" outlineLevel="0" collapsed="false">
      <c r="B20" s="5" t="s">
        <v>50</v>
      </c>
      <c r="C20" s="6"/>
      <c r="D20" s="6"/>
      <c r="E20" s="6"/>
      <c r="F20" s="6"/>
    </row>
    <row r="21" customFormat="false" ht="15" hidden="false" customHeight="false" outlineLevel="0" collapsed="false">
      <c r="B21" s="7" t="s">
        <v>51</v>
      </c>
      <c r="C21" s="9" t="s">
        <v>52</v>
      </c>
      <c r="D21" s="9"/>
      <c r="E21" s="9"/>
      <c r="F21" s="9"/>
    </row>
    <row r="22" customFormat="false" ht="15" hidden="false" customHeight="false" outlineLevel="0" collapsed="false">
      <c r="B22" s="7" t="s">
        <v>53</v>
      </c>
      <c r="C22" s="9" t="str">
        <f aca="false">"Paket 3 bulan: DP "&amp;TEXT('Input Tarif'!$D$21,"0%")&amp;" saat SPK, pelunasan setelah laporan akhir. Jeda Tahunan: 2x per semester (Rp22.000.000 di awal tiap semester, total Rp44.000.000/tahun)"</f>
        <v>Paket 3 bulan: DP 50% saat SPK, pelunasan setelah laporan akhir. Jeda Tahunan: 2x per semester (Rp22.000.000 di awal tiap semester, total Rp44.000.000/tahun)</v>
      </c>
      <c r="D22" s="9"/>
      <c r="E22" s="9"/>
      <c r="F22" s="9"/>
    </row>
    <row r="23" customFormat="false" ht="15" hidden="false" customHeight="false" outlineLevel="0" collapsed="false">
      <c r="B23" s="7" t="s">
        <v>54</v>
      </c>
      <c r="C23" s="9" t="s">
        <v>55</v>
      </c>
      <c r="D23" s="9"/>
      <c r="E23" s="9"/>
      <c r="F23" s="9"/>
    </row>
    <row r="24" customFormat="false" ht="15" hidden="false" customHeight="false" outlineLevel="0" collapsed="false">
      <c r="B24" s="7" t="s">
        <v>56</v>
      </c>
      <c r="C24" s="9" t="str">
        <f aca="false">"Rp"&amp;TEXT('Input Tarif'!$D$17,"#,##0")&amp;" per sesi"</f>
        <v>Rp500,000 per sesi</v>
      </c>
      <c r="D24" s="9"/>
      <c r="E24" s="9"/>
      <c r="F24" s="9"/>
    </row>
    <row r="25" customFormat="false" ht="15" hidden="false" customHeight="false" outlineLevel="0" collapsed="false">
      <c r="B25" s="7" t="s">
        <v>57</v>
      </c>
      <c r="C25" s="9" t="s">
        <v>58</v>
      </c>
      <c r="D25" s="9"/>
      <c r="E25" s="9"/>
      <c r="F25" s="9"/>
    </row>
    <row r="26" customFormat="false" ht="15" hidden="false" customHeight="false" outlineLevel="0" collapsed="false">
      <c r="B26" s="7" t="s">
        <v>59</v>
      </c>
      <c r="C26" s="9" t="s">
        <v>60</v>
      </c>
      <c r="D26" s="9"/>
      <c r="E26" s="9"/>
      <c r="F26" s="9"/>
    </row>
  </sheetData>
  <mergeCells count="6">
    <mergeCell ref="C21:F21"/>
    <mergeCell ref="C22:F22"/>
    <mergeCell ref="C23:F23"/>
    <mergeCell ref="C24:F24"/>
    <mergeCell ref="C25:F25"/>
    <mergeCell ref="C26:F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8"/>
    <col collapsed="false" customWidth="true" hidden="false" outlineLevel="0" max="3" min="3" style="0" width="22"/>
    <col collapsed="false" customWidth="true" hidden="false" outlineLevel="0" max="4" min="4" style="0" width="30"/>
    <col collapsed="false" customWidth="true" hidden="false" outlineLevel="0" max="6" min="5" style="0" width="22"/>
  </cols>
  <sheetData>
    <row r="1" customFormat="false" ht="17.35" hidden="false" customHeight="false" outlineLevel="0" collapsed="false">
      <c r="A1" s="1" t="s">
        <v>61</v>
      </c>
    </row>
    <row r="2" customFormat="false" ht="15" hidden="false" customHeight="false" outlineLevel="0" collapsed="false">
      <c r="A2" s="2" t="s">
        <v>62</v>
      </c>
    </row>
    <row r="4" customFormat="false" ht="15" hidden="false" customHeight="false" outlineLevel="0" collapsed="false">
      <c r="A4" s="3"/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</row>
    <row r="5" customFormat="false" ht="15" hidden="false" customHeight="false" outlineLevel="0" collapsed="false">
      <c r="B5" s="5" t="s">
        <v>63</v>
      </c>
      <c r="C5" s="6"/>
      <c r="D5" s="6"/>
      <c r="E5" s="6"/>
      <c r="F5" s="6"/>
    </row>
    <row r="6" customFormat="false" ht="15" hidden="false" customHeight="false" outlineLevel="0" collapsed="false">
      <c r="B6" s="7" t="s">
        <v>64</v>
      </c>
      <c r="C6" s="20" t="n">
        <f aca="false">'Desain Program'!D5</f>
        <v>12000000</v>
      </c>
      <c r="D6" s="20" t="n">
        <f aca="false">'Desain Program'!E5</f>
        <v>11000000</v>
      </c>
      <c r="E6" s="20" t="n">
        <f aca="false">'Desain Program'!F5</f>
        <v>20000000</v>
      </c>
      <c r="F6" s="20" t="n">
        <f aca="false">'Desain Program'!G5</f>
        <v>31500000</v>
      </c>
    </row>
    <row r="7" customFormat="false" ht="15" hidden="false" customHeight="false" outlineLevel="0" collapsed="false">
      <c r="B7" s="9" t="s">
        <v>48</v>
      </c>
      <c r="C7" s="21" t="n">
        <f aca="false">'Desain Program'!D5/'Input Tarif'!$D$19</f>
        <v>4000000</v>
      </c>
      <c r="D7" s="21" t="n">
        <f aca="false">'Desain Program'!E5/'Input Tarif'!$D$19</f>
        <v>3666666.66666667</v>
      </c>
      <c r="E7" s="21" t="n">
        <f aca="false">'Desain Program'!F5/'Input Tarif'!$D$19</f>
        <v>6666666.66666667</v>
      </c>
      <c r="F7" s="21" t="n">
        <f aca="false">'Desain Program'!G5/'Input Tarif'!$D$19</f>
        <v>10500000</v>
      </c>
    </row>
    <row r="8" customFormat="false" ht="15" hidden="false" customHeight="false" outlineLevel="0" collapsed="false">
      <c r="B8" s="9" t="s">
        <v>65</v>
      </c>
      <c r="C8" s="22" t="str">
        <f aca="false">TEXT('Desain Program'!D8,"0")&amp;" sesi / "&amp;TEXT('Desain Program'!D9,"0")&amp;" org"</f>
        <v>15 sesi / 5 org</v>
      </c>
      <c r="D8" s="22" t="str">
        <f aca="false">TEXT('Desain Program'!E8,"0")&amp;" sesi / "&amp;TEXT('Desain Program'!E9,"0")&amp;" org"</f>
        <v>15 sesi / 5 org</v>
      </c>
      <c r="E8" s="22" t="str">
        <f aca="false">TEXT('Desain Program'!F8,"0")&amp;" sesi / "&amp;TEXT('Desain Program'!F9,"0")&amp;" org"</f>
        <v>24 sesi / 8 org</v>
      </c>
      <c r="F8" s="22" t="str">
        <f aca="false">TEXT('Desain Program'!G8,"0")&amp;" sesi / "&amp;TEXT('Desain Program'!G9,"0")&amp;" org"</f>
        <v>36 sesi / 12 org</v>
      </c>
    </row>
    <row r="9" customFormat="false" ht="15" hidden="false" customHeight="false" outlineLevel="0" collapsed="false">
      <c r="B9" s="5" t="s">
        <v>66</v>
      </c>
      <c r="C9" s="6"/>
      <c r="D9" s="6"/>
      <c r="E9" s="6"/>
      <c r="F9" s="6"/>
    </row>
    <row r="10" customFormat="false" ht="15" hidden="false" customHeight="false" outlineLevel="0" collapsed="false">
      <c r="B10" s="9" t="s">
        <v>67</v>
      </c>
      <c r="C10" s="21" t="n">
        <f aca="false">'Rincian Biaya'!D8</f>
        <v>5775000</v>
      </c>
      <c r="D10" s="21" t="n">
        <f aca="false">'Rincian Biaya'!E8</f>
        <v>5775000</v>
      </c>
      <c r="E10" s="21" t="n">
        <f aca="false">'Rincian Biaya'!F8</f>
        <v>9240000</v>
      </c>
      <c r="F10" s="21" t="n">
        <f aca="false">'Rincian Biaya'!G8</f>
        <v>13860000</v>
      </c>
    </row>
    <row r="11" customFormat="false" ht="15" hidden="false" customHeight="false" outlineLevel="0" collapsed="false">
      <c r="B11" s="9" t="s">
        <v>68</v>
      </c>
      <c r="C11" s="21" t="n">
        <f aca="false">'Rincian Biaya'!D13</f>
        <v>0</v>
      </c>
      <c r="D11" s="21" t="n">
        <f aca="false">'Rincian Biaya'!E13</f>
        <v>1100000</v>
      </c>
      <c r="E11" s="21" t="n">
        <f aca="false">'Rincian Biaya'!F13</f>
        <v>1310000</v>
      </c>
      <c r="F11" s="21" t="n">
        <f aca="false">'Rincian Biaya'!G13</f>
        <v>2430000</v>
      </c>
    </row>
    <row r="12" customFormat="false" ht="15" hidden="false" customHeight="false" outlineLevel="0" collapsed="false">
      <c r="B12" s="9" t="s">
        <v>69</v>
      </c>
      <c r="C12" s="21" t="n">
        <f aca="false">'Rincian Biaya'!D18</f>
        <v>1500000</v>
      </c>
      <c r="D12" s="21" t="n">
        <f aca="false">'Rincian Biaya'!E18</f>
        <v>1500000</v>
      </c>
      <c r="E12" s="21" t="n">
        <f aca="false">'Rincian Biaya'!F18</f>
        <v>1500000</v>
      </c>
      <c r="F12" s="21" t="n">
        <f aca="false">'Rincian Biaya'!G18</f>
        <v>3000000</v>
      </c>
    </row>
    <row r="13" customFormat="false" ht="15" hidden="false" customHeight="false" outlineLevel="0" collapsed="false">
      <c r="B13" s="9" t="s">
        <v>70</v>
      </c>
      <c r="C13" s="21" t="n">
        <f aca="false">'Rincian Biaya'!D23</f>
        <v>150000</v>
      </c>
      <c r="D13" s="21" t="n">
        <f aca="false">'Rincian Biaya'!E23</f>
        <v>150000</v>
      </c>
      <c r="E13" s="21" t="n">
        <f aca="false">'Rincian Biaya'!F23</f>
        <v>150000</v>
      </c>
      <c r="F13" s="21" t="n">
        <f aca="false">'Rincian Biaya'!G23</f>
        <v>150000</v>
      </c>
    </row>
    <row r="14" customFormat="false" ht="15" hidden="false" customHeight="false" outlineLevel="0" collapsed="false">
      <c r="B14" s="9" t="s">
        <v>71</v>
      </c>
      <c r="C14" s="21" t="n">
        <f aca="false">'Rincian Biaya'!D28</f>
        <v>240000</v>
      </c>
      <c r="D14" s="21" t="n">
        <f aca="false">'Rincian Biaya'!E28</f>
        <v>220000</v>
      </c>
      <c r="E14" s="21" t="n">
        <f aca="false">'Rincian Biaya'!F28</f>
        <v>400000</v>
      </c>
      <c r="F14" s="21" t="n">
        <f aca="false">'Rincian Biaya'!G28</f>
        <v>630000</v>
      </c>
    </row>
    <row r="15" customFormat="false" ht="15" hidden="false" customHeight="false" outlineLevel="0" collapsed="false">
      <c r="B15" s="13" t="s">
        <v>9</v>
      </c>
      <c r="C15" s="23" t="n">
        <f aca="false">'Rincian Biaya'!D30</f>
        <v>7665000</v>
      </c>
      <c r="D15" s="23" t="n">
        <f aca="false">'Rincian Biaya'!E30</f>
        <v>8745000</v>
      </c>
      <c r="E15" s="23" t="n">
        <f aca="false">'Rincian Biaya'!F30</f>
        <v>12600000</v>
      </c>
      <c r="F15" s="23" t="n">
        <f aca="false">'Rincian Biaya'!G30</f>
        <v>20070000</v>
      </c>
    </row>
    <row r="16" customFormat="false" ht="15" hidden="false" customHeight="false" outlineLevel="0" collapsed="false">
      <c r="B16" s="9" t="s">
        <v>72</v>
      </c>
      <c r="C16" s="24" t="n">
        <f aca="false">IF('Desain Program'!D5=0,0,'Rincian Biaya'!D30/'Desain Program'!D5)</f>
        <v>0.63875</v>
      </c>
      <c r="D16" s="24" t="n">
        <f aca="false">IF('Desain Program'!E5=0,0,'Rincian Biaya'!E30/'Desain Program'!E5)</f>
        <v>0.795</v>
      </c>
      <c r="E16" s="24" t="n">
        <f aca="false">IF('Desain Program'!F5=0,0,'Rincian Biaya'!F30/'Desain Program'!F5)</f>
        <v>0.63</v>
      </c>
      <c r="F16" s="24" t="n">
        <f aca="false">IF('Desain Program'!G5=0,0,'Rincian Biaya'!G30/'Desain Program'!G5)</f>
        <v>0.637142857142857</v>
      </c>
    </row>
    <row r="17" customFormat="false" ht="15" hidden="false" customHeight="false" outlineLevel="0" collapsed="false">
      <c r="B17" s="5" t="s">
        <v>73</v>
      </c>
      <c r="C17" s="6"/>
      <c r="D17" s="6"/>
      <c r="E17" s="6"/>
      <c r="F17" s="6"/>
    </row>
    <row r="18" customFormat="false" ht="15" hidden="false" customHeight="false" outlineLevel="0" collapsed="false">
      <c r="B18" s="7" t="s">
        <v>10</v>
      </c>
      <c r="C18" s="20" t="n">
        <f aca="false">'Desain Program'!D5-'Rincian Biaya'!D30</f>
        <v>4335000</v>
      </c>
      <c r="D18" s="20" t="n">
        <f aca="false">'Desain Program'!E5-'Rincian Biaya'!E30</f>
        <v>2255000</v>
      </c>
      <c r="E18" s="20" t="n">
        <f aca="false">'Desain Program'!F5-'Rincian Biaya'!F30</f>
        <v>7400000</v>
      </c>
      <c r="F18" s="20" t="n">
        <f aca="false">'Desain Program'!G5-'Rincian Biaya'!G30</f>
        <v>11430000</v>
      </c>
    </row>
    <row r="19" customFormat="false" ht="15" hidden="false" customHeight="false" outlineLevel="0" collapsed="false">
      <c r="B19" s="7" t="s">
        <v>74</v>
      </c>
      <c r="C19" s="25" t="n">
        <f aca="false">IF('Desain Program'!D5=0,0,('Desain Program'!D5-'Rincian Biaya'!D30)/'Desain Program'!D5)</f>
        <v>0.36125</v>
      </c>
      <c r="D19" s="25" t="n">
        <f aca="false">IF('Desain Program'!E5=0,0,('Desain Program'!E5-'Rincian Biaya'!E30)/'Desain Program'!E5)</f>
        <v>0.205</v>
      </c>
      <c r="E19" s="25" t="n">
        <f aca="false">IF('Desain Program'!F5=0,0,('Desain Program'!F5-'Rincian Biaya'!F30)/'Desain Program'!F5)</f>
        <v>0.37</v>
      </c>
      <c r="F19" s="25" t="n">
        <f aca="false">IF('Desain Program'!G5=0,0,('Desain Program'!G5-'Rincian Biaya'!G30)/'Desain Program'!G5)</f>
        <v>0.362857142857143</v>
      </c>
    </row>
    <row r="20" customFormat="false" ht="15" hidden="false" customHeight="false" outlineLevel="0" collapsed="false">
      <c r="B20" s="9" t="s">
        <v>75</v>
      </c>
      <c r="C20" s="24" t="n">
        <f aca="false">'Desain Program'!D6</f>
        <v>0.36</v>
      </c>
      <c r="D20" s="24" t="n">
        <f aca="false">'Desain Program'!E6</f>
        <v>0.2</v>
      </c>
      <c r="E20" s="24" t="n">
        <f aca="false">'Desain Program'!F6</f>
        <v>0.36</v>
      </c>
      <c r="F20" s="24" t="n">
        <f aca="false">'Desain Program'!G6</f>
        <v>0.36</v>
      </c>
    </row>
    <row r="21" customFormat="false" ht="15" hidden="false" customHeight="false" outlineLevel="0" collapsed="false">
      <c r="B21" s="9" t="s">
        <v>76</v>
      </c>
      <c r="C21" s="21" t="n">
        <f aca="false">('Rincian Biaya'!D30-'Rincian Biaya'!D26-'Rincian Biaya'!D27)/(1-'Input Tarif'!$D$13-'Input Tarif'!$D$14-'Desain Program'!D6)</f>
        <v>11975806.4516129</v>
      </c>
      <c r="D21" s="21" t="n">
        <f aca="false">('Rincian Biaya'!E30-'Rincian Biaya'!E26-'Rincian Biaya'!E27)/(1-'Input Tarif'!$D$13-'Input Tarif'!$D$14-'Desain Program'!E6)</f>
        <v>10929487.1794872</v>
      </c>
      <c r="E21" s="21" t="n">
        <f aca="false">('Rincian Biaya'!F30-'Rincian Biaya'!F26-'Rincian Biaya'!F27)/(1-'Input Tarif'!$D$13-'Input Tarif'!$D$14-'Desain Program'!F6)</f>
        <v>19677419.3548387</v>
      </c>
      <c r="F21" s="21" t="n">
        <f aca="false">('Rincian Biaya'!G30-'Rincian Biaya'!G26-'Rincian Biaya'!G27)/(1-'Input Tarif'!$D$13-'Input Tarif'!$D$14-'Desain Program'!G6)</f>
        <v>31354838.7096774</v>
      </c>
    </row>
    <row r="22" customFormat="false" ht="15" hidden="false" customHeight="false" outlineLevel="0" collapsed="false">
      <c r="B22" s="9" t="s">
        <v>77</v>
      </c>
      <c r="C22" s="21" t="n">
        <f aca="false">'Desain Program'!D5-('Rincian Biaya'!D30-'Rincian Biaya'!D26-'Rincian Biaya'!D27)/(1-'Input Tarif'!$D$13-'Input Tarif'!$D$14-'Desain Program'!D6)</f>
        <v>24193.5483870972</v>
      </c>
      <c r="D22" s="21" t="n">
        <f aca="false">'Desain Program'!E5-('Rincian Biaya'!E30-'Rincian Biaya'!E26-'Rincian Biaya'!E27)/(1-'Input Tarif'!$D$13-'Input Tarif'!$D$14-'Desain Program'!E6)</f>
        <v>70512.82051282</v>
      </c>
      <c r="E22" s="21" t="n">
        <f aca="false">'Desain Program'!F5-('Rincian Biaya'!F30-'Rincian Biaya'!F26-'Rincian Biaya'!F27)/(1-'Input Tarif'!$D$13-'Input Tarif'!$D$14-'Desain Program'!F6)</f>
        <v>322580.64516129</v>
      </c>
      <c r="F22" s="21" t="n">
        <f aca="false">'Desain Program'!G5-('Rincian Biaya'!G30-'Rincian Biaya'!G26-'Rincian Biaya'!G27)/(1-'Input Tarif'!$D$13-'Input Tarif'!$D$14-'Desain Program'!G6)</f>
        <v>145161.290322579</v>
      </c>
    </row>
    <row r="23" customFormat="false" ht="15" hidden="false" customHeight="false" outlineLevel="0" collapsed="false">
      <c r="B23" s="9" t="s">
        <v>78</v>
      </c>
      <c r="C23" s="22" t="str">
        <f aca="false">IF(C22&gt;=0,"Memenuhi target","Di bawah target")</f>
        <v>Memenuhi target</v>
      </c>
      <c r="D23" s="22" t="str">
        <f aca="false">IF(D22&gt;=0,"Memenuhi target","Di bawah target")</f>
        <v>Memenuhi target</v>
      </c>
      <c r="E23" s="22" t="str">
        <f aca="false">IF(E22&gt;=0,"Memenuhi target","Di bawah target")</f>
        <v>Memenuhi target</v>
      </c>
      <c r="F23" s="22" t="str">
        <f aca="false">IF(F22&gt;=0,"Memenuhi target","Di bawah target")</f>
        <v>Memenuhi target</v>
      </c>
    </row>
    <row r="24" customFormat="false" ht="15" hidden="false" customHeight="false" outlineLevel="0" collapsed="false">
      <c r="B24" s="9" t="s">
        <v>79</v>
      </c>
      <c r="C24" s="21" t="n">
        <f aca="false">'Desain Program'!D5-'Rincian Biaya'!D30+'Rincian Biaya'!D6</f>
        <v>9585000</v>
      </c>
      <c r="D24" s="21" t="n">
        <f aca="false">'Desain Program'!E5-'Rincian Biaya'!E30+'Rincian Biaya'!E6</f>
        <v>7505000</v>
      </c>
      <c r="E24" s="21" t="n">
        <f aca="false">'Desain Program'!F5-'Rincian Biaya'!F30+'Rincian Biaya'!F6</f>
        <v>15800000</v>
      </c>
      <c r="F24" s="21" t="n">
        <f aca="false">'Desain Program'!G5-'Rincian Biaya'!G30+'Rincian Biaya'!G6</f>
        <v>24030000</v>
      </c>
    </row>
    <row r="25" customFormat="false" ht="15" hidden="false" customHeight="false" outlineLevel="0" collapsed="false">
      <c r="B25" s="5" t="s">
        <v>80</v>
      </c>
      <c r="C25" s="6"/>
      <c r="D25" s="6"/>
      <c r="E25" s="6"/>
      <c r="F25" s="6"/>
    </row>
    <row r="26" customFormat="false" ht="15" hidden="false" customHeight="false" outlineLevel="0" collapsed="false">
      <c r="B26" s="9" t="s">
        <v>81</v>
      </c>
      <c r="C26" s="21" t="n">
        <f aca="false">'Desain Program'!D5*'Input Tarif'!$D$21*(1-'Input Tarif'!$D$13)</f>
        <v>5880000</v>
      </c>
      <c r="D26" s="21" t="n">
        <f aca="false">'Desain Program'!E5*'Input Tarif'!$D$21*(1-'Input Tarif'!$D$13)</f>
        <v>5390000</v>
      </c>
      <c r="E26" s="21" t="n">
        <f aca="false">'Desain Program'!F5*'Input Tarif'!$D$21*(1-'Input Tarif'!$D$13)</f>
        <v>9800000</v>
      </c>
      <c r="F26" s="21" t="n">
        <f aca="false">'Desain Program'!G5*'Input Tarif'!$D$21*(1-'Input Tarif'!$D$13)</f>
        <v>15435000</v>
      </c>
    </row>
    <row r="27" customFormat="false" ht="15" hidden="false" customHeight="false" outlineLevel="0" collapsed="false">
      <c r="B27" s="9" t="s">
        <v>82</v>
      </c>
      <c r="C27" s="21" t="n">
        <f aca="false">('Desain Program'!D5-'Rincian Biaya'!D30)/'Input Tarif'!$D$19</f>
        <v>1445000</v>
      </c>
      <c r="D27" s="21" t="n">
        <f aca="false">('Desain Program'!E5-'Rincian Biaya'!E30)/'Input Tarif'!$D$19</f>
        <v>751666.666666667</v>
      </c>
      <c r="E27" s="21" t="n">
        <f aca="false">('Desain Program'!F5-'Rincian Biaya'!F30)/'Input Tarif'!$D$19</f>
        <v>2466666.66666667</v>
      </c>
      <c r="F27" s="21" t="n">
        <f aca="false">('Desain Program'!G5-'Rincian Biaya'!G30)/'Input Tarif'!$D$19</f>
        <v>3810000</v>
      </c>
    </row>
    <row r="28" customFormat="false" ht="15" hidden="false" customHeight="false" outlineLevel="0" collapsed="false">
      <c r="B28" s="9" t="s">
        <v>83</v>
      </c>
      <c r="C28" s="24" t="n">
        <f aca="false">('Desain Program'!D5-'Rincian Biaya'!D30)/('Input Tarif'!$D$20*'Input Tarif'!$D$19)</f>
        <v>0.07225</v>
      </c>
      <c r="D28" s="24" t="n">
        <f aca="false">('Desain Program'!E5-'Rincian Biaya'!E30)/('Input Tarif'!$D$20*'Input Tarif'!$D$19)</f>
        <v>0.0375833333333333</v>
      </c>
      <c r="E28" s="24" t="n">
        <f aca="false">('Desain Program'!F5-'Rincian Biaya'!F30)/('Input Tarif'!$D$20*'Input Tarif'!$D$19)</f>
        <v>0.123333333333333</v>
      </c>
      <c r="F28" s="24" t="n">
        <f aca="false">('Desain Program'!G5-'Rincian Biaya'!G30)/('Input Tarif'!$D$20*'Input Tarif'!$D$19)</f>
        <v>0.1905</v>
      </c>
    </row>
    <row r="29" customFormat="false" ht="15" hidden="false" customHeight="false" outlineLevel="0" collapsed="false">
      <c r="B29" s="5" t="s">
        <v>84</v>
      </c>
      <c r="C29" s="6"/>
      <c r="D29" s="6"/>
      <c r="E29" s="6"/>
      <c r="F29" s="6"/>
    </row>
    <row r="30" customFormat="false" ht="15" hidden="false" customHeight="false" outlineLevel="0" collapsed="false">
      <c r="B30" s="9" t="s">
        <v>85</v>
      </c>
      <c r="C30" s="21" t="n">
        <f aca="false">'Desain Program'!D8*'Input Tarif'!$D$17+'Desain Program'!D10*'Input Tarif'!$D$22+'Desain Program'!D11*'Input Tarif'!$D$23+('Desain Program'!D13+'Desain Program'!D14)*'Input Tarif'!$D$24</f>
        <v>10500000</v>
      </c>
      <c r="D30" s="21" t="n">
        <f aca="false">'Desain Program'!E8*'Input Tarif'!$D$17+'Desain Program'!E10*'Input Tarif'!$D$22+'Desain Program'!E11*'Input Tarif'!$D$23+('Desain Program'!E13+'Desain Program'!E14)*'Input Tarif'!$D$24</f>
        <v>15000000</v>
      </c>
      <c r="E30" s="21" t="n">
        <f aca="false">'Desain Program'!F8*'Input Tarif'!$D$17+'Desain Program'!F10*'Input Tarif'!$D$22+'Desain Program'!F11*'Input Tarif'!$D$23+('Desain Program'!F13+'Desain Program'!F14)*'Input Tarif'!$D$24</f>
        <v>19500000</v>
      </c>
      <c r="F30" s="21" t="n">
        <f aca="false">'Desain Program'!G8*'Input Tarif'!$D$17+'Desain Program'!G10*'Input Tarif'!$D$22+'Desain Program'!G11*'Input Tarif'!$D$23+('Desain Program'!G13+'Desain Program'!G14)*'Input Tarif'!$D$24</f>
        <v>28000000</v>
      </c>
    </row>
    <row r="31" customFormat="false" ht="15" hidden="false" customHeight="false" outlineLevel="0" collapsed="false">
      <c r="B31" s="9" t="s">
        <v>86</v>
      </c>
      <c r="C31" s="24" t="n">
        <f aca="false">IF(C30=0,0,1-C6/C30)</f>
        <v>-0.142857142857143</v>
      </c>
      <c r="D31" s="24" t="n">
        <f aca="false">IF(D30=0,0,1-D6/D30)</f>
        <v>0.266666666666667</v>
      </c>
      <c r="E31" s="24" t="n">
        <f aca="false">IF(E30=0,0,1-E6/E30)</f>
        <v>-0.0256410256410256</v>
      </c>
      <c r="F31" s="24" t="n">
        <f aca="false">IF(F30=0,0,1-F6/F30)</f>
        <v>-0.125</v>
      </c>
    </row>
    <row r="32" customFormat="false" ht="15" hidden="false" customHeight="false" outlineLevel="0" collapsed="false">
      <c r="B32" s="5" t="s">
        <v>87</v>
      </c>
      <c r="C32" s="6"/>
      <c r="D32" s="6"/>
      <c r="E32" s="6"/>
      <c r="F32" s="6"/>
    </row>
    <row r="33" customFormat="false" ht="15" hidden="false" customHeight="false" outlineLevel="0" collapsed="false">
      <c r="B33" s="9" t="s">
        <v>88</v>
      </c>
      <c r="C33" s="21" t="n">
        <f aca="false">CEILING(('Rincian Biaya'!D30-'Rincian Biaya'!D26-'Rincian Biaya'!D27)/(1-'Input Tarif'!$D$13-'Input Tarif'!$D$14-'Input Tarif'!$D$25),'Input Tarif'!$D$27)</f>
        <v>9000000</v>
      </c>
      <c r="D33" s="21" t="n">
        <f aca="false">CEILING(('Rincian Biaya'!E30-'Rincian Biaya'!E26-'Rincian Biaya'!E27)/(1-'Input Tarif'!$D$13-'Input Tarif'!$D$14-'Input Tarif'!$D$25),'Input Tarif'!$D$27)</f>
        <v>10500000</v>
      </c>
      <c r="E33" s="21" t="n">
        <f aca="false">CEILING(('Rincian Biaya'!F30-'Rincian Biaya'!F26-'Rincian Biaya'!F27)/(1-'Input Tarif'!$D$13-'Input Tarif'!$D$14-'Input Tarif'!$D$25),'Input Tarif'!$D$27)</f>
        <v>15000000</v>
      </c>
      <c r="F33" s="21" t="n">
        <f aca="false">CEILING(('Rincian Biaya'!G30-'Rincian Biaya'!G26-'Rincian Biaya'!G27)/(1-'Input Tarif'!$D$13-'Input Tarif'!$D$14-'Input Tarif'!$D$25),'Input Tarif'!$D$27)</f>
        <v>23500000</v>
      </c>
    </row>
    <row r="34" customFormat="false" ht="15" hidden="false" customHeight="false" outlineLevel="0" collapsed="false">
      <c r="B34" s="9" t="s">
        <v>89</v>
      </c>
      <c r="C34" s="21" t="n">
        <f aca="false">CEILING(('Rincian Biaya'!D30-'Rincian Biaya'!D26-'Rincian Biaya'!D27)/(1-'Input Tarif'!$D$13-'Input Tarif'!$D$14-'Input Tarif'!$D$26),'Input Tarif'!$D$27)</f>
        <v>10500000</v>
      </c>
      <c r="D34" s="21" t="n">
        <f aca="false">CEILING(('Rincian Biaya'!E30-'Rincian Biaya'!E26-'Rincian Biaya'!E27)/(1-'Input Tarif'!$D$13-'Input Tarif'!$D$14-'Input Tarif'!$D$26),'Input Tarif'!$D$27)</f>
        <v>12000000</v>
      </c>
      <c r="E34" s="21" t="n">
        <f aca="false">CEILING(('Rincian Biaya'!F30-'Rincian Biaya'!F26-'Rincian Biaya'!F27)/(1-'Input Tarif'!$D$13-'Input Tarif'!$D$14-'Input Tarif'!$D$26),'Input Tarif'!$D$27)</f>
        <v>17000000</v>
      </c>
      <c r="F34" s="21" t="n">
        <f aca="false">CEILING(('Rincian Biaya'!G30-'Rincian Biaya'!G26-'Rincian Biaya'!G27)/(1-'Input Tarif'!$D$13-'Input Tarif'!$D$14-'Input Tarif'!$D$26),'Input Tarif'!$D$27)</f>
        <v>27000000</v>
      </c>
    </row>
    <row r="35" customFormat="false" ht="15" hidden="false" customHeight="false" outlineLevel="0" collapsed="false">
      <c r="B35" s="9" t="s">
        <v>90</v>
      </c>
      <c r="C35" s="24" t="n">
        <f aca="false">MAX('Input Tarif'!$D$25,MIN('Input Tarif'!$D$26,'Desain Program'!D6))</f>
        <v>0.26</v>
      </c>
      <c r="D35" s="24" t="n">
        <f aca="false">MAX('Input Tarif'!$D$25,MIN('Input Tarif'!$D$26,'Desain Program'!E6))</f>
        <v>0.2</v>
      </c>
      <c r="E35" s="24" t="n">
        <f aca="false">MAX('Input Tarif'!$D$25,MIN('Input Tarif'!$D$26,'Desain Program'!F6))</f>
        <v>0.26</v>
      </c>
      <c r="F35" s="24" t="n">
        <f aca="false">MAX('Input Tarif'!$D$25,MIN('Input Tarif'!$D$26,'Desain Program'!G6))</f>
        <v>0.26</v>
      </c>
    </row>
    <row r="36" customFormat="false" ht="15" hidden="false" customHeight="false" outlineLevel="0" collapsed="false">
      <c r="B36" s="13" t="s">
        <v>91</v>
      </c>
      <c r="C36" s="23" t="n">
        <f aca="false">MAX(C6,CEILING(('Rincian Biaya'!D30-'Rincian Biaya'!D26-'Rincian Biaya'!D27)/(1-'Input Tarif'!$D$13-'Input Tarif'!$D$14-C35),'Input Tarif'!$D$27))</f>
        <v>12000000</v>
      </c>
      <c r="D36" s="23" t="n">
        <f aca="false">MAX(D6,CEILING(('Rincian Biaya'!E30-'Rincian Biaya'!E26-'Rincian Biaya'!E27)/(1-'Input Tarif'!$D$13-'Input Tarif'!$D$14-D35),'Input Tarif'!$D$27))</f>
        <v>11000000</v>
      </c>
      <c r="E36" s="23" t="n">
        <f aca="false">MAX(E6,CEILING(('Rincian Biaya'!F30-'Rincian Biaya'!F26-'Rincian Biaya'!F27)/(1-'Input Tarif'!$D$13-'Input Tarif'!$D$14-E35),'Input Tarif'!$D$27))</f>
        <v>20000000</v>
      </c>
      <c r="F36" s="23" t="n">
        <f aca="false">MAX(F6,CEILING(('Rincian Biaya'!G30-'Rincian Biaya'!G26-'Rincian Biaya'!G27)/(1-'Input Tarif'!$D$13-'Input Tarif'!$D$14-F35),'Input Tarif'!$D$27))</f>
        <v>31500000</v>
      </c>
    </row>
    <row r="37" customFormat="false" ht="15" hidden="false" customHeight="false" outlineLevel="0" collapsed="false">
      <c r="B37" s="7" t="s">
        <v>92</v>
      </c>
      <c r="C37" s="20" t="n">
        <f aca="false">C36-C6</f>
        <v>0</v>
      </c>
      <c r="D37" s="20" t="n">
        <f aca="false">D36-D6</f>
        <v>0</v>
      </c>
      <c r="E37" s="20" t="n">
        <f aca="false">E36-E6</f>
        <v>0</v>
      </c>
      <c r="F37" s="20" t="n">
        <f aca="false">F36-F6</f>
        <v>0</v>
      </c>
    </row>
    <row r="38" customFormat="false" ht="15" hidden="false" customHeight="false" outlineLevel="0" collapsed="false">
      <c r="B38" s="9" t="s">
        <v>93</v>
      </c>
      <c r="C38" s="24" t="n">
        <f aca="false">(C36*(1-'Input Tarif'!$D$13-'Input Tarif'!$D$14)-('Rincian Biaya'!D30-'Rincian Biaya'!D26-'Rincian Biaya'!D27))/C36</f>
        <v>0.36125</v>
      </c>
      <c r="D38" s="24" t="n">
        <f aca="false">(D36*(1-'Input Tarif'!$D$13-'Input Tarif'!$D$14)-('Rincian Biaya'!E30-'Rincian Biaya'!E26-'Rincian Biaya'!E27))/D36</f>
        <v>0.205</v>
      </c>
      <c r="E38" s="24" t="n">
        <f aca="false">(E36*(1-'Input Tarif'!$D$13-'Input Tarif'!$D$14)-('Rincian Biaya'!F30-'Rincian Biaya'!F26-'Rincian Biaya'!F27))/E36</f>
        <v>0.37</v>
      </c>
      <c r="F38" s="24" t="n">
        <f aca="false">(F36*(1-'Input Tarif'!$D$13-'Input Tarif'!$D$14)-('Rincian Biaya'!G30-'Rincian Biaya'!G26-'Rincian Biaya'!G27))/F36</f>
        <v>0.362857142857143</v>
      </c>
    </row>
    <row r="39" customFormat="false" ht="15" hidden="false" customHeight="false" outlineLevel="0" collapsed="false">
      <c r="B39" s="9" t="s">
        <v>94</v>
      </c>
      <c r="C39" s="21" t="n">
        <f aca="false">C36*(1-'Input Tarif'!$D$13-'Input Tarif'!$D$14)-('Rincian Biaya'!D30-'Rincian Biaya'!D26-'Rincian Biaya'!D27)</f>
        <v>4335000</v>
      </c>
      <c r="D39" s="21" t="n">
        <f aca="false">D36*(1-'Input Tarif'!$D$13-'Input Tarif'!$D$14)-('Rincian Biaya'!E30-'Rincian Biaya'!E26-'Rincian Biaya'!E27)</f>
        <v>2255000</v>
      </c>
      <c r="E39" s="21" t="n">
        <f aca="false">E36*(1-'Input Tarif'!$D$13-'Input Tarif'!$D$14)-('Rincian Biaya'!F30-'Rincian Biaya'!F26-'Rincian Biaya'!F27)</f>
        <v>7400000</v>
      </c>
      <c r="F39" s="21" t="n">
        <f aca="false">F36*(1-'Input Tarif'!$D$13-'Input Tarif'!$D$14)-('Rincian Biaya'!G30-'Rincian Biaya'!G26-'Rincian Biaya'!G27)</f>
        <v>11430000</v>
      </c>
    </row>
    <row r="40" customFormat="false" ht="15" hidden="false" customHeight="false" outlineLevel="0" collapsed="false">
      <c r="B40" s="9" t="s">
        <v>95</v>
      </c>
      <c r="C40" s="21" t="n">
        <f aca="false">C36/'Input Tarif'!$D$19</f>
        <v>4000000</v>
      </c>
      <c r="D40" s="21" t="n">
        <f aca="false">D36/'Input Tarif'!$D$19</f>
        <v>3666666.66666667</v>
      </c>
      <c r="E40" s="21" t="n">
        <f aca="false">E36/'Input Tarif'!$D$19</f>
        <v>6666666.66666667</v>
      </c>
      <c r="F40" s="21" t="n">
        <f aca="false">F36/'Input Tarif'!$D$19</f>
        <v>10500000</v>
      </c>
    </row>
    <row r="41" customFormat="false" ht="15" hidden="false" customHeight="false" outlineLevel="0" collapsed="false">
      <c r="B41" s="9" t="s">
        <v>96</v>
      </c>
      <c r="C41" s="21" t="n">
        <f aca="false">MAX(0,('Rincian Biaya'!D30-'Rincian Biaya'!D26-'Rincian Biaya'!D27)-'Desain Program'!D5*(1-'Input Tarif'!$D$13-'Input Tarif'!$D$14-'Input Tarif'!$D$25))</f>
        <v>0</v>
      </c>
      <c r="D41" s="21" t="n">
        <f aca="false">MAX(0,('Rincian Biaya'!E30-'Rincian Biaya'!E26-'Rincian Biaya'!E27)-'Desain Program'!E5*(1-'Input Tarif'!$D$13-'Input Tarif'!$D$14-'Input Tarif'!$D$25))</f>
        <v>0</v>
      </c>
      <c r="E41" s="21" t="n">
        <f aca="false">MAX(0,('Rincian Biaya'!F30-'Rincian Biaya'!F26-'Rincian Biaya'!F27)-'Desain Program'!F5*(1-'Input Tarif'!$D$13-'Input Tarif'!$D$14-'Input Tarif'!$D$25))</f>
        <v>0</v>
      </c>
      <c r="F41" s="21" t="n">
        <f aca="false">MAX(0,('Rincian Biaya'!G30-'Rincian Biaya'!G26-'Rincian Biaya'!G27)-'Desain Program'!G5*(1-'Input Tarif'!$D$13-'Input Tarif'!$D$14-'Input Tarif'!$D$25))</f>
        <v>0</v>
      </c>
    </row>
    <row r="42" customFormat="false" ht="57.75" hidden="false" customHeight="true" outlineLevel="0" collapsed="false">
      <c r="B42" s="9" t="s">
        <v>97</v>
      </c>
      <c r="C42" s="26" t="str">
        <f aca="false">IF(C37=0,"Harga sekarang sudah sehat - pertahankan","Naikkan Rp"&amp;TEXT(C37,"#,##0")&amp;" (jadi Rp"&amp;TEXT(C36,"#,##0")&amp;"), atau hemat biaya Rp"&amp;TEXT(C41,"#,##0")&amp;" untuk minimal 15%")</f>
        <v>Harga sekarang sudah sehat - pertahankan</v>
      </c>
      <c r="D42" s="26" t="str">
        <f aca="false">IF(D37=0,"Harga sekarang sudah sehat - pertahankan","Naikkan Rp"&amp;TEXT(D37,"#,##0")&amp;" (jadi Rp"&amp;TEXT(D36,"#,##0")&amp;"), atau hemat biaya Rp"&amp;TEXT(D41,"#,##0")&amp;" untuk minimal 15%")</f>
        <v>Harga sekarang sudah sehat - pertahankan</v>
      </c>
      <c r="E42" s="26" t="str">
        <f aca="false">IF(E37=0,"Harga sekarang sudah sehat - pertahankan","Naikkan Rp"&amp;TEXT(E37,"#,##0")&amp;" (jadi Rp"&amp;TEXT(E36,"#,##0")&amp;"), atau hemat biaya Rp"&amp;TEXT(E41,"#,##0")&amp;" untuk minimal 15%")</f>
        <v>Harga sekarang sudah sehat - pertahankan</v>
      </c>
      <c r="F42" s="26" t="str">
        <f aca="false">IF(F37=0,"Harga sekarang sudah sehat - pertahankan","Naikkan Rp"&amp;TEXT(F37,"#,##0")&amp;" (jadi Rp"&amp;TEXT(F36,"#,##0")&amp;"), atau hemat biaya Rp"&amp;TEXT(F41,"#,##0")&amp;" untuk minimal 15%")</f>
        <v>Harga sekarang sudah sehat - pertahankan</v>
      </c>
    </row>
    <row r="44" customFormat="false" ht="15" hidden="false" customHeight="false" outlineLevel="0" collapsed="false">
      <c r="B44" s="2" t="s">
        <v>98</v>
      </c>
    </row>
    <row r="45" customFormat="false" ht="15" hidden="false" customHeight="false" outlineLevel="0" collapsed="false">
      <c r="B45" s="2" t="s">
        <v>99</v>
      </c>
    </row>
    <row r="46" customFormat="false" ht="15" hidden="false" customHeight="false" outlineLevel="0" collapsed="false">
      <c r="B46" s="2" t="s">
        <v>100</v>
      </c>
    </row>
    <row r="47" customFormat="false" ht="15" hidden="false" customHeight="false" outlineLevel="0" collapsed="false">
      <c r="B47" s="2" t="s">
        <v>101</v>
      </c>
    </row>
    <row r="48" customFormat="false" ht="15" hidden="false" customHeight="false" outlineLevel="0" collapsed="false">
      <c r="B48" s="2" t="s">
        <v>102</v>
      </c>
    </row>
  </sheetData>
  <conditionalFormatting sqref="C23:F23">
    <cfRule type="expression" priority="2" aboveAverage="0" equalAverage="0" bottom="0" percent="0" rank="0" text="" dxfId="1">
      <formula>C23="Memenuhi target"</formula>
    </cfRule>
    <cfRule type="expression" priority="3" aboveAverage="0" equalAverage="0" bottom="0" percent="0" rank="0" text="" dxfId="0">
      <formula>C23="Di bawah target"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0"/>
    <col collapsed="false" customWidth="true" hidden="false" outlineLevel="0" max="3" min="3" style="0" width="20"/>
    <col collapsed="false" customWidth="true" hidden="false" outlineLevel="0" max="4" min="4" style="0" width="16"/>
    <col collapsed="false" customWidth="true" hidden="false" outlineLevel="0" max="5" min="5" style="0" width="18"/>
    <col collapsed="false" customWidth="true" hidden="false" outlineLevel="0" max="6" min="6" style="0" width="70"/>
  </cols>
  <sheetData>
    <row r="1" customFormat="false" ht="17.35" hidden="false" customHeight="false" outlineLevel="0" collapsed="false">
      <c r="A1" s="1" t="s">
        <v>103</v>
      </c>
    </row>
    <row r="2" customFormat="false" ht="15" hidden="false" customHeight="false" outlineLevel="0" collapsed="false">
      <c r="A2" s="2" t="s">
        <v>104</v>
      </c>
    </row>
    <row r="4" customFormat="false" ht="15" hidden="false" customHeight="false" outlineLevel="0" collapsed="false">
      <c r="A4" s="3" t="s">
        <v>105</v>
      </c>
      <c r="B4" s="4" t="s">
        <v>106</v>
      </c>
      <c r="C4" s="4" t="s">
        <v>107</v>
      </c>
      <c r="D4" s="4" t="s">
        <v>108</v>
      </c>
      <c r="E4" s="4" t="s">
        <v>109</v>
      </c>
      <c r="F4" s="4" t="s">
        <v>110</v>
      </c>
    </row>
    <row r="5" customFormat="false" ht="42" hidden="false" customHeight="true" outlineLevel="0" collapsed="false">
      <c r="A5" s="9" t="s">
        <v>67</v>
      </c>
      <c r="B5" s="7" t="s">
        <v>111</v>
      </c>
      <c r="C5" s="9" t="s">
        <v>112</v>
      </c>
      <c r="D5" s="27" t="n">
        <v>350000</v>
      </c>
      <c r="E5" s="28" t="s">
        <v>113</v>
      </c>
      <c r="F5" s="29" t="s">
        <v>114</v>
      </c>
    </row>
    <row r="6" customFormat="false" ht="42" hidden="false" customHeight="true" outlineLevel="0" collapsed="false">
      <c r="A6" s="9" t="s">
        <v>67</v>
      </c>
      <c r="B6" s="7" t="s">
        <v>115</v>
      </c>
      <c r="C6" s="9" t="s">
        <v>116</v>
      </c>
      <c r="D6" s="27" t="n">
        <v>35000</v>
      </c>
      <c r="E6" s="28" t="s">
        <v>117</v>
      </c>
      <c r="F6" s="29" t="s">
        <v>118</v>
      </c>
    </row>
    <row r="7" customFormat="false" ht="42" hidden="false" customHeight="true" outlineLevel="0" collapsed="false">
      <c r="A7" s="9" t="s">
        <v>68</v>
      </c>
      <c r="B7" s="7" t="s">
        <v>119</v>
      </c>
      <c r="C7" s="9" t="s">
        <v>120</v>
      </c>
      <c r="D7" s="27" t="n">
        <v>70000</v>
      </c>
      <c r="E7" s="28" t="s">
        <v>113</v>
      </c>
      <c r="F7" s="29" t="s">
        <v>121</v>
      </c>
    </row>
    <row r="8" customFormat="false" ht="42" hidden="false" customHeight="true" outlineLevel="0" collapsed="false">
      <c r="A8" s="9" t="s">
        <v>68</v>
      </c>
      <c r="B8" s="7" t="s">
        <v>122</v>
      </c>
      <c r="C8" s="9" t="s">
        <v>123</v>
      </c>
      <c r="D8" s="27" t="n">
        <v>750000</v>
      </c>
      <c r="E8" s="28" t="s">
        <v>117</v>
      </c>
      <c r="F8" s="29" t="s">
        <v>124</v>
      </c>
    </row>
    <row r="9" customFormat="false" ht="42" hidden="false" customHeight="true" outlineLevel="0" collapsed="false">
      <c r="A9" s="9" t="s">
        <v>69</v>
      </c>
      <c r="B9" s="7" t="s">
        <v>125</v>
      </c>
      <c r="C9" s="9" t="s">
        <v>116</v>
      </c>
      <c r="D9" s="27" t="n">
        <v>1500000</v>
      </c>
      <c r="E9" s="28" t="s">
        <v>113</v>
      </c>
      <c r="F9" s="29" t="s">
        <v>126</v>
      </c>
    </row>
    <row r="10" customFormat="false" ht="42" hidden="false" customHeight="true" outlineLevel="0" collapsed="false">
      <c r="A10" s="9" t="s">
        <v>69</v>
      </c>
      <c r="B10" s="7" t="s">
        <v>127</v>
      </c>
      <c r="C10" s="9" t="s">
        <v>116</v>
      </c>
      <c r="D10" s="27" t="n">
        <v>3000000</v>
      </c>
      <c r="E10" s="28" t="s">
        <v>113</v>
      </c>
      <c r="F10" s="29" t="s">
        <v>128</v>
      </c>
    </row>
    <row r="11" customFormat="false" ht="42" hidden="false" customHeight="true" outlineLevel="0" collapsed="false">
      <c r="A11" s="9" t="s">
        <v>70</v>
      </c>
      <c r="B11" s="7" t="s">
        <v>129</v>
      </c>
      <c r="C11" s="9" t="s">
        <v>123</v>
      </c>
      <c r="D11" s="27" t="n">
        <v>0</v>
      </c>
      <c r="E11" s="28" t="s">
        <v>130</v>
      </c>
      <c r="F11" s="29" t="s">
        <v>131</v>
      </c>
    </row>
    <row r="12" customFormat="false" ht="42" hidden="false" customHeight="true" outlineLevel="0" collapsed="false">
      <c r="A12" s="9" t="s">
        <v>70</v>
      </c>
      <c r="B12" s="7" t="s">
        <v>132</v>
      </c>
      <c r="C12" s="9" t="s">
        <v>123</v>
      </c>
      <c r="D12" s="27" t="n">
        <v>150000</v>
      </c>
      <c r="E12" s="28" t="s">
        <v>117</v>
      </c>
      <c r="F12" s="29" t="s">
        <v>133</v>
      </c>
    </row>
    <row r="13" customFormat="false" ht="42" hidden="false" customHeight="true" outlineLevel="0" collapsed="false">
      <c r="A13" s="9" t="s">
        <v>71</v>
      </c>
      <c r="B13" s="7" t="s">
        <v>134</v>
      </c>
      <c r="C13" s="9" t="s">
        <v>135</v>
      </c>
      <c r="D13" s="30" t="n">
        <v>0.02</v>
      </c>
      <c r="E13" s="28" t="s">
        <v>136</v>
      </c>
      <c r="F13" s="29" t="s">
        <v>137</v>
      </c>
    </row>
    <row r="14" customFormat="false" ht="42" hidden="false" customHeight="true" outlineLevel="0" collapsed="false">
      <c r="A14" s="9" t="s">
        <v>71</v>
      </c>
      <c r="B14" s="7" t="s">
        <v>138</v>
      </c>
      <c r="C14" s="9" t="s">
        <v>135</v>
      </c>
      <c r="D14" s="30" t="n">
        <v>0</v>
      </c>
      <c r="E14" s="28" t="s">
        <v>139</v>
      </c>
      <c r="F14" s="29" t="s">
        <v>140</v>
      </c>
    </row>
    <row r="16" customFormat="false" ht="15" hidden="false" customHeight="false" outlineLevel="0" collapsed="false">
      <c r="A16" s="5" t="s">
        <v>141</v>
      </c>
      <c r="B16" s="31"/>
      <c r="C16" s="31"/>
      <c r="D16" s="31"/>
      <c r="E16" s="31"/>
      <c r="F16" s="31"/>
    </row>
    <row r="17" customFormat="false" ht="15" hidden="false" customHeight="false" outlineLevel="0" collapsed="false">
      <c r="B17" s="7" t="s">
        <v>142</v>
      </c>
      <c r="C17" s="9" t="s">
        <v>116</v>
      </c>
      <c r="D17" s="27" t="n">
        <v>500000</v>
      </c>
      <c r="E17" s="28" t="s">
        <v>113</v>
      </c>
    </row>
    <row r="18" customFormat="false" ht="15" hidden="false" customHeight="false" outlineLevel="0" collapsed="false">
      <c r="B18" s="7" t="s">
        <v>143</v>
      </c>
      <c r="C18" s="9" t="s">
        <v>144</v>
      </c>
      <c r="D18" s="32" t="n">
        <v>3</v>
      </c>
      <c r="E18" s="28" t="s">
        <v>145</v>
      </c>
    </row>
    <row r="19" customFormat="false" ht="15" hidden="false" customHeight="false" outlineLevel="0" collapsed="false">
      <c r="B19" s="7" t="s">
        <v>146</v>
      </c>
      <c r="C19" s="9" t="s">
        <v>147</v>
      </c>
      <c r="D19" s="32" t="n">
        <v>3</v>
      </c>
      <c r="E19" s="28" t="s">
        <v>113</v>
      </c>
    </row>
    <row r="20" customFormat="false" ht="15" hidden="false" customHeight="false" outlineLevel="0" collapsed="false">
      <c r="B20" s="7" t="s">
        <v>148</v>
      </c>
      <c r="C20" s="9" t="s">
        <v>149</v>
      </c>
      <c r="D20" s="27" t="n">
        <v>20000000</v>
      </c>
      <c r="E20" s="28" t="s">
        <v>113</v>
      </c>
    </row>
    <row r="21" customFormat="false" ht="15" hidden="false" customHeight="false" outlineLevel="0" collapsed="false">
      <c r="B21" s="7" t="s">
        <v>150</v>
      </c>
      <c r="C21" s="9" t="s">
        <v>135</v>
      </c>
      <c r="D21" s="30" t="n">
        <v>0.5</v>
      </c>
      <c r="E21" s="28" t="s">
        <v>151</v>
      </c>
    </row>
    <row r="22" customFormat="false" ht="15" hidden="false" customHeight="false" outlineLevel="0" collapsed="false">
      <c r="B22" s="7" t="s">
        <v>152</v>
      </c>
      <c r="C22" s="9" t="s">
        <v>153</v>
      </c>
      <c r="D22" s="27" t="n">
        <v>2500000</v>
      </c>
      <c r="E22" s="28" t="s">
        <v>154</v>
      </c>
    </row>
    <row r="23" customFormat="false" ht="15" hidden="false" customHeight="false" outlineLevel="0" collapsed="false">
      <c r="B23" s="7" t="s">
        <v>155</v>
      </c>
      <c r="C23" s="9" t="s">
        <v>153</v>
      </c>
      <c r="D23" s="27" t="n">
        <v>2000000</v>
      </c>
      <c r="E23" s="28" t="s">
        <v>154</v>
      </c>
    </row>
    <row r="24" customFormat="false" ht="15" hidden="false" customHeight="false" outlineLevel="0" collapsed="false">
      <c r="B24" s="7" t="s">
        <v>156</v>
      </c>
      <c r="C24" s="9" t="s">
        <v>153</v>
      </c>
      <c r="D24" s="27" t="n">
        <v>3000000</v>
      </c>
      <c r="E24" s="28" t="s">
        <v>154</v>
      </c>
    </row>
    <row r="25" customFormat="false" ht="15" hidden="false" customHeight="false" outlineLevel="0" collapsed="false">
      <c r="B25" s="7" t="s">
        <v>157</v>
      </c>
      <c r="C25" s="9" t="s">
        <v>135</v>
      </c>
      <c r="D25" s="30" t="n">
        <v>0.15</v>
      </c>
      <c r="E25" s="28" t="s">
        <v>158</v>
      </c>
    </row>
    <row r="26" customFormat="false" ht="15" hidden="false" customHeight="false" outlineLevel="0" collapsed="false">
      <c r="B26" s="7" t="s">
        <v>159</v>
      </c>
      <c r="C26" s="9" t="s">
        <v>135</v>
      </c>
      <c r="D26" s="30" t="n">
        <v>0.26</v>
      </c>
      <c r="E26" s="28" t="s">
        <v>158</v>
      </c>
    </row>
    <row r="27" customFormat="false" ht="15" hidden="false" customHeight="false" outlineLevel="0" collapsed="false">
      <c r="B27" s="7" t="s">
        <v>160</v>
      </c>
      <c r="C27" s="9" t="s">
        <v>153</v>
      </c>
      <c r="D27" s="27" t="n">
        <v>500000</v>
      </c>
      <c r="E27" s="28" t="s">
        <v>161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6"/>
    <col collapsed="false" customWidth="true" hidden="false" outlineLevel="0" max="3" min="3" style="0" width="14"/>
    <col collapsed="false" customWidth="true" hidden="false" outlineLevel="0" max="4" min="4" style="0" width="18"/>
    <col collapsed="false" customWidth="true" hidden="false" outlineLevel="0" max="5" min="5" style="0" width="26"/>
    <col collapsed="false" customWidth="true" hidden="false" outlineLevel="0" max="7" min="6" style="0" width="18"/>
  </cols>
  <sheetData>
    <row r="1" customFormat="false" ht="17.35" hidden="false" customHeight="false" outlineLevel="0" collapsed="false">
      <c r="A1" s="1" t="s">
        <v>162</v>
      </c>
    </row>
    <row r="2" customFormat="false" ht="15" hidden="false" customHeight="false" outlineLevel="0" collapsed="false">
      <c r="A2" s="2" t="s">
        <v>163</v>
      </c>
    </row>
    <row r="4" customFormat="false" ht="15" hidden="false" customHeight="false" outlineLevel="0" collapsed="false">
      <c r="A4" s="3" t="s">
        <v>164</v>
      </c>
      <c r="B4" s="4" t="s">
        <v>165</v>
      </c>
      <c r="C4" s="4" t="s">
        <v>107</v>
      </c>
      <c r="D4" s="4" t="s">
        <v>3</v>
      </c>
      <c r="E4" s="4" t="s">
        <v>4</v>
      </c>
      <c r="F4" s="4" t="s">
        <v>5</v>
      </c>
      <c r="G4" s="4" t="s">
        <v>6</v>
      </c>
    </row>
    <row r="5" customFormat="false" ht="15" hidden="false" customHeight="false" outlineLevel="0" collapsed="false">
      <c r="A5" s="9" t="s">
        <v>166</v>
      </c>
      <c r="B5" s="7" t="s">
        <v>167</v>
      </c>
      <c r="C5" s="9" t="s">
        <v>153</v>
      </c>
      <c r="D5" s="27" t="n">
        <v>12000000</v>
      </c>
      <c r="E5" s="27" t="n">
        <v>11000000</v>
      </c>
      <c r="F5" s="27" t="n">
        <v>20000000</v>
      </c>
      <c r="G5" s="27" t="n">
        <v>31500000</v>
      </c>
    </row>
    <row r="6" customFormat="false" ht="15" hidden="false" customHeight="false" outlineLevel="0" collapsed="false">
      <c r="A6" s="9" t="s">
        <v>166</v>
      </c>
      <c r="B6" s="7" t="s">
        <v>168</v>
      </c>
      <c r="C6" s="9" t="s">
        <v>135</v>
      </c>
      <c r="D6" s="30" t="n">
        <v>0.36</v>
      </c>
      <c r="E6" s="30" t="n">
        <v>0.2</v>
      </c>
      <c r="F6" s="30" t="n">
        <v>0.36</v>
      </c>
      <c r="G6" s="30" t="n">
        <v>0.36</v>
      </c>
    </row>
    <row r="7" customFormat="false" ht="15" hidden="false" customHeight="false" outlineLevel="0" collapsed="false">
      <c r="A7" s="9" t="s">
        <v>166</v>
      </c>
      <c r="B7" s="7" t="s">
        <v>169</v>
      </c>
      <c r="C7" s="9" t="s">
        <v>170</v>
      </c>
      <c r="D7" s="30" t="n">
        <v>1</v>
      </c>
      <c r="E7" s="30" t="n">
        <v>1</v>
      </c>
      <c r="F7" s="30" t="n">
        <v>1</v>
      </c>
      <c r="G7" s="30" t="n">
        <v>1</v>
      </c>
    </row>
    <row r="8" customFormat="false" ht="15" hidden="false" customHeight="false" outlineLevel="0" collapsed="false">
      <c r="A8" s="9" t="s">
        <v>171</v>
      </c>
      <c r="B8" s="7" t="s">
        <v>172</v>
      </c>
      <c r="C8" s="9" t="s">
        <v>144</v>
      </c>
      <c r="D8" s="32" t="n">
        <v>15</v>
      </c>
      <c r="E8" s="32" t="n">
        <v>15</v>
      </c>
      <c r="F8" s="32" t="n">
        <v>24</v>
      </c>
      <c r="G8" s="32" t="n">
        <v>36</v>
      </c>
    </row>
    <row r="9" customFormat="false" ht="15" hidden="false" customHeight="false" outlineLevel="0" collapsed="false">
      <c r="A9" s="9" t="s">
        <v>171</v>
      </c>
      <c r="B9" s="7" t="s">
        <v>173</v>
      </c>
      <c r="C9" s="9" t="s">
        <v>174</v>
      </c>
      <c r="D9" s="33" t="n">
        <f aca="false">D8/'Input Tarif'!$D$18</f>
        <v>5</v>
      </c>
      <c r="E9" s="33" t="n">
        <f aca="false">E8/'Input Tarif'!$D$18</f>
        <v>5</v>
      </c>
      <c r="F9" s="33" t="n">
        <f aca="false">F8/'Input Tarif'!$D$18</f>
        <v>8</v>
      </c>
      <c r="G9" s="33" t="n">
        <f aca="false">G8/'Input Tarif'!$D$18</f>
        <v>12</v>
      </c>
    </row>
    <row r="10" customFormat="false" ht="15" hidden="false" customHeight="false" outlineLevel="0" collapsed="false">
      <c r="A10" s="9" t="s">
        <v>171</v>
      </c>
      <c r="B10" s="7" t="s">
        <v>175</v>
      </c>
      <c r="C10" s="9" t="s">
        <v>176</v>
      </c>
      <c r="D10" s="32" t="n">
        <v>0</v>
      </c>
      <c r="E10" s="32" t="n">
        <v>1</v>
      </c>
      <c r="F10" s="32" t="n">
        <v>1</v>
      </c>
      <c r="G10" s="32" t="n">
        <v>2</v>
      </c>
    </row>
    <row r="11" customFormat="false" ht="15" hidden="false" customHeight="false" outlineLevel="0" collapsed="false">
      <c r="A11" s="9" t="s">
        <v>171</v>
      </c>
      <c r="B11" s="7" t="s">
        <v>177</v>
      </c>
      <c r="C11" s="9" t="s">
        <v>178</v>
      </c>
      <c r="D11" s="32" t="n">
        <v>0</v>
      </c>
      <c r="E11" s="32" t="n">
        <v>1</v>
      </c>
      <c r="F11" s="32" t="n">
        <v>1</v>
      </c>
      <c r="G11" s="32" t="n">
        <v>1</v>
      </c>
    </row>
    <row r="12" customFormat="false" ht="15" hidden="false" customHeight="false" outlineLevel="0" collapsed="false">
      <c r="A12" s="9" t="s">
        <v>171</v>
      </c>
      <c r="B12" s="7" t="s">
        <v>179</v>
      </c>
      <c r="C12" s="9" t="s">
        <v>178</v>
      </c>
      <c r="D12" s="32" t="n">
        <v>0</v>
      </c>
      <c r="E12" s="32" t="n">
        <v>0</v>
      </c>
      <c r="F12" s="32" t="n">
        <v>0</v>
      </c>
      <c r="G12" s="32" t="n">
        <v>1</v>
      </c>
    </row>
    <row r="13" customFormat="false" ht="15" hidden="false" customHeight="false" outlineLevel="0" collapsed="false">
      <c r="A13" s="9" t="s">
        <v>171</v>
      </c>
      <c r="B13" s="7" t="s">
        <v>180</v>
      </c>
      <c r="C13" s="9" t="s">
        <v>144</v>
      </c>
      <c r="D13" s="32" t="n">
        <v>1</v>
      </c>
      <c r="E13" s="32" t="n">
        <v>1</v>
      </c>
      <c r="F13" s="32" t="n">
        <v>1</v>
      </c>
      <c r="G13" s="32" t="n">
        <v>0</v>
      </c>
    </row>
    <row r="14" customFormat="false" ht="15" hidden="false" customHeight="false" outlineLevel="0" collapsed="false">
      <c r="A14" s="9" t="s">
        <v>171</v>
      </c>
      <c r="B14" s="7" t="s">
        <v>181</v>
      </c>
      <c r="C14" s="9" t="s">
        <v>144</v>
      </c>
      <c r="D14" s="32" t="n">
        <v>0</v>
      </c>
      <c r="E14" s="32" t="n">
        <v>0</v>
      </c>
      <c r="F14" s="32" t="n">
        <v>0</v>
      </c>
      <c r="G14" s="32" t="n">
        <v>1</v>
      </c>
    </row>
    <row r="16" customFormat="false" ht="15" hidden="false" customHeight="false" outlineLevel="0" collapsed="false">
      <c r="A16" s="2" t="s">
        <v>182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0"/>
    <col collapsed="false" customWidth="true" hidden="false" outlineLevel="0" max="3" min="3" style="0" width="26"/>
    <col collapsed="false" customWidth="true" hidden="false" outlineLevel="0" max="4" min="4" style="0" width="18"/>
    <col collapsed="false" customWidth="true" hidden="false" outlineLevel="0" max="5" min="5" style="0" width="26"/>
    <col collapsed="false" customWidth="true" hidden="false" outlineLevel="0" max="7" min="6" style="0" width="18"/>
  </cols>
  <sheetData>
    <row r="1" customFormat="false" ht="17.35" hidden="false" customHeight="false" outlineLevel="0" collapsed="false">
      <c r="A1" s="1" t="s">
        <v>183</v>
      </c>
    </row>
    <row r="2" customFormat="false" ht="15" hidden="false" customHeight="false" outlineLevel="0" collapsed="false">
      <c r="A2" s="2" t="s">
        <v>184</v>
      </c>
    </row>
    <row r="4" customFormat="false" ht="15" hidden="false" customHeight="false" outlineLevel="0" collapsed="false">
      <c r="A4" s="3" t="s">
        <v>105</v>
      </c>
      <c r="B4" s="4" t="s">
        <v>106</v>
      </c>
      <c r="C4" s="4" t="s">
        <v>185</v>
      </c>
      <c r="D4" s="4" t="s">
        <v>3</v>
      </c>
      <c r="E4" s="4" t="s">
        <v>4</v>
      </c>
      <c r="F4" s="4" t="s">
        <v>5</v>
      </c>
      <c r="G4" s="4" t="s">
        <v>6</v>
      </c>
    </row>
    <row r="5" customFormat="false" ht="15" hidden="false" customHeight="false" outlineLevel="0" collapsed="false">
      <c r="A5" s="5" t="s">
        <v>67</v>
      </c>
      <c r="B5" s="34"/>
      <c r="C5" s="34"/>
      <c r="D5" s="34"/>
      <c r="E5" s="34"/>
      <c r="F5" s="34"/>
      <c r="G5" s="34"/>
    </row>
    <row r="6" customFormat="false" ht="15" hidden="false" customHeight="false" outlineLevel="0" collapsed="false">
      <c r="A6" s="9"/>
      <c r="B6" s="9" t="s">
        <v>186</v>
      </c>
      <c r="C6" s="28" t="s">
        <v>187</v>
      </c>
      <c r="D6" s="35" t="n">
        <f aca="false">'Desain Program'!D8*'Desain Program'!D7*'Input Tarif'!$D$5</f>
        <v>5250000</v>
      </c>
      <c r="E6" s="35" t="n">
        <f aca="false">'Desain Program'!E8*'Desain Program'!E7*'Input Tarif'!$D$5</f>
        <v>5250000</v>
      </c>
      <c r="F6" s="35" t="n">
        <f aca="false">'Desain Program'!F8*'Desain Program'!F7*'Input Tarif'!$D$5</f>
        <v>8400000</v>
      </c>
      <c r="G6" s="35" t="n">
        <f aca="false">'Desain Program'!G8*'Desain Program'!G7*'Input Tarif'!$D$5</f>
        <v>12600000</v>
      </c>
    </row>
    <row r="7" customFormat="false" ht="15" hidden="false" customHeight="false" outlineLevel="0" collapsed="false">
      <c r="A7" s="9"/>
      <c r="B7" s="9" t="s">
        <v>115</v>
      </c>
      <c r="C7" s="28" t="s">
        <v>188</v>
      </c>
      <c r="D7" s="35" t="n">
        <f aca="false">'Desain Program'!D8*'Input Tarif'!$D$6</f>
        <v>525000</v>
      </c>
      <c r="E7" s="35" t="n">
        <f aca="false">'Desain Program'!E8*'Input Tarif'!$D$6</f>
        <v>525000</v>
      </c>
      <c r="F7" s="35" t="n">
        <f aca="false">'Desain Program'!F8*'Input Tarif'!$D$6</f>
        <v>840000</v>
      </c>
      <c r="G7" s="35" t="n">
        <f aca="false">'Desain Program'!G8*'Input Tarif'!$D$6</f>
        <v>1260000</v>
      </c>
    </row>
    <row r="8" customFormat="false" ht="15" hidden="false" customHeight="false" outlineLevel="0" collapsed="false">
      <c r="A8" s="36"/>
      <c r="B8" s="37" t="s">
        <v>189</v>
      </c>
      <c r="C8" s="36"/>
      <c r="D8" s="38" t="n">
        <f aca="false">SUM(D6:D7)</f>
        <v>5775000</v>
      </c>
      <c r="E8" s="38" t="n">
        <f aca="false">SUM(E6:E7)</f>
        <v>5775000</v>
      </c>
      <c r="F8" s="38" t="n">
        <f aca="false">SUM(F6:F7)</f>
        <v>9240000</v>
      </c>
      <c r="G8" s="38" t="n">
        <f aca="false">SUM(G6:G7)</f>
        <v>13860000</v>
      </c>
    </row>
    <row r="10" customFormat="false" ht="15" hidden="false" customHeight="false" outlineLevel="0" collapsed="false">
      <c r="A10" s="5" t="s">
        <v>68</v>
      </c>
      <c r="B10" s="34"/>
      <c r="C10" s="34"/>
      <c r="D10" s="34"/>
      <c r="E10" s="34"/>
      <c r="F10" s="34"/>
      <c r="G10" s="34"/>
    </row>
    <row r="11" customFormat="false" ht="15" hidden="false" customHeight="false" outlineLevel="0" collapsed="false">
      <c r="A11" s="9"/>
      <c r="B11" s="9" t="s">
        <v>190</v>
      </c>
      <c r="C11" s="28" t="s">
        <v>191</v>
      </c>
      <c r="D11" s="35" t="n">
        <f aca="false">'Desain Program'!D10*'Desain Program'!D9*'Input Tarif'!$D$7</f>
        <v>0</v>
      </c>
      <c r="E11" s="35" t="n">
        <f aca="false">'Desain Program'!E10*'Desain Program'!E9*'Input Tarif'!$D$7</f>
        <v>350000</v>
      </c>
      <c r="F11" s="35" t="n">
        <f aca="false">'Desain Program'!F10*'Desain Program'!F9*'Input Tarif'!$D$7</f>
        <v>560000</v>
      </c>
      <c r="G11" s="35" t="n">
        <f aca="false">'Desain Program'!G10*'Desain Program'!G9*'Input Tarif'!$D$7</f>
        <v>1680000</v>
      </c>
    </row>
    <row r="12" customFormat="false" ht="15" hidden="false" customHeight="false" outlineLevel="0" collapsed="false">
      <c r="A12" s="9"/>
      <c r="B12" s="9" t="s">
        <v>192</v>
      </c>
      <c r="C12" s="28" t="s">
        <v>193</v>
      </c>
      <c r="D12" s="35" t="n">
        <f aca="false">'Desain Program'!D11*'Input Tarif'!$D$8</f>
        <v>0</v>
      </c>
      <c r="E12" s="35" t="n">
        <f aca="false">'Desain Program'!E11*'Input Tarif'!$D$8</f>
        <v>750000</v>
      </c>
      <c r="F12" s="35" t="n">
        <f aca="false">'Desain Program'!F11*'Input Tarif'!$D$8</f>
        <v>750000</v>
      </c>
      <c r="G12" s="35" t="n">
        <f aca="false">'Desain Program'!G11*'Input Tarif'!$D$8</f>
        <v>750000</v>
      </c>
    </row>
    <row r="13" customFormat="false" ht="15" hidden="false" customHeight="false" outlineLevel="0" collapsed="false">
      <c r="A13" s="36"/>
      <c r="B13" s="37" t="s">
        <v>194</v>
      </c>
      <c r="C13" s="36"/>
      <c r="D13" s="38" t="n">
        <f aca="false">SUM(D11:D12)</f>
        <v>0</v>
      </c>
      <c r="E13" s="38" t="n">
        <f aca="false">SUM(E11:E12)</f>
        <v>1100000</v>
      </c>
      <c r="F13" s="38" t="n">
        <f aca="false">SUM(F11:F12)</f>
        <v>1310000</v>
      </c>
      <c r="G13" s="38" t="n">
        <f aca="false">SUM(G11:G12)</f>
        <v>2430000</v>
      </c>
    </row>
    <row r="15" customFormat="false" ht="15" hidden="false" customHeight="false" outlineLevel="0" collapsed="false">
      <c r="A15" s="5" t="s">
        <v>69</v>
      </c>
      <c r="B15" s="34"/>
      <c r="C15" s="34"/>
      <c r="D15" s="34"/>
      <c r="E15" s="34"/>
      <c r="F15" s="34"/>
      <c r="G15" s="34"/>
    </row>
    <row r="16" customFormat="false" ht="15" hidden="false" customHeight="false" outlineLevel="0" collapsed="false">
      <c r="A16" s="9"/>
      <c r="B16" s="9" t="s">
        <v>195</v>
      </c>
      <c r="C16" s="28" t="s">
        <v>188</v>
      </c>
      <c r="D16" s="35" t="n">
        <f aca="false">'Desain Program'!D13*'Input Tarif'!$D$9</f>
        <v>1500000</v>
      </c>
      <c r="E16" s="35" t="n">
        <f aca="false">'Desain Program'!E13*'Input Tarif'!$D$9</f>
        <v>1500000</v>
      </c>
      <c r="F16" s="35" t="n">
        <f aca="false">'Desain Program'!F13*'Input Tarif'!$D$9</f>
        <v>1500000</v>
      </c>
      <c r="G16" s="35" t="n">
        <f aca="false">'Desain Program'!G13*'Input Tarif'!$D$9</f>
        <v>0</v>
      </c>
    </row>
    <row r="17" customFormat="false" ht="15" hidden="false" customHeight="false" outlineLevel="0" collapsed="false">
      <c r="A17" s="9"/>
      <c r="B17" s="9" t="s">
        <v>196</v>
      </c>
      <c r="C17" s="28" t="s">
        <v>188</v>
      </c>
      <c r="D17" s="35" t="n">
        <f aca="false">'Desain Program'!D14*'Input Tarif'!$D$10</f>
        <v>0</v>
      </c>
      <c r="E17" s="35" t="n">
        <f aca="false">'Desain Program'!E14*'Input Tarif'!$D$10</f>
        <v>0</v>
      </c>
      <c r="F17" s="35" t="n">
        <f aca="false">'Desain Program'!F14*'Input Tarif'!$D$10</f>
        <v>0</v>
      </c>
      <c r="G17" s="35" t="n">
        <f aca="false">'Desain Program'!G14*'Input Tarif'!$D$10</f>
        <v>3000000</v>
      </c>
    </row>
    <row r="18" customFormat="false" ht="15" hidden="false" customHeight="false" outlineLevel="0" collapsed="false">
      <c r="A18" s="36"/>
      <c r="B18" s="37" t="s">
        <v>197</v>
      </c>
      <c r="C18" s="36"/>
      <c r="D18" s="38" t="n">
        <f aca="false">SUM(D16:D17)</f>
        <v>1500000</v>
      </c>
      <c r="E18" s="38" t="n">
        <f aca="false">SUM(E16:E17)</f>
        <v>1500000</v>
      </c>
      <c r="F18" s="38" t="n">
        <f aca="false">SUM(F16:F17)</f>
        <v>1500000</v>
      </c>
      <c r="G18" s="38" t="n">
        <f aca="false">SUM(G16:G17)</f>
        <v>3000000</v>
      </c>
    </row>
    <row r="20" customFormat="false" ht="15" hidden="false" customHeight="false" outlineLevel="0" collapsed="false">
      <c r="A20" s="5" t="s">
        <v>70</v>
      </c>
      <c r="B20" s="34"/>
      <c r="C20" s="34"/>
      <c r="D20" s="34"/>
      <c r="E20" s="34"/>
      <c r="F20" s="34"/>
      <c r="G20" s="34"/>
    </row>
    <row r="21" customFormat="false" ht="15" hidden="false" customHeight="false" outlineLevel="0" collapsed="false">
      <c r="A21" s="9"/>
      <c r="B21" s="9" t="s">
        <v>129</v>
      </c>
      <c r="C21" s="28" t="s">
        <v>198</v>
      </c>
      <c r="D21" s="35" t="n">
        <f aca="false">'Input Tarif'!$D$11</f>
        <v>0</v>
      </c>
      <c r="E21" s="35" t="n">
        <f aca="false">'Input Tarif'!$D$11</f>
        <v>0</v>
      </c>
      <c r="F21" s="35" t="n">
        <f aca="false">'Input Tarif'!$D$11</f>
        <v>0</v>
      </c>
      <c r="G21" s="35" t="n">
        <f aca="false">'Input Tarif'!$D$11</f>
        <v>0</v>
      </c>
    </row>
    <row r="22" customFormat="false" ht="15" hidden="false" customHeight="false" outlineLevel="0" collapsed="false">
      <c r="A22" s="9"/>
      <c r="B22" s="9" t="s">
        <v>132</v>
      </c>
      <c r="C22" s="28" t="s">
        <v>198</v>
      </c>
      <c r="D22" s="35" t="n">
        <f aca="false">'Input Tarif'!$D$12</f>
        <v>150000</v>
      </c>
      <c r="E22" s="35" t="n">
        <f aca="false">'Input Tarif'!$D$12</f>
        <v>150000</v>
      </c>
      <c r="F22" s="35" t="n">
        <f aca="false">'Input Tarif'!$D$12</f>
        <v>150000</v>
      </c>
      <c r="G22" s="35" t="n">
        <f aca="false">'Input Tarif'!$D$12</f>
        <v>150000</v>
      </c>
    </row>
    <row r="23" customFormat="false" ht="15" hidden="false" customHeight="false" outlineLevel="0" collapsed="false">
      <c r="A23" s="36"/>
      <c r="B23" s="37" t="s">
        <v>199</v>
      </c>
      <c r="C23" s="36"/>
      <c r="D23" s="38" t="n">
        <f aca="false">SUM(D21:D22)</f>
        <v>150000</v>
      </c>
      <c r="E23" s="38" t="n">
        <f aca="false">SUM(E21:E22)</f>
        <v>150000</v>
      </c>
      <c r="F23" s="38" t="n">
        <f aca="false">SUM(F21:F22)</f>
        <v>150000</v>
      </c>
      <c r="G23" s="38" t="n">
        <f aca="false">SUM(G21:G22)</f>
        <v>150000</v>
      </c>
    </row>
    <row r="25" customFormat="false" ht="15" hidden="false" customHeight="false" outlineLevel="0" collapsed="false">
      <c r="A25" s="5" t="s">
        <v>71</v>
      </c>
      <c r="B25" s="34"/>
      <c r="C25" s="34"/>
      <c r="D25" s="34"/>
      <c r="E25" s="34"/>
      <c r="F25" s="34"/>
      <c r="G25" s="34"/>
    </row>
    <row r="26" customFormat="false" ht="15" hidden="false" customHeight="false" outlineLevel="0" collapsed="false">
      <c r="A26" s="9"/>
      <c r="B26" s="9" t="s">
        <v>200</v>
      </c>
      <c r="C26" s="28" t="s">
        <v>201</v>
      </c>
      <c r="D26" s="35" t="n">
        <f aca="false">'Desain Program'!D5*'Input Tarif'!$D$13</f>
        <v>240000</v>
      </c>
      <c r="E26" s="35" t="n">
        <f aca="false">'Desain Program'!E5*'Input Tarif'!$D$13</f>
        <v>220000</v>
      </c>
      <c r="F26" s="35" t="n">
        <f aca="false">'Desain Program'!F5*'Input Tarif'!$D$13</f>
        <v>400000</v>
      </c>
      <c r="G26" s="35" t="n">
        <f aca="false">'Desain Program'!G5*'Input Tarif'!$D$13</f>
        <v>630000</v>
      </c>
    </row>
    <row r="27" customFormat="false" ht="15" hidden="false" customHeight="false" outlineLevel="0" collapsed="false">
      <c r="A27" s="9"/>
      <c r="B27" s="9" t="s">
        <v>202</v>
      </c>
      <c r="C27" s="28" t="s">
        <v>201</v>
      </c>
      <c r="D27" s="35" t="n">
        <f aca="false">'Desain Program'!D5*'Input Tarif'!$D$14</f>
        <v>0</v>
      </c>
      <c r="E27" s="35" t="n">
        <f aca="false">'Desain Program'!E5*'Input Tarif'!$D$14</f>
        <v>0</v>
      </c>
      <c r="F27" s="35" t="n">
        <f aca="false">'Desain Program'!F5*'Input Tarif'!$D$14</f>
        <v>0</v>
      </c>
      <c r="G27" s="35" t="n">
        <f aca="false">'Desain Program'!G5*'Input Tarif'!$D$14</f>
        <v>0</v>
      </c>
    </row>
    <row r="28" customFormat="false" ht="15" hidden="false" customHeight="false" outlineLevel="0" collapsed="false">
      <c r="A28" s="36"/>
      <c r="B28" s="37" t="s">
        <v>203</v>
      </c>
      <c r="C28" s="36"/>
      <c r="D28" s="38" t="n">
        <f aca="false">SUM(D26:D27)</f>
        <v>240000</v>
      </c>
      <c r="E28" s="38" t="n">
        <f aca="false">SUM(E26:E27)</f>
        <v>220000</v>
      </c>
      <c r="F28" s="38" t="n">
        <f aca="false">SUM(F26:F27)</f>
        <v>400000</v>
      </c>
      <c r="G28" s="38" t="n">
        <f aca="false">SUM(G26:G27)</f>
        <v>630000</v>
      </c>
    </row>
    <row r="30" customFormat="false" ht="15" hidden="false" customHeight="false" outlineLevel="0" collapsed="false">
      <c r="A30" s="39"/>
      <c r="B30" s="13" t="s">
        <v>204</v>
      </c>
      <c r="C30" s="39"/>
      <c r="D30" s="40" t="n">
        <f aca="false">D8+D13+D18+D23+D28</f>
        <v>7665000</v>
      </c>
      <c r="E30" s="40" t="n">
        <f aca="false">E8+E13+E18+E23+E28</f>
        <v>8745000</v>
      </c>
      <c r="F30" s="40" t="n">
        <f aca="false">F8+F13+F18+F23+F28</f>
        <v>12600000</v>
      </c>
      <c r="G30" s="40" t="n">
        <f aca="false">G8+G13+G18+G23+G28</f>
        <v>20070000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2026-10-08T08:30:27Z</dcterms:created>
  <dc:creator>openpyxl</dc:creator>
  <dc:description/>
  <dc:language>en-US</dc:language>
  <cp:lastModifiedBy/>
  <dcterms:modified xsi:type="dcterms:W3CDTF">2026-10-08T08:30:27Z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