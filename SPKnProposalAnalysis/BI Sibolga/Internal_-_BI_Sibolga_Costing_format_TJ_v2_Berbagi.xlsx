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alihmujiagung/Documents/GitHub/core-itera/financial-estimations/SPKnProposalAnalysis/BI Sibolga/"/>
    </mc:Choice>
  </mc:AlternateContent>
  <xr:revisionPtr revIDLastSave="0" documentId="13_ncr:1_{9FF939AC-A794-3F43-AE36-FC961513292B}" xr6:coauthVersionLast="47" xr6:coauthVersionMax="47" xr10:uidLastSave="{00000000-0000-0000-0000-000000000000}"/>
  <bookViews>
    <workbookView xWindow="0" yWindow="0" windowWidth="34200" windowHeight="22240" xr2:uid="{00000000-000D-0000-FFFF-FFFF00000000}"/>
  </bookViews>
  <sheets>
    <sheet name="Ringkasan" sheetId="1" r:id="rId1"/>
    <sheet name="Assumptions" sheetId="2" r:id="rId2"/>
    <sheet name="Sapa" sheetId="3" r:id="rId3"/>
    <sheet name="Tumbuh" sheetId="4" r:id="rId4"/>
    <sheet name="Seperjalanan" sheetId="5" r:id="rId5"/>
    <sheet name="Berbag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6" l="1"/>
  <c r="C46" i="6"/>
  <c r="B39" i="6"/>
  <c r="E36" i="6"/>
  <c r="B36" i="6"/>
  <c r="B35" i="6"/>
  <c r="B33" i="6"/>
  <c r="E22" i="6"/>
  <c r="F22" i="6" s="1"/>
  <c r="E21" i="6"/>
  <c r="F21" i="6" s="1"/>
  <c r="E20" i="6"/>
  <c r="D20" i="6"/>
  <c r="F20" i="6" s="1"/>
  <c r="E19" i="6"/>
  <c r="D19" i="6"/>
  <c r="F19" i="6" s="1"/>
  <c r="E18" i="6"/>
  <c r="D18" i="6"/>
  <c r="F18" i="6" s="1"/>
  <c r="E17" i="6"/>
  <c r="D17" i="6"/>
  <c r="F17" i="6" s="1"/>
  <c r="E16" i="6"/>
  <c r="D16" i="6"/>
  <c r="F16" i="6" s="1"/>
  <c r="E15" i="6"/>
  <c r="E14" i="6"/>
  <c r="D14" i="6"/>
  <c r="F14" i="6" s="1"/>
  <c r="E13" i="6"/>
  <c r="D13" i="6"/>
  <c r="F13" i="6" s="1"/>
  <c r="B10" i="6"/>
  <c r="E7" i="6"/>
  <c r="E4" i="6"/>
  <c r="E5" i="6" s="1"/>
  <c r="E6" i="6" s="1"/>
  <c r="B44" i="5"/>
  <c r="B36" i="5"/>
  <c r="B33" i="5"/>
  <c r="B32" i="5"/>
  <c r="B30" i="5"/>
  <c r="E19" i="5"/>
  <c r="F19" i="5" s="1"/>
  <c r="E18" i="5"/>
  <c r="F18" i="5" s="1"/>
  <c r="E17" i="5"/>
  <c r="D17" i="5"/>
  <c r="F17" i="5" s="1"/>
  <c r="E16" i="5"/>
  <c r="D16" i="5"/>
  <c r="F16" i="5" s="1"/>
  <c r="E15" i="5"/>
  <c r="E14" i="5"/>
  <c r="D14" i="5"/>
  <c r="F14" i="5" s="1"/>
  <c r="E13" i="5"/>
  <c r="D13" i="5"/>
  <c r="F13" i="5" s="1"/>
  <c r="B10" i="5"/>
  <c r="E7" i="5"/>
  <c r="E4" i="5"/>
  <c r="E5" i="5" s="1"/>
  <c r="E6" i="5" s="1"/>
  <c r="B44" i="4"/>
  <c r="B36" i="4"/>
  <c r="B33" i="4"/>
  <c r="B32" i="4"/>
  <c r="B30" i="4"/>
  <c r="E19" i="4"/>
  <c r="F19" i="4" s="1"/>
  <c r="E18" i="4"/>
  <c r="F18" i="4" s="1"/>
  <c r="E17" i="4"/>
  <c r="D17" i="4"/>
  <c r="F17" i="4" s="1"/>
  <c r="E16" i="4"/>
  <c r="D16" i="4"/>
  <c r="F16" i="4" s="1"/>
  <c r="E15" i="4"/>
  <c r="E14" i="4"/>
  <c r="D14" i="4"/>
  <c r="F14" i="4" s="1"/>
  <c r="E13" i="4"/>
  <c r="D13" i="4"/>
  <c r="F13" i="4" s="1"/>
  <c r="B10" i="4"/>
  <c r="E7" i="4"/>
  <c r="E4" i="4"/>
  <c r="E5" i="4" s="1"/>
  <c r="E6" i="4" s="1"/>
  <c r="B36" i="3"/>
  <c r="B33" i="3"/>
  <c r="B32" i="3"/>
  <c r="B30" i="3"/>
  <c r="E19" i="3"/>
  <c r="F19" i="3" s="1"/>
  <c r="E18" i="3"/>
  <c r="F18" i="3" s="1"/>
  <c r="E17" i="3"/>
  <c r="D17" i="3"/>
  <c r="F17" i="3" s="1"/>
  <c r="E16" i="3"/>
  <c r="D16" i="3"/>
  <c r="F16" i="3" s="1"/>
  <c r="E15" i="3"/>
  <c r="E14" i="3"/>
  <c r="D14" i="3"/>
  <c r="F14" i="3" s="1"/>
  <c r="E13" i="3"/>
  <c r="D13" i="3"/>
  <c r="F13" i="3" s="1"/>
  <c r="B10" i="3"/>
  <c r="E7" i="3"/>
  <c r="E4" i="3"/>
  <c r="E5" i="3" s="1"/>
  <c r="E6" i="3" s="1"/>
  <c r="E12" i="1"/>
  <c r="D12" i="1"/>
  <c r="E6" i="1"/>
  <c r="D6" i="1"/>
  <c r="C6" i="1"/>
  <c r="E4" i="1"/>
  <c r="D4" i="1"/>
  <c r="C4" i="1"/>
  <c r="B4" i="1"/>
  <c r="D15" i="3" l="1"/>
  <c r="F15" i="3" s="1"/>
  <c r="B43" i="3"/>
  <c r="C33" i="6"/>
  <c r="D15" i="6"/>
  <c r="F15" i="6" s="1"/>
  <c r="F23" i="6" s="1"/>
  <c r="D33" i="6" s="1"/>
  <c r="E33" i="6" s="1"/>
  <c r="B46" i="6"/>
  <c r="C30" i="5"/>
  <c r="D15" i="5"/>
  <c r="F15" i="5" s="1"/>
  <c r="F20" i="5" s="1"/>
  <c r="D30" i="5" s="1"/>
  <c r="E30" i="5" s="1"/>
  <c r="B43" i="5"/>
  <c r="C12" i="1"/>
  <c r="C30" i="4"/>
  <c r="D15" i="4"/>
  <c r="F15" i="4" s="1"/>
  <c r="F20" i="4" s="1"/>
  <c r="B43" i="4"/>
  <c r="B6" i="1"/>
  <c r="B12" i="1"/>
  <c r="C30" i="3"/>
  <c r="E35" i="6"/>
  <c r="B34" i="5"/>
  <c r="F20" i="3"/>
  <c r="E5" i="1" l="1"/>
  <c r="B32" i="6"/>
  <c r="B31" i="6"/>
  <c r="B30" i="6"/>
  <c r="B29" i="6"/>
  <c r="B28" i="6"/>
  <c r="B27" i="6"/>
  <c r="F24" i="6"/>
  <c r="B37" i="6"/>
  <c r="D5" i="1"/>
  <c r="F21" i="5"/>
  <c r="B29" i="5"/>
  <c r="B28" i="5"/>
  <c r="B27" i="5"/>
  <c r="B26" i="5"/>
  <c r="B25" i="5"/>
  <c r="B24" i="5"/>
  <c r="C5" i="1"/>
  <c r="B29" i="4"/>
  <c r="B27" i="4"/>
  <c r="B25" i="4"/>
  <c r="F21" i="4"/>
  <c r="B28" i="4"/>
  <c r="B26" i="4"/>
  <c r="B24" i="4"/>
  <c r="D7" i="1"/>
  <c r="B39" i="5"/>
  <c r="D10" i="1" s="1"/>
  <c r="B35" i="5"/>
  <c r="B5" i="1"/>
  <c r="B29" i="3"/>
  <c r="B27" i="3"/>
  <c r="B28" i="3"/>
  <c r="B26" i="3"/>
  <c r="B25" i="3"/>
  <c r="B24" i="3"/>
  <c r="F21" i="3"/>
  <c r="B34" i="4"/>
  <c r="D30" i="4"/>
  <c r="E30" i="4" s="1"/>
  <c r="B34" i="3"/>
  <c r="D30" i="3"/>
  <c r="E30" i="3" s="1"/>
  <c r="C32" i="6" l="1"/>
  <c r="D32" i="6"/>
  <c r="C31" i="6"/>
  <c r="D31" i="6"/>
  <c r="C30" i="6"/>
  <c r="D30" i="6"/>
  <c r="C29" i="6"/>
  <c r="D29" i="6"/>
  <c r="C28" i="6"/>
  <c r="D28" i="6"/>
  <c r="C27" i="6"/>
  <c r="D27" i="6"/>
  <c r="E7" i="1"/>
  <c r="B42" i="6"/>
  <c r="E10" i="1" s="1"/>
  <c r="B38" i="6"/>
  <c r="E37" i="6"/>
  <c r="C29" i="5"/>
  <c r="D29" i="5"/>
  <c r="C28" i="5"/>
  <c r="D28" i="5"/>
  <c r="C27" i="5"/>
  <c r="D27" i="5"/>
  <c r="C26" i="5"/>
  <c r="D26" i="5"/>
  <c r="C25" i="5"/>
  <c r="D25" i="5"/>
  <c r="C24" i="5"/>
  <c r="D24" i="5"/>
  <c r="D29" i="4"/>
  <c r="C29" i="4"/>
  <c r="C27" i="4"/>
  <c r="D27" i="4"/>
  <c r="D25" i="4"/>
  <c r="C25" i="4"/>
  <c r="D28" i="4"/>
  <c r="C28" i="4"/>
  <c r="D26" i="4"/>
  <c r="C26" i="4"/>
  <c r="D24" i="4"/>
  <c r="C24" i="4"/>
  <c r="B37" i="5"/>
  <c r="D9" i="1" s="1"/>
  <c r="B38" i="5"/>
  <c r="D11" i="1" s="1"/>
  <c r="D8" i="1"/>
  <c r="C29" i="3"/>
  <c r="D29" i="3"/>
  <c r="D27" i="3"/>
  <c r="C27" i="3"/>
  <c r="C28" i="3"/>
  <c r="D28" i="3"/>
  <c r="C26" i="3"/>
  <c r="D26" i="3"/>
  <c r="C25" i="3"/>
  <c r="D25" i="3"/>
  <c r="C24" i="3"/>
  <c r="D24" i="3"/>
  <c r="C7" i="1"/>
  <c r="B39" i="4"/>
  <c r="C10" i="1" s="1"/>
  <c r="B35" i="4"/>
  <c r="B7" i="1"/>
  <c r="B35" i="3"/>
  <c r="B39" i="3"/>
  <c r="B10" i="1" s="1"/>
  <c r="E38" i="6" l="1"/>
  <c r="B40" i="6"/>
  <c r="E9" i="1" s="1"/>
  <c r="B41" i="6"/>
  <c r="E11" i="1" s="1"/>
  <c r="E8" i="1"/>
  <c r="B38" i="4"/>
  <c r="C11" i="1" s="1"/>
  <c r="B37" i="4"/>
  <c r="C9" i="1" s="1"/>
  <c r="C8" i="1"/>
  <c r="B8" i="1"/>
  <c r="B37" i="3"/>
  <c r="B9" i="1" s="1"/>
  <c r="B38" i="3"/>
  <c r="B11" i="1" s="1"/>
</calcChain>
</file>

<file path=xl/sharedStrings.xml><?xml version="1.0" encoding="utf-8"?>
<sst xmlns="http://schemas.openxmlformats.org/spreadsheetml/2006/main" count="342" uniqueCount="127">
  <si>
    <t>RINGKASAN - BI KPw Sibolga (INTERNAL, bukan untuk klien)</t>
  </si>
  <si>
    <t>Sapa</t>
  </si>
  <si>
    <t>Tumbuh</t>
  </si>
  <si>
    <t>Seperjalanan</t>
  </si>
  <si>
    <t>Berbagi</t>
  </si>
  <si>
    <t>Harga Welcoming</t>
  </si>
  <si>
    <t>Jumlah Biaya (honor sesi Rp350k)</t>
  </si>
  <si>
    <t>After PPh 23</t>
  </si>
  <si>
    <t>AFTER COST (semua sesi dibayar honor)</t>
  </si>
  <si>
    <t>AFTER COST (in-house, honor sesi Rp0)</t>
  </si>
  <si>
    <t>% biaya operasional 3 bulan (Rp60jt) tertutup - in-house</t>
  </si>
  <si>
    <t>% biaya operasional 3 bulan tertutup - semua sesi dibayar honor</t>
  </si>
  <si>
    <t>Kontribusi laba per bulan (in-house)</t>
  </si>
  <si>
    <t>Cash saat SPK (DP 50% after PPh)</t>
  </si>
  <si>
    <t>Catatan: template ini mengikuti format costing Teman Journey (Jumlah Biaya, margin 30-150%, Nilai Akhir, After PPh, After Cost). Margin = markup terhadap biaya.</t>
  </si>
  <si>
    <t>Jika semua sesi dibayar honor, laba sangat tipis; laba nyata untuk kas bergantung pada sesi dikerjakan Vania/Kia dengan gaji tetap.</t>
  </si>
  <si>
    <t>Berbagi = isi Seperjalanan; BI membayar harga tanpa webinar, webinar tetap diberikan dan biaya produksinya ditanggung TJ (lihat tab Berbagi, blok "Investasi TJ untuk webinar").</t>
  </si>
  <si>
    <t>Assumptions (blue = input) - INTERNAL</t>
  </si>
  <si>
    <t>Harga sesi reguler</t>
  </si>
  <si>
    <t>Given</t>
  </si>
  <si>
    <t>Harga sesi tambahan</t>
  </si>
  <si>
    <t>Raised from Rp450k so Sapa (Rp500k/sesi) is not cheaper than add-ons; Kia to confirm</t>
  </si>
  <si>
    <t>Honorarium psikolog per sesi konseling</t>
  </si>
  <si>
    <t>Given by Kia: Rp350k per session</t>
  </si>
  <si>
    <t>Admin &amp; platform per sesi</t>
  </si>
  <si>
    <t>ASSUMPTION</t>
  </si>
  <si>
    <t>MHCU per orang per putaran</t>
  </si>
  <si>
    <t>Given by Kia</t>
  </si>
  <si>
    <t>Laporan agregat (per program)</t>
  </si>
  <si>
    <t>Kontrak &amp; materai</t>
  </si>
  <si>
    <t>PIC / Project Officer fee per program</t>
  </si>
  <si>
    <t>Fill in if Vania/PO is paid per project (template pays PO)</t>
  </si>
  <si>
    <t>Honorarium psikoedukasi (narasumber)</t>
  </si>
  <si>
    <t>Fill in; Kia delivers, set 0 = in opex</t>
  </si>
  <si>
    <t>PPh 23</t>
  </si>
  <si>
    <t>Withheld by BI (matches your sheet: 93,000,000 -&gt; 91,140,000)</t>
  </si>
  <si>
    <t>Sesi per pegawai</t>
  </si>
  <si>
    <t>Biaya operasional bulanan</t>
  </si>
  <si>
    <t>Harga add-on: hasil MHCU individual / pegawai</t>
  </si>
  <si>
    <t>Nilai normal: 1 putaran MHCU</t>
  </si>
  <si>
    <t>For proposal value only</t>
  </si>
  <si>
    <t>Nilai normal: laporan agregat</t>
  </si>
  <si>
    <t>Nilai normal: 1 sesi psikoedukasi</t>
  </si>
  <si>
    <t>ASSUMPTION, unconfirmed</t>
  </si>
  <si>
    <t>Masa paket (bulan)</t>
  </si>
  <si>
    <t>Confirmed: 3 months from SPK</t>
  </si>
  <si>
    <t>Webinar: platform kapasitas besar (Zoom Webinar / add-on) per event</t>
  </si>
  <si>
    <t>ASSUMPTION: ~US$79 Zoom Webinars 500 for 1 month; set 0 if existing Zoom Pro (100 orang) is enough</t>
  </si>
  <si>
    <t>Webinar: desain poster, materi slide &amp; e-sertifikat per event</t>
  </si>
  <si>
    <t>ASSUMPTION: freelance/Canva time; confirm with team</t>
  </si>
  <si>
    <t>Webinar: host/moderator &amp; operator teknis per event</t>
  </si>
  <si>
    <t>ASSUMPTION: set 0 if Vania hosts in-house</t>
  </si>
  <si>
    <t>INTERNAL COSTING - Paket Sapa - BI KPw Sibolga (Konseling Online, 3 bulan)</t>
  </si>
  <si>
    <t>Input paket</t>
  </si>
  <si>
    <t>Jumlah sesi</t>
  </si>
  <si>
    <t>Nilai normal (reguler)</t>
  </si>
  <si>
    <t>Putaran MHCU</t>
  </si>
  <si>
    <t>Hemat untuk BI (Rp)</t>
  </si>
  <si>
    <t>Laporan agregat (1=ya)</t>
  </si>
  <si>
    <t>Hemat untuk BI (%)</t>
  </si>
  <si>
    <t>Hasil MHCU individual (1=ya)</t>
  </si>
  <si>
    <t>Harga paket per sesi konseling</t>
  </si>
  <si>
    <t>Sesi psikoedukasi</t>
  </si>
  <si>
    <t>Harga Welcoming Package</t>
  </si>
  <si>
    <t>Pegawai terlayani (sesi / sesi per pegawai)</t>
  </si>
  <si>
    <t>Kategori</t>
  </si>
  <si>
    <t>Item</t>
  </si>
  <si>
    <t>Keterangan</t>
  </si>
  <si>
    <t>Qty</t>
  </si>
  <si>
    <t>Harga satuan</t>
  </si>
  <si>
    <t>Total</t>
  </si>
  <si>
    <t>Konseling</t>
  </si>
  <si>
    <t>Honorarium psikolog konseling</t>
  </si>
  <si>
    <t>sesi 60 menit</t>
  </si>
  <si>
    <t>Admin &amp; platform (jadwal, reminder, Zoom)</t>
  </si>
  <si>
    <t>sesi</t>
  </si>
  <si>
    <t>MHCU</t>
  </si>
  <si>
    <t>MHCU (putaran x pegawai)</t>
  </si>
  <si>
    <t>orang x putaran</t>
  </si>
  <si>
    <t>Laporan</t>
  </si>
  <si>
    <t>Laporan agregat anonim</t>
  </si>
  <si>
    <t>program</t>
  </si>
  <si>
    <t>Psikoedukasi</t>
  </si>
  <si>
    <t>Narasumber psikoedukasi online</t>
  </si>
  <si>
    <t>Lain-lain</t>
  </si>
  <si>
    <t>PIC / Project Officer</t>
  </si>
  <si>
    <t>deal</t>
  </si>
  <si>
    <t>Jumlah Biaya</t>
  </si>
  <si>
    <t>Total cost per peserta</t>
  </si>
  <si>
    <t>Margin (markup)</t>
  </si>
  <si>
    <t>Total Harga Program</t>
  </si>
  <si>
    <t>Harga per Peserta</t>
  </si>
  <si>
    <t>Margin (Rp)</t>
  </si>
  <si>
    <t>&lt;- markup vs biaya</t>
  </si>
  <si>
    <t>NILAI AKHIR</t>
  </si>
  <si>
    <t>AFTER PAJAK PPH</t>
  </si>
  <si>
    <t>AFTER COST</t>
  </si>
  <si>
    <t>AFTER COST - jika sesi oleh Vania/Kia (gaji tetap, honor sesi Rp0)</t>
  </si>
  <si>
    <t>Biaya operasional selama masa paket (Rp20jt x 3 bulan)</t>
  </si>
  <si>
    <t>% biaya operasional 3 bulan tertutup (in-house)</t>
  </si>
  <si>
    <t>% biaya operasional 3 bulan tertutup (semua sesi dibayar honor)</t>
  </si>
  <si>
    <t>Untuk Proposal</t>
  </si>
  <si>
    <t>Fasilitas yang didapatkan</t>
  </si>
  <si>
    <t>Harga Program</t>
  </si>
  <si>
    <t>Ketentuan</t>
  </si>
  <si>
    <t>Berlaku 3 bulan sejak SPK; SPK paling lambat 31 Okt 2026</t>
  </si>
  <si>
    <t>INTERNAL COSTING - Paket Tumbuh - BI KPw Sibolga (Konseling Online, 3 bulan)</t>
  </si>
  <si>
    <t>Screening</t>
  </si>
  <si>
    <t>INTERNAL COSTING - Paket Seperjalanan - BI KPw Sibolga (Konseling Online, 3 bulan)</t>
  </si>
  <si>
    <t>Laporan agregat anonim dengan perbandingan pre/post</t>
  </si>
  <si>
    <t>Hasil MHCU individual untuk pegawai</t>
  </si>
  <si>
    <t>1 sesi psikoedukasi online</t>
  </si>
  <si>
    <t>INTERNAL COSTING - Paket Berbagi - BI KPw Sibolga (Seperjalanan + webinar ditanggung TJ, 3 bulan)</t>
  </si>
  <si>
    <t>Harga Seperjalanan Rp23jt dikurangi nilai normal webinar Rp3jt: BI membayar versi tanpa webinar, webinar diberikan TJ</t>
  </si>
  <si>
    <t>Narasumber webinar psikoedukasi online</t>
  </si>
  <si>
    <t>Webinar (TJ)</t>
  </si>
  <si>
    <t>Platform webinar kapasitas besar</t>
  </si>
  <si>
    <t>event</t>
  </si>
  <si>
    <t>Desain poster, materi &amp; e-sertifikat</t>
  </si>
  <si>
    <t>Host/moderator &amp; operator teknis</t>
  </si>
  <si>
    <t>Investasi TJ untuk webinar</t>
  </si>
  <si>
    <t>Biaya produksi webinar ditanggung TJ</t>
  </si>
  <si>
    <t>Nilai normal webinar yang diberikan gratis</t>
  </si>
  <si>
    <t>AFTER COST vs Seperjalanan (honor dibayar)</t>
  </si>
  <si>
    <t>AFTER COST vs Seperjalanan (in-house)</t>
  </si>
  <si>
    <t>Webinar (bonus)</t>
  </si>
  <si>
    <t>1 sesi webinar psikoedukasi online untuk seluruh pegawai - bonus dari Teman Journey, tidak ditagihkan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</si>
</sst>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;&quot;(Rp&quot;#,##0\);\-"/>
    <numFmt numFmtId="165" formatCode="0.0%"/>
    <numFmt numFmtId="166" formatCode="0.0"/>
  </numFmts>
  <fonts count="12" x14ac:knownFonts="1">
    <font>
      <sz val="11"/>
      <color theme="1"/>
      <name val="Calibri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444444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6AFF4D"/>
        <bgColor rgb="FF6AFF4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2"/>
  </cellStyleXfs>
  <cellXfs count="37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4" fillId="0" borderId="0" xfId="0" applyFont="1" applyBorder="1"/>
    <xf numFmtId="0" fontId="3" fillId="0" borderId="0" xfId="0" applyFont="1" applyBorder="1"/>
    <xf numFmtId="164" fontId="5" fillId="3" borderId="2" xfId="0" applyNumberFormat="1" applyFont="1" applyFill="1"/>
    <xf numFmtId="0" fontId="6" fillId="0" borderId="0" xfId="0" applyFont="1" applyBorder="1"/>
    <xf numFmtId="165" fontId="5" fillId="3" borderId="2" xfId="0" applyNumberFormat="1" applyFont="1" applyFill="1"/>
    <xf numFmtId="1" fontId="5" fillId="3" borderId="2" xfId="0" applyNumberFormat="1" applyFont="1" applyFill="1"/>
    <xf numFmtId="0" fontId="2" fillId="0" borderId="0" xfId="0" applyFont="1" applyBorder="1"/>
    <xf numFmtId="0" fontId="3" fillId="0" borderId="1" xfId="0" applyFont="1" applyBorder="1"/>
    <xf numFmtId="1" fontId="5" fillId="3" borderId="1" xfId="0" applyNumberFormat="1" applyFont="1" applyFill="1" applyBorder="1"/>
    <xf numFmtId="165" fontId="3" fillId="0" borderId="1" xfId="0" applyNumberFormat="1" applyFont="1" applyBorder="1"/>
    <xf numFmtId="164" fontId="5" fillId="3" borderId="1" xfId="0" applyNumberFormat="1" applyFont="1" applyFill="1" applyBorder="1"/>
    <xf numFmtId="166" fontId="3" fillId="0" borderId="1" xfId="0" applyNumberFormat="1" applyFont="1" applyBorder="1"/>
    <xf numFmtId="3" fontId="3" fillId="0" borderId="1" xfId="0" applyNumberFormat="1" applyFont="1" applyBorder="1"/>
    <xf numFmtId="164" fontId="2" fillId="4" borderId="1" xfId="0" applyNumberFormat="1" applyFont="1" applyFill="1" applyBorder="1"/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center" wrapText="1"/>
    </xf>
    <xf numFmtId="9" fontId="5" fillId="3" borderId="1" xfId="0" applyNumberFormat="1" applyFont="1" applyFill="1" applyBorder="1"/>
    <xf numFmtId="164" fontId="3" fillId="3" borderId="1" xfId="0" applyNumberFormat="1" applyFont="1" applyFill="1" applyBorder="1"/>
    <xf numFmtId="164" fontId="3" fillId="5" borderId="1" xfId="0" applyNumberFormat="1" applyFont="1" applyFill="1" applyBorder="1"/>
    <xf numFmtId="164" fontId="2" fillId="3" borderId="1" xfId="0" applyNumberFormat="1" applyFont="1" applyFill="1" applyBorder="1"/>
    <xf numFmtId="164" fontId="2" fillId="5" borderId="1" xfId="0" applyNumberFormat="1" applyFont="1" applyFill="1" applyBorder="1"/>
    <xf numFmtId="9" fontId="2" fillId="0" borderId="1" xfId="0" applyNumberFormat="1" applyFont="1" applyBorder="1"/>
    <xf numFmtId="0" fontId="7" fillId="0" borderId="0" xfId="0" applyFont="1" applyBorder="1"/>
    <xf numFmtId="164" fontId="8" fillId="0" borderId="1" xfId="0" applyNumberFormat="1" applyFont="1" applyBorder="1"/>
    <xf numFmtId="164" fontId="8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9" fillId="0" borderId="1" xfId="0" applyFont="1" applyBorder="1"/>
    <xf numFmtId="0" fontId="11" fillId="0" borderId="0" xfId="0" applyFont="1" applyBorder="1"/>
    <xf numFmtId="164" fontId="10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baseColWidth="10" defaultColWidth="14.5" defaultRowHeight="15" customHeight="1" x14ac:dyDescent="0.2"/>
  <cols>
    <col min="1" max="1" width="50" customWidth="1"/>
    <col min="2" max="3" width="20" customWidth="1"/>
    <col min="4" max="26" width="13" customWidth="1"/>
  </cols>
  <sheetData>
    <row r="1" spans="1:5" ht="17" customHeight="1" x14ac:dyDescent="0.2">
      <c r="A1" s="1" t="s">
        <v>0</v>
      </c>
    </row>
    <row r="3" spans="1:5" x14ac:dyDescent="0.2">
      <c r="A3" s="2"/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">
      <c r="A4" s="3" t="s">
        <v>5</v>
      </c>
      <c r="B4" s="4">
        <f>Sapa!B9</f>
        <v>7500000</v>
      </c>
      <c r="C4" s="4">
        <f>Tumbuh!B9</f>
        <v>14000000</v>
      </c>
      <c r="D4" s="4">
        <f>Seperjalanan!B9</f>
        <v>23000000</v>
      </c>
      <c r="E4" s="4">
        <f>Berbagi!B9</f>
        <v>20000000</v>
      </c>
    </row>
    <row r="5" spans="1:5" x14ac:dyDescent="0.2">
      <c r="A5" s="3" t="s">
        <v>6</v>
      </c>
      <c r="B5" s="4">
        <f>Sapa!F20</f>
        <v>5925000</v>
      </c>
      <c r="C5" s="4">
        <f>Tumbuh!F20</f>
        <v>10700000</v>
      </c>
      <c r="D5" s="4">
        <f>Seperjalanan!F20</f>
        <v>16440000</v>
      </c>
      <c r="E5" s="4">
        <f>Berbagi!F23</f>
        <v>18740000</v>
      </c>
    </row>
    <row r="6" spans="1:5" x14ac:dyDescent="0.2">
      <c r="A6" s="3" t="s">
        <v>7</v>
      </c>
      <c r="B6" s="4">
        <f>Sapa!B33</f>
        <v>7350000</v>
      </c>
      <c r="C6" s="4">
        <f>Tumbuh!B33</f>
        <v>13720000</v>
      </c>
      <c r="D6" s="4">
        <f>Seperjalanan!B33</f>
        <v>22540000</v>
      </c>
      <c r="E6" s="4">
        <f>Berbagi!B36</f>
        <v>19600000</v>
      </c>
    </row>
    <row r="7" spans="1:5" x14ac:dyDescent="0.2">
      <c r="A7" s="3" t="s">
        <v>8</v>
      </c>
      <c r="B7" s="4">
        <f>Sapa!B34</f>
        <v>1425000</v>
      </c>
      <c r="C7" s="4">
        <f>Tumbuh!B34</f>
        <v>3020000</v>
      </c>
      <c r="D7" s="4">
        <f>Seperjalanan!B34</f>
        <v>6100000</v>
      </c>
      <c r="E7" s="4">
        <f>Berbagi!B37</f>
        <v>860000</v>
      </c>
    </row>
    <row r="8" spans="1:5" x14ac:dyDescent="0.2">
      <c r="A8" s="3" t="s">
        <v>9</v>
      </c>
      <c r="B8" s="4">
        <f>Sapa!B35</f>
        <v>6675000</v>
      </c>
      <c r="C8" s="4">
        <f>Tumbuh!B35</f>
        <v>11420000</v>
      </c>
      <c r="D8" s="4">
        <f>Seperjalanan!B35</f>
        <v>18700000</v>
      </c>
      <c r="E8" s="4">
        <f>Berbagi!B38</f>
        <v>13460000</v>
      </c>
    </row>
    <row r="9" spans="1:5" x14ac:dyDescent="0.2">
      <c r="A9" s="3" t="s">
        <v>10</v>
      </c>
      <c r="B9" s="5">
        <f>Sapa!B37</f>
        <v>0.11125</v>
      </c>
      <c r="C9" s="5">
        <f>Tumbuh!B37</f>
        <v>0.19033333333333333</v>
      </c>
      <c r="D9" s="5">
        <f>Seperjalanan!B37</f>
        <v>0.31166666666666665</v>
      </c>
      <c r="E9" s="5">
        <f>Berbagi!B40</f>
        <v>0.22433333333333333</v>
      </c>
    </row>
    <row r="10" spans="1:5" x14ac:dyDescent="0.2">
      <c r="A10" s="3" t="s">
        <v>11</v>
      </c>
      <c r="B10" s="5">
        <f>Sapa!B39</f>
        <v>2.375E-2</v>
      </c>
      <c r="C10" s="5">
        <f>Tumbuh!B39</f>
        <v>5.0333333333333334E-2</v>
      </c>
      <c r="D10" s="5">
        <f>Seperjalanan!B39</f>
        <v>0.10166666666666667</v>
      </c>
      <c r="E10" s="5">
        <f>Berbagi!B42</f>
        <v>1.4333333333333333E-2</v>
      </c>
    </row>
    <row r="11" spans="1:5" x14ac:dyDescent="0.2">
      <c r="A11" s="3" t="s">
        <v>12</v>
      </c>
      <c r="B11" s="4">
        <f>Sapa!B38</f>
        <v>2225000</v>
      </c>
      <c r="C11" s="4">
        <f>Tumbuh!B38</f>
        <v>3806666.6666666665</v>
      </c>
      <c r="D11" s="4">
        <f>Seperjalanan!B38</f>
        <v>6233333.333333333</v>
      </c>
      <c r="E11" s="4">
        <f>Berbagi!B41</f>
        <v>4486666.666666667</v>
      </c>
    </row>
    <row r="12" spans="1:5" x14ac:dyDescent="0.2">
      <c r="A12" s="3" t="s">
        <v>13</v>
      </c>
      <c r="B12" s="4">
        <f>Sapa!B33*0.5</f>
        <v>3675000</v>
      </c>
      <c r="C12" s="4">
        <f>Tumbuh!B33*0.5</f>
        <v>6860000</v>
      </c>
      <c r="D12" s="4">
        <f>Seperjalanan!B33*0.5</f>
        <v>11270000</v>
      </c>
      <c r="E12" s="4">
        <f>Berbagi!B36*0.5</f>
        <v>9800000</v>
      </c>
    </row>
    <row r="15" spans="1:5" x14ac:dyDescent="0.2">
      <c r="A15" s="6" t="s">
        <v>14</v>
      </c>
    </row>
    <row r="16" spans="1:5" x14ac:dyDescent="0.2">
      <c r="A16" s="6" t="s">
        <v>15</v>
      </c>
    </row>
    <row r="17" spans="1:1" x14ac:dyDescent="0.2">
      <c r="A17" s="6" t="s">
        <v>16</v>
      </c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1" width="48" customWidth="1"/>
    <col min="2" max="2" width="16" customWidth="1"/>
    <col min="3" max="3" width="70" customWidth="1"/>
    <col min="4" max="26" width="8.6640625" customWidth="1"/>
  </cols>
  <sheetData>
    <row r="1" spans="1:3" ht="17" customHeight="1" x14ac:dyDescent="0.2">
      <c r="A1" s="1" t="s">
        <v>17</v>
      </c>
    </row>
    <row r="3" spans="1:3" x14ac:dyDescent="0.2">
      <c r="A3" s="7" t="s">
        <v>18</v>
      </c>
      <c r="B3" s="8">
        <v>500000</v>
      </c>
      <c r="C3" s="9" t="s">
        <v>19</v>
      </c>
    </row>
    <row r="4" spans="1:3" x14ac:dyDescent="0.2">
      <c r="A4" s="7" t="s">
        <v>20</v>
      </c>
      <c r="B4" s="8">
        <v>500000</v>
      </c>
      <c r="C4" s="9" t="s">
        <v>21</v>
      </c>
    </row>
    <row r="5" spans="1:3" x14ac:dyDescent="0.2">
      <c r="A5" s="7" t="s">
        <v>22</v>
      </c>
      <c r="B5" s="8">
        <v>350000</v>
      </c>
      <c r="C5" s="9" t="s">
        <v>23</v>
      </c>
    </row>
    <row r="6" spans="1:3" x14ac:dyDescent="0.2">
      <c r="A6" s="7" t="s">
        <v>24</v>
      </c>
      <c r="B6" s="8">
        <v>35000</v>
      </c>
      <c r="C6" s="9" t="s">
        <v>25</v>
      </c>
    </row>
    <row r="7" spans="1:3" x14ac:dyDescent="0.2">
      <c r="A7" s="7" t="s">
        <v>26</v>
      </c>
      <c r="B7" s="8">
        <v>70000</v>
      </c>
      <c r="C7" s="9" t="s">
        <v>27</v>
      </c>
    </row>
    <row r="8" spans="1:3" x14ac:dyDescent="0.2">
      <c r="A8" s="7" t="s">
        <v>28</v>
      </c>
      <c r="B8" s="8">
        <v>750000</v>
      </c>
      <c r="C8" s="9" t="s">
        <v>25</v>
      </c>
    </row>
    <row r="9" spans="1:3" x14ac:dyDescent="0.2">
      <c r="A9" s="7" t="s">
        <v>29</v>
      </c>
      <c r="B9" s="8">
        <v>150000</v>
      </c>
      <c r="C9" s="9" t="s">
        <v>25</v>
      </c>
    </row>
    <row r="10" spans="1:3" x14ac:dyDescent="0.2">
      <c r="A10" s="7" t="s">
        <v>30</v>
      </c>
      <c r="B10" s="8">
        <v>0</v>
      </c>
      <c r="C10" s="9" t="s">
        <v>31</v>
      </c>
    </row>
    <row r="11" spans="1:3" x14ac:dyDescent="0.2">
      <c r="A11" s="7" t="s">
        <v>32</v>
      </c>
      <c r="B11" s="8">
        <v>0</v>
      </c>
      <c r="C11" s="9" t="s">
        <v>33</v>
      </c>
    </row>
    <row r="12" spans="1:3" x14ac:dyDescent="0.2">
      <c r="A12" s="7" t="s">
        <v>34</v>
      </c>
      <c r="B12" s="10">
        <v>0.02</v>
      </c>
      <c r="C12" s="9" t="s">
        <v>35</v>
      </c>
    </row>
    <row r="13" spans="1:3" x14ac:dyDescent="0.2">
      <c r="A13" s="7" t="s">
        <v>36</v>
      </c>
      <c r="B13" s="11">
        <v>3</v>
      </c>
      <c r="C13" s="9" t="s">
        <v>25</v>
      </c>
    </row>
    <row r="14" spans="1:3" x14ac:dyDescent="0.2">
      <c r="A14" s="7" t="s">
        <v>37</v>
      </c>
      <c r="B14" s="8">
        <v>20000000</v>
      </c>
      <c r="C14" s="9" t="s">
        <v>19</v>
      </c>
    </row>
    <row r="15" spans="1:3" x14ac:dyDescent="0.2">
      <c r="A15" s="7" t="s">
        <v>38</v>
      </c>
      <c r="B15" s="8">
        <v>70000</v>
      </c>
      <c r="C15" s="9" t="s">
        <v>19</v>
      </c>
    </row>
    <row r="16" spans="1:3" x14ac:dyDescent="0.2">
      <c r="A16" s="7" t="s">
        <v>39</v>
      </c>
      <c r="B16" s="8">
        <v>2500000</v>
      </c>
      <c r="C16" s="9" t="s">
        <v>40</v>
      </c>
    </row>
    <row r="17" spans="1:3" x14ac:dyDescent="0.2">
      <c r="A17" s="7" t="s">
        <v>41</v>
      </c>
      <c r="B17" s="8">
        <v>2000000</v>
      </c>
      <c r="C17" s="9" t="s">
        <v>40</v>
      </c>
    </row>
    <row r="18" spans="1:3" x14ac:dyDescent="0.2">
      <c r="A18" s="7" t="s">
        <v>42</v>
      </c>
      <c r="B18" s="8">
        <v>3000000</v>
      </c>
      <c r="C18" s="9" t="s">
        <v>43</v>
      </c>
    </row>
    <row r="19" spans="1:3" x14ac:dyDescent="0.2">
      <c r="A19" s="7" t="s">
        <v>44</v>
      </c>
      <c r="B19" s="11">
        <v>3</v>
      </c>
      <c r="C19" s="9" t="s">
        <v>45</v>
      </c>
    </row>
    <row r="20" spans="1:3" x14ac:dyDescent="0.2">
      <c r="A20" s="7" t="s">
        <v>46</v>
      </c>
      <c r="B20" s="8">
        <v>1300000</v>
      </c>
      <c r="C20" s="9" t="s">
        <v>47</v>
      </c>
    </row>
    <row r="21" spans="1:3" ht="15.75" customHeight="1" x14ac:dyDescent="0.2">
      <c r="A21" s="7" t="s">
        <v>48</v>
      </c>
      <c r="B21" s="8">
        <v>500000</v>
      </c>
      <c r="C21" s="9" t="s">
        <v>49</v>
      </c>
    </row>
    <row r="22" spans="1:3" ht="15.75" customHeight="1" x14ac:dyDescent="0.2">
      <c r="A22" s="7" t="s">
        <v>50</v>
      </c>
      <c r="B22" s="8">
        <v>500000</v>
      </c>
      <c r="C22" s="9" t="s">
        <v>51</v>
      </c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52</v>
      </c>
    </row>
    <row r="3" spans="1:6" x14ac:dyDescent="0.2">
      <c r="A3" s="12" t="s">
        <v>53</v>
      </c>
    </row>
    <row r="4" spans="1:6" x14ac:dyDescent="0.2">
      <c r="A4" s="13" t="s">
        <v>54</v>
      </c>
      <c r="B4" s="14">
        <v>15</v>
      </c>
      <c r="D4" s="3" t="s">
        <v>55</v>
      </c>
      <c r="E4" s="4">
        <f>B4*Assumptions!$B$3+B5*Assumptions!$B$16+B6*Assumptions!$B$17+B8*Assumptions!$B$18</f>
        <v>7500000</v>
      </c>
    </row>
    <row r="5" spans="1:6" x14ac:dyDescent="0.2">
      <c r="A5" s="13" t="s">
        <v>56</v>
      </c>
      <c r="B5" s="14">
        <v>0</v>
      </c>
      <c r="D5" s="3" t="s">
        <v>57</v>
      </c>
      <c r="E5" s="4">
        <f>E4-B9</f>
        <v>0</v>
      </c>
    </row>
    <row r="6" spans="1:6" x14ac:dyDescent="0.2">
      <c r="A6" s="13" t="s">
        <v>58</v>
      </c>
      <c r="B6" s="14">
        <v>0</v>
      </c>
      <c r="D6" s="3" t="s">
        <v>59</v>
      </c>
      <c r="E6" s="15">
        <f>E5/E4</f>
        <v>0</v>
      </c>
    </row>
    <row r="7" spans="1:6" x14ac:dyDescent="0.2">
      <c r="A7" s="13" t="s">
        <v>60</v>
      </c>
      <c r="B7" s="14">
        <v>0</v>
      </c>
      <c r="D7" s="3" t="s">
        <v>61</v>
      </c>
      <c r="E7" s="4">
        <f>B9/B4</f>
        <v>500000</v>
      </c>
    </row>
    <row r="8" spans="1:6" x14ac:dyDescent="0.2">
      <c r="A8" s="13" t="s">
        <v>62</v>
      </c>
      <c r="B8" s="14">
        <v>0</v>
      </c>
    </row>
    <row r="9" spans="1:6" x14ac:dyDescent="0.2">
      <c r="A9" s="13" t="s">
        <v>63</v>
      </c>
      <c r="B9" s="16">
        <v>7500000</v>
      </c>
    </row>
    <row r="10" spans="1:6" x14ac:dyDescent="0.2">
      <c r="A10" s="13" t="s">
        <v>64</v>
      </c>
      <c r="B10" s="17">
        <f>B4/Assumptions!$B$13</f>
        <v>5</v>
      </c>
    </row>
    <row r="12" spans="1:6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x14ac:dyDescent="0.2">
      <c r="A13" s="13" t="s">
        <v>71</v>
      </c>
      <c r="B13" s="13" t="s">
        <v>72</v>
      </c>
      <c r="C13" s="13" t="s">
        <v>73</v>
      </c>
      <c r="D13" s="18">
        <f>B4</f>
        <v>15</v>
      </c>
      <c r="E13" s="4">
        <f>Assumptions!$B$5</f>
        <v>350000</v>
      </c>
      <c r="F13" s="4">
        <f t="shared" ref="F13:F19" si="0">D13*E13</f>
        <v>5250000</v>
      </c>
    </row>
    <row r="14" spans="1:6" x14ac:dyDescent="0.2">
      <c r="A14" s="13" t="s">
        <v>71</v>
      </c>
      <c r="B14" s="13" t="s">
        <v>74</v>
      </c>
      <c r="C14" s="13" t="s">
        <v>75</v>
      </c>
      <c r="D14" s="18">
        <f>B4</f>
        <v>15</v>
      </c>
      <c r="E14" s="4">
        <f>Assumptions!$B$6</f>
        <v>35000</v>
      </c>
      <c r="F14" s="4">
        <f t="shared" si="0"/>
        <v>525000</v>
      </c>
    </row>
    <row r="15" spans="1:6" x14ac:dyDescent="0.2">
      <c r="A15" s="13" t="s">
        <v>76</v>
      </c>
      <c r="B15" s="13" t="s">
        <v>77</v>
      </c>
      <c r="C15" s="13" t="s">
        <v>78</v>
      </c>
      <c r="D15" s="18">
        <f>B5*B10</f>
        <v>0</v>
      </c>
      <c r="E15" s="4">
        <f>Assumptions!$B$7</f>
        <v>70000</v>
      </c>
      <c r="F15" s="4">
        <f t="shared" si="0"/>
        <v>0</v>
      </c>
    </row>
    <row r="16" spans="1:6" x14ac:dyDescent="0.2">
      <c r="A16" s="13" t="s">
        <v>79</v>
      </c>
      <c r="B16" s="13" t="s">
        <v>80</v>
      </c>
      <c r="C16" s="13" t="s">
        <v>81</v>
      </c>
      <c r="D16" s="18">
        <f>B6</f>
        <v>0</v>
      </c>
      <c r="E16" s="4">
        <f>Assumptions!$B$8</f>
        <v>750000</v>
      </c>
      <c r="F16" s="4">
        <f t="shared" si="0"/>
        <v>0</v>
      </c>
    </row>
    <row r="17" spans="1:6" x14ac:dyDescent="0.2">
      <c r="A17" s="13" t="s">
        <v>82</v>
      </c>
      <c r="B17" s="13" t="s">
        <v>83</v>
      </c>
      <c r="C17" s="13" t="s">
        <v>75</v>
      </c>
      <c r="D17" s="18">
        <f>B8</f>
        <v>0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84</v>
      </c>
      <c r="B18" s="13" t="s">
        <v>85</v>
      </c>
      <c r="C18" s="13" t="s">
        <v>81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84</v>
      </c>
      <c r="B19" s="13" t="s">
        <v>29</v>
      </c>
      <c r="C19" s="13" t="s">
        <v>86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87</v>
      </c>
      <c r="F20" s="19">
        <f>SUM(F13:F19)</f>
        <v>5925000</v>
      </c>
    </row>
    <row r="21" spans="1:6" ht="15.75" customHeight="1" x14ac:dyDescent="0.2">
      <c r="E21" s="3" t="s">
        <v>88</v>
      </c>
      <c r="F21" s="20">
        <f>F20/B10</f>
        <v>1185000</v>
      </c>
    </row>
    <row r="22" spans="1:6" ht="15.75" customHeight="1" x14ac:dyDescent="0.2"/>
    <row r="23" spans="1:6" ht="15.75" customHeight="1" x14ac:dyDescent="0.2">
      <c r="A23" s="21" t="s">
        <v>89</v>
      </c>
      <c r="B23" s="21" t="s">
        <v>90</v>
      </c>
      <c r="C23" s="21" t="s">
        <v>91</v>
      </c>
      <c r="D23" s="21" t="s">
        <v>92</v>
      </c>
    </row>
    <row r="24" spans="1:6" ht="15.75" customHeight="1" x14ac:dyDescent="0.2">
      <c r="A24" s="22">
        <v>0.3</v>
      </c>
      <c r="B24" s="23">
        <f t="shared" ref="B24:B29" si="1">$F$20*(1+A24)</f>
        <v>7702500</v>
      </c>
      <c r="C24" s="4">
        <f t="shared" ref="C24:C29" si="2">B24/$B$10</f>
        <v>1540500</v>
      </c>
      <c r="D24" s="24">
        <f t="shared" ref="D24:D29" si="3">B24-$F$20</f>
        <v>1777500</v>
      </c>
    </row>
    <row r="25" spans="1:6" ht="15.75" customHeight="1" x14ac:dyDescent="0.2">
      <c r="A25" s="22">
        <v>0.4</v>
      </c>
      <c r="B25" s="23">
        <f t="shared" si="1"/>
        <v>8294999.9999999991</v>
      </c>
      <c r="C25" s="4">
        <f t="shared" si="2"/>
        <v>1658999.9999999998</v>
      </c>
      <c r="D25" s="24">
        <f t="shared" si="3"/>
        <v>2369999.9999999991</v>
      </c>
    </row>
    <row r="26" spans="1:6" ht="15.75" customHeight="1" x14ac:dyDescent="0.2">
      <c r="A26" s="22">
        <v>0.5</v>
      </c>
      <c r="B26" s="23">
        <f t="shared" si="1"/>
        <v>8887500</v>
      </c>
      <c r="C26" s="4">
        <f t="shared" si="2"/>
        <v>1777500</v>
      </c>
      <c r="D26" s="24">
        <f t="shared" si="3"/>
        <v>2962500</v>
      </c>
    </row>
    <row r="27" spans="1:6" ht="15.75" customHeight="1" x14ac:dyDescent="0.2">
      <c r="A27" s="22">
        <v>0.8</v>
      </c>
      <c r="B27" s="23">
        <f t="shared" si="1"/>
        <v>10665000</v>
      </c>
      <c r="C27" s="4">
        <f t="shared" si="2"/>
        <v>2133000</v>
      </c>
      <c r="D27" s="24">
        <f t="shared" si="3"/>
        <v>4740000</v>
      </c>
    </row>
    <row r="28" spans="1:6" ht="15.75" customHeight="1" x14ac:dyDescent="0.2">
      <c r="A28" s="22">
        <v>1</v>
      </c>
      <c r="B28" s="23">
        <f t="shared" si="1"/>
        <v>11850000</v>
      </c>
      <c r="C28" s="4">
        <f t="shared" si="2"/>
        <v>2370000</v>
      </c>
      <c r="D28" s="24">
        <f t="shared" si="3"/>
        <v>5925000</v>
      </c>
    </row>
    <row r="29" spans="1:6" ht="15.75" customHeight="1" x14ac:dyDescent="0.2">
      <c r="A29" s="22">
        <v>1.5</v>
      </c>
      <c r="B29" s="23">
        <f t="shared" si="1"/>
        <v>14812500</v>
      </c>
      <c r="C29" s="4">
        <f t="shared" si="2"/>
        <v>2962500</v>
      </c>
      <c r="D29" s="24">
        <f t="shared" si="3"/>
        <v>8887500</v>
      </c>
    </row>
    <row r="30" spans="1:6" ht="15.75" customHeight="1" x14ac:dyDescent="0.2">
      <c r="A30" s="3" t="s">
        <v>5</v>
      </c>
      <c r="B30" s="25">
        <f>B9</f>
        <v>7500000</v>
      </c>
      <c r="C30" s="20">
        <f>B30/B10</f>
        <v>1500000</v>
      </c>
      <c r="D30" s="26">
        <f>B30-F20</f>
        <v>1575000</v>
      </c>
      <c r="E30" s="27">
        <f>D30/F20</f>
        <v>0.26582278481012656</v>
      </c>
      <c r="F30" s="28" t="s">
        <v>93</v>
      </c>
    </row>
    <row r="31" spans="1:6" ht="15.75" customHeight="1" x14ac:dyDescent="0.2"/>
    <row r="32" spans="1:6" ht="15.75" customHeight="1" x14ac:dyDescent="0.2">
      <c r="A32" s="3" t="s">
        <v>94</v>
      </c>
      <c r="B32" s="29">
        <f>B9</f>
        <v>7500000</v>
      </c>
    </row>
    <row r="33" spans="1:3" ht="15.75" customHeight="1" x14ac:dyDescent="0.2">
      <c r="A33" s="3" t="s">
        <v>95</v>
      </c>
      <c r="B33" s="29">
        <f>B9*(1-Assumptions!$B$12)</f>
        <v>7350000</v>
      </c>
    </row>
    <row r="34" spans="1:3" ht="15.75" customHeight="1" x14ac:dyDescent="0.2">
      <c r="A34" s="3" t="s">
        <v>96</v>
      </c>
      <c r="B34" s="30">
        <f>B33-F20</f>
        <v>1425000</v>
      </c>
    </row>
    <row r="35" spans="1:3" ht="15.75" customHeight="1" x14ac:dyDescent="0.2">
      <c r="A35" s="31" t="s">
        <v>97</v>
      </c>
      <c r="B35" s="30">
        <f>B34+F13</f>
        <v>6675000</v>
      </c>
    </row>
    <row r="36" spans="1:3" ht="15.75" customHeight="1" x14ac:dyDescent="0.2">
      <c r="A36" s="13" t="s">
        <v>98</v>
      </c>
      <c r="B36" s="4">
        <f>Assumptions!$B$14*Assumptions!$B$19</f>
        <v>60000000</v>
      </c>
    </row>
    <row r="37" spans="1:3" ht="15.75" customHeight="1" x14ac:dyDescent="0.2">
      <c r="A37" s="13" t="s">
        <v>99</v>
      </c>
      <c r="B37" s="5">
        <f>B35/B36</f>
        <v>0.11125</v>
      </c>
    </row>
    <row r="38" spans="1:3" ht="15.75" customHeight="1" x14ac:dyDescent="0.2">
      <c r="A38" s="13" t="s">
        <v>12</v>
      </c>
      <c r="B38" s="4">
        <f>B35/Assumptions!$B$19</f>
        <v>2225000</v>
      </c>
    </row>
    <row r="39" spans="1:3" ht="15.75" customHeight="1" x14ac:dyDescent="0.2">
      <c r="A39" s="13" t="s">
        <v>100</v>
      </c>
      <c r="B39" s="5">
        <f>B34/B36</f>
        <v>2.375E-2</v>
      </c>
    </row>
    <row r="40" spans="1:3" ht="15.75" customHeight="1" x14ac:dyDescent="0.2"/>
    <row r="41" spans="1:3" ht="15.75" customHeight="1" x14ac:dyDescent="0.2">
      <c r="A41" s="12" t="s">
        <v>101</v>
      </c>
    </row>
    <row r="42" spans="1:3" ht="15.75" customHeight="1" x14ac:dyDescent="0.2">
      <c r="A42" s="2" t="s">
        <v>65</v>
      </c>
      <c r="B42" s="2" t="s">
        <v>102</v>
      </c>
      <c r="C42" s="2" t="s">
        <v>103</v>
      </c>
    </row>
    <row r="43" spans="1:3" ht="15.75" customHeight="1" x14ac:dyDescent="0.2">
      <c r="A43" s="32" t="s">
        <v>71</v>
      </c>
      <c r="B43" s="32" t="str">
        <f>B4&amp;" sesi konseling online (60 menit) - ~"&amp;TEXT(B10,"0")&amp;" pegawai x "&amp;Assumptions!$B$13&amp;" sesi"</f>
        <v>15 sesi konseling online (60 menit) - ~5 pegawai x 3 sesi</v>
      </c>
      <c r="C43" s="34">
        <v>7500000</v>
      </c>
    </row>
    <row r="44" spans="1:3" ht="15.75" customHeight="1" x14ac:dyDescent="0.2">
      <c r="A44" s="32" t="s">
        <v>104</v>
      </c>
      <c r="B44" s="32" t="s">
        <v>105</v>
      </c>
      <c r="C44" s="35"/>
    </row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106</v>
      </c>
    </row>
    <row r="3" spans="1:6" x14ac:dyDescent="0.2">
      <c r="A3" s="12" t="s">
        <v>53</v>
      </c>
    </row>
    <row r="4" spans="1:6" x14ac:dyDescent="0.2">
      <c r="A4" s="13" t="s">
        <v>54</v>
      </c>
      <c r="B4" s="14">
        <v>24</v>
      </c>
      <c r="D4" s="3" t="s">
        <v>55</v>
      </c>
      <c r="E4" s="4">
        <f>B4*Assumptions!$B$3+B5*Assumptions!$B$16+B6*Assumptions!$B$17+B8*Assumptions!$B$18</f>
        <v>16500000</v>
      </c>
    </row>
    <row r="5" spans="1:6" x14ac:dyDescent="0.2">
      <c r="A5" s="13" t="s">
        <v>56</v>
      </c>
      <c r="B5" s="14">
        <v>1</v>
      </c>
      <c r="D5" s="3" t="s">
        <v>57</v>
      </c>
      <c r="E5" s="4">
        <f>E4-B9</f>
        <v>2500000</v>
      </c>
    </row>
    <row r="6" spans="1:6" x14ac:dyDescent="0.2">
      <c r="A6" s="13" t="s">
        <v>58</v>
      </c>
      <c r="B6" s="14">
        <v>1</v>
      </c>
      <c r="D6" s="3" t="s">
        <v>59</v>
      </c>
      <c r="E6" s="15">
        <f>E5/E4</f>
        <v>0.15151515151515152</v>
      </c>
    </row>
    <row r="7" spans="1:6" x14ac:dyDescent="0.2">
      <c r="A7" s="13" t="s">
        <v>60</v>
      </c>
      <c r="B7" s="14">
        <v>0</v>
      </c>
      <c r="D7" s="3" t="s">
        <v>61</v>
      </c>
      <c r="E7" s="4">
        <f>B9/B4</f>
        <v>583333.33333333337</v>
      </c>
    </row>
    <row r="8" spans="1:6" x14ac:dyDescent="0.2">
      <c r="A8" s="13" t="s">
        <v>62</v>
      </c>
      <c r="B8" s="14">
        <v>0</v>
      </c>
    </row>
    <row r="9" spans="1:6" x14ac:dyDescent="0.2">
      <c r="A9" s="13" t="s">
        <v>63</v>
      </c>
      <c r="B9" s="16">
        <v>14000000</v>
      </c>
    </row>
    <row r="10" spans="1:6" x14ac:dyDescent="0.2">
      <c r="A10" s="13" t="s">
        <v>64</v>
      </c>
      <c r="B10" s="17">
        <f>B4/Assumptions!$B$13</f>
        <v>8</v>
      </c>
    </row>
    <row r="12" spans="1:6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x14ac:dyDescent="0.2">
      <c r="A13" s="13" t="s">
        <v>71</v>
      </c>
      <c r="B13" s="13" t="s">
        <v>72</v>
      </c>
      <c r="C13" s="13" t="s">
        <v>73</v>
      </c>
      <c r="D13" s="18">
        <f>B4</f>
        <v>24</v>
      </c>
      <c r="E13" s="4">
        <f>Assumptions!$B$5</f>
        <v>350000</v>
      </c>
      <c r="F13" s="4">
        <f t="shared" ref="F13:F19" si="0">D13*E13</f>
        <v>8400000</v>
      </c>
    </row>
    <row r="14" spans="1:6" x14ac:dyDescent="0.2">
      <c r="A14" s="13" t="s">
        <v>71</v>
      </c>
      <c r="B14" s="13" t="s">
        <v>74</v>
      </c>
      <c r="C14" s="13" t="s">
        <v>75</v>
      </c>
      <c r="D14" s="18">
        <f>B4</f>
        <v>24</v>
      </c>
      <c r="E14" s="4">
        <f>Assumptions!$B$6</f>
        <v>35000</v>
      </c>
      <c r="F14" s="4">
        <f t="shared" si="0"/>
        <v>840000</v>
      </c>
    </row>
    <row r="15" spans="1:6" x14ac:dyDescent="0.2">
      <c r="A15" s="13" t="s">
        <v>76</v>
      </c>
      <c r="B15" s="13" t="s">
        <v>77</v>
      </c>
      <c r="C15" s="13" t="s">
        <v>78</v>
      </c>
      <c r="D15" s="18">
        <f>B5*B10</f>
        <v>8</v>
      </c>
      <c r="E15" s="4">
        <f>Assumptions!$B$7</f>
        <v>70000</v>
      </c>
      <c r="F15" s="4">
        <f t="shared" si="0"/>
        <v>560000</v>
      </c>
    </row>
    <row r="16" spans="1:6" x14ac:dyDescent="0.2">
      <c r="A16" s="13" t="s">
        <v>79</v>
      </c>
      <c r="B16" s="13" t="s">
        <v>80</v>
      </c>
      <c r="C16" s="13" t="s">
        <v>81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82</v>
      </c>
      <c r="B17" s="13" t="s">
        <v>83</v>
      </c>
      <c r="C17" s="13" t="s">
        <v>75</v>
      </c>
      <c r="D17" s="18">
        <f>B8</f>
        <v>0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84</v>
      </c>
      <c r="B18" s="13" t="s">
        <v>85</v>
      </c>
      <c r="C18" s="13" t="s">
        <v>81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84</v>
      </c>
      <c r="B19" s="13" t="s">
        <v>29</v>
      </c>
      <c r="C19" s="13" t="s">
        <v>86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87</v>
      </c>
      <c r="F20" s="19">
        <f>SUM(F13:F19)</f>
        <v>10700000</v>
      </c>
    </row>
    <row r="21" spans="1:6" ht="15.75" customHeight="1" x14ac:dyDescent="0.2">
      <c r="E21" s="3" t="s">
        <v>88</v>
      </c>
      <c r="F21" s="20">
        <f>F20/B10</f>
        <v>1337500</v>
      </c>
    </row>
    <row r="22" spans="1:6" ht="15.75" customHeight="1" x14ac:dyDescent="0.2"/>
    <row r="23" spans="1:6" ht="15.75" customHeight="1" x14ac:dyDescent="0.2">
      <c r="A23" s="21" t="s">
        <v>89</v>
      </c>
      <c r="B23" s="21" t="s">
        <v>90</v>
      </c>
      <c r="C23" s="21" t="s">
        <v>91</v>
      </c>
      <c r="D23" s="21" t="s">
        <v>92</v>
      </c>
    </row>
    <row r="24" spans="1:6" ht="15.75" customHeight="1" x14ac:dyDescent="0.2">
      <c r="A24" s="22">
        <v>0.3</v>
      </c>
      <c r="B24" s="23">
        <f t="shared" ref="B24:B29" si="1">$F$20*(1+A24)</f>
        <v>13910000</v>
      </c>
      <c r="C24" s="4">
        <f t="shared" ref="C24:C29" si="2">B24/$B$10</f>
        <v>1738750</v>
      </c>
      <c r="D24" s="24">
        <f t="shared" ref="D24:D29" si="3">B24-$F$20</f>
        <v>3210000</v>
      </c>
    </row>
    <row r="25" spans="1:6" ht="15.75" customHeight="1" x14ac:dyDescent="0.2">
      <c r="A25" s="22">
        <v>0.4</v>
      </c>
      <c r="B25" s="23">
        <f t="shared" si="1"/>
        <v>14979999.999999998</v>
      </c>
      <c r="C25" s="4">
        <f t="shared" si="2"/>
        <v>1872499.9999999998</v>
      </c>
      <c r="D25" s="24">
        <f t="shared" si="3"/>
        <v>4279999.9999999981</v>
      </c>
    </row>
    <row r="26" spans="1:6" ht="15.75" customHeight="1" x14ac:dyDescent="0.2">
      <c r="A26" s="22">
        <v>0.5</v>
      </c>
      <c r="B26" s="23">
        <f t="shared" si="1"/>
        <v>16050000</v>
      </c>
      <c r="C26" s="4">
        <f t="shared" si="2"/>
        <v>2006250</v>
      </c>
      <c r="D26" s="24">
        <f t="shared" si="3"/>
        <v>5350000</v>
      </c>
    </row>
    <row r="27" spans="1:6" ht="15.75" customHeight="1" x14ac:dyDescent="0.2">
      <c r="A27" s="22">
        <v>0.8</v>
      </c>
      <c r="B27" s="23">
        <f t="shared" si="1"/>
        <v>19260000</v>
      </c>
      <c r="C27" s="4">
        <f t="shared" si="2"/>
        <v>2407500</v>
      </c>
      <c r="D27" s="24">
        <f t="shared" si="3"/>
        <v>8560000</v>
      </c>
    </row>
    <row r="28" spans="1:6" ht="15.75" customHeight="1" x14ac:dyDescent="0.2">
      <c r="A28" s="22">
        <v>1</v>
      </c>
      <c r="B28" s="23">
        <f t="shared" si="1"/>
        <v>21400000</v>
      </c>
      <c r="C28" s="4">
        <f t="shared" si="2"/>
        <v>2675000</v>
      </c>
      <c r="D28" s="24">
        <f t="shared" si="3"/>
        <v>10700000</v>
      </c>
    </row>
    <row r="29" spans="1:6" ht="15.75" customHeight="1" x14ac:dyDescent="0.2">
      <c r="A29" s="22">
        <v>1.5</v>
      </c>
      <c r="B29" s="23">
        <f t="shared" si="1"/>
        <v>26750000</v>
      </c>
      <c r="C29" s="4">
        <f t="shared" si="2"/>
        <v>3343750</v>
      </c>
      <c r="D29" s="24">
        <f t="shared" si="3"/>
        <v>16050000</v>
      </c>
    </row>
    <row r="30" spans="1:6" ht="15.75" customHeight="1" x14ac:dyDescent="0.2">
      <c r="A30" s="3" t="s">
        <v>5</v>
      </c>
      <c r="B30" s="25">
        <f>B9</f>
        <v>14000000</v>
      </c>
      <c r="C30" s="20">
        <f>B30/B10</f>
        <v>1750000</v>
      </c>
      <c r="D30" s="26">
        <f>B30-F20</f>
        <v>3300000</v>
      </c>
      <c r="E30" s="27">
        <f>D30/F20</f>
        <v>0.30841121495327101</v>
      </c>
      <c r="F30" s="28" t="s">
        <v>93</v>
      </c>
    </row>
    <row r="31" spans="1:6" ht="15.75" customHeight="1" x14ac:dyDescent="0.2"/>
    <row r="32" spans="1:6" ht="15.75" customHeight="1" x14ac:dyDescent="0.2">
      <c r="A32" s="3" t="s">
        <v>94</v>
      </c>
      <c r="B32" s="29">
        <f>B9</f>
        <v>14000000</v>
      </c>
    </row>
    <row r="33" spans="1:3" ht="15.75" customHeight="1" x14ac:dyDescent="0.2">
      <c r="A33" s="3" t="s">
        <v>95</v>
      </c>
      <c r="B33" s="29">
        <f>B9*(1-Assumptions!$B$12)</f>
        <v>13720000</v>
      </c>
    </row>
    <row r="34" spans="1:3" ht="15.75" customHeight="1" x14ac:dyDescent="0.2">
      <c r="A34" s="3" t="s">
        <v>96</v>
      </c>
      <c r="B34" s="30">
        <f>B33-F20</f>
        <v>3020000</v>
      </c>
    </row>
    <row r="35" spans="1:3" ht="15.75" customHeight="1" x14ac:dyDescent="0.2">
      <c r="A35" s="31" t="s">
        <v>97</v>
      </c>
      <c r="B35" s="30">
        <f>B34+F13</f>
        <v>11420000</v>
      </c>
    </row>
    <row r="36" spans="1:3" ht="15.75" customHeight="1" x14ac:dyDescent="0.2">
      <c r="A36" s="13" t="s">
        <v>98</v>
      </c>
      <c r="B36" s="4">
        <f>Assumptions!$B$14*Assumptions!$B$19</f>
        <v>60000000</v>
      </c>
    </row>
    <row r="37" spans="1:3" ht="15.75" customHeight="1" x14ac:dyDescent="0.2">
      <c r="A37" s="13" t="s">
        <v>99</v>
      </c>
      <c r="B37" s="5">
        <f>B35/B36</f>
        <v>0.19033333333333333</v>
      </c>
    </row>
    <row r="38" spans="1:3" ht="15.75" customHeight="1" x14ac:dyDescent="0.2">
      <c r="A38" s="13" t="s">
        <v>12</v>
      </c>
      <c r="B38" s="4">
        <f>B35/Assumptions!$B$19</f>
        <v>3806666.6666666665</v>
      </c>
    </row>
    <row r="39" spans="1:3" ht="15.75" customHeight="1" x14ac:dyDescent="0.2">
      <c r="A39" s="13" t="s">
        <v>100</v>
      </c>
      <c r="B39" s="5">
        <f>B34/B36</f>
        <v>5.0333333333333334E-2</v>
      </c>
    </row>
    <row r="40" spans="1:3" ht="15.75" customHeight="1" x14ac:dyDescent="0.2"/>
    <row r="41" spans="1:3" ht="15.75" customHeight="1" x14ac:dyDescent="0.2">
      <c r="A41" s="12" t="s">
        <v>101</v>
      </c>
    </row>
    <row r="42" spans="1:3" ht="15.75" customHeight="1" x14ac:dyDescent="0.2">
      <c r="A42" s="2" t="s">
        <v>65</v>
      </c>
      <c r="B42" s="2" t="s">
        <v>102</v>
      </c>
      <c r="C42" s="2" t="s">
        <v>103</v>
      </c>
    </row>
    <row r="43" spans="1:3" ht="15.75" customHeight="1" x14ac:dyDescent="0.2">
      <c r="A43" s="32" t="s">
        <v>71</v>
      </c>
      <c r="B43" s="32" t="str">
        <f>B4&amp;" sesi konseling online (60 menit) - ~"&amp;TEXT(B10,"0")&amp;" pegawai x "&amp;Assumptions!$B$13&amp;" sesi"</f>
        <v>24 sesi konseling online (60 menit) - ~8 pegawai x 3 sesi</v>
      </c>
      <c r="C43" s="34">
        <v>14000000</v>
      </c>
    </row>
    <row r="44" spans="1:3" ht="15.75" customHeight="1" x14ac:dyDescent="0.2">
      <c r="A44" s="32" t="s">
        <v>107</v>
      </c>
      <c r="B44" s="32" t="str">
        <f>B5&amp;"x MHCU ("&amp;IF(B5=2,"pre &amp; post","baseline")&amp;")"</f>
        <v>1x MHCU (baseline)</v>
      </c>
      <c r="C44" s="36"/>
    </row>
    <row r="45" spans="1:3" ht="15.75" customHeight="1" x14ac:dyDescent="0.2">
      <c r="A45" s="32" t="s">
        <v>79</v>
      </c>
      <c r="B45" s="32" t="s">
        <v>80</v>
      </c>
      <c r="C45" s="36"/>
    </row>
    <row r="46" spans="1:3" ht="15.75" customHeight="1" x14ac:dyDescent="0.2">
      <c r="A46" s="32" t="s">
        <v>104</v>
      </c>
      <c r="B46" s="32" t="s">
        <v>105</v>
      </c>
      <c r="C46" s="35"/>
    </row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108</v>
      </c>
    </row>
    <row r="3" spans="1:6" x14ac:dyDescent="0.2">
      <c r="A3" s="12" t="s">
        <v>53</v>
      </c>
    </row>
    <row r="4" spans="1:6" x14ac:dyDescent="0.2">
      <c r="A4" s="13" t="s">
        <v>54</v>
      </c>
      <c r="B4" s="14">
        <v>36</v>
      </c>
      <c r="D4" s="3" t="s">
        <v>55</v>
      </c>
      <c r="E4" s="4">
        <f>B4*Assumptions!$B$3+B5*Assumptions!$B$16+B6*Assumptions!$B$17+B8*Assumptions!$B$18</f>
        <v>28000000</v>
      </c>
    </row>
    <row r="5" spans="1:6" x14ac:dyDescent="0.2">
      <c r="A5" s="13" t="s">
        <v>56</v>
      </c>
      <c r="B5" s="14">
        <v>2</v>
      </c>
      <c r="D5" s="3" t="s">
        <v>57</v>
      </c>
      <c r="E5" s="4">
        <f>E4-B9</f>
        <v>5000000</v>
      </c>
    </row>
    <row r="6" spans="1:6" x14ac:dyDescent="0.2">
      <c r="A6" s="13" t="s">
        <v>58</v>
      </c>
      <c r="B6" s="14">
        <v>1</v>
      </c>
      <c r="D6" s="3" t="s">
        <v>59</v>
      </c>
      <c r="E6" s="15">
        <f>E5/E4</f>
        <v>0.17857142857142858</v>
      </c>
    </row>
    <row r="7" spans="1:6" x14ac:dyDescent="0.2">
      <c r="A7" s="13" t="s">
        <v>60</v>
      </c>
      <c r="B7" s="14">
        <v>1</v>
      </c>
      <c r="D7" s="3" t="s">
        <v>61</v>
      </c>
      <c r="E7" s="4">
        <f>B9/B4</f>
        <v>638888.88888888888</v>
      </c>
    </row>
    <row r="8" spans="1:6" x14ac:dyDescent="0.2">
      <c r="A8" s="13" t="s">
        <v>62</v>
      </c>
      <c r="B8" s="14">
        <v>1</v>
      </c>
    </row>
    <row r="9" spans="1:6" x14ac:dyDescent="0.2">
      <c r="A9" s="13" t="s">
        <v>63</v>
      </c>
      <c r="B9" s="16">
        <v>23000000</v>
      </c>
    </row>
    <row r="10" spans="1:6" x14ac:dyDescent="0.2">
      <c r="A10" s="13" t="s">
        <v>64</v>
      </c>
      <c r="B10" s="17">
        <f>B4/Assumptions!$B$13</f>
        <v>12</v>
      </c>
    </row>
    <row r="12" spans="1:6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x14ac:dyDescent="0.2">
      <c r="A13" s="13" t="s">
        <v>71</v>
      </c>
      <c r="B13" s="13" t="s">
        <v>72</v>
      </c>
      <c r="C13" s="13" t="s">
        <v>73</v>
      </c>
      <c r="D13" s="18">
        <f>B4</f>
        <v>36</v>
      </c>
      <c r="E13" s="4">
        <f>Assumptions!$B$5</f>
        <v>350000</v>
      </c>
      <c r="F13" s="4">
        <f t="shared" ref="F13:F19" si="0">D13*E13</f>
        <v>12600000</v>
      </c>
    </row>
    <row r="14" spans="1:6" x14ac:dyDescent="0.2">
      <c r="A14" s="13" t="s">
        <v>71</v>
      </c>
      <c r="B14" s="13" t="s">
        <v>74</v>
      </c>
      <c r="C14" s="13" t="s">
        <v>75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76</v>
      </c>
      <c r="B15" s="13" t="s">
        <v>77</v>
      </c>
      <c r="C15" s="13" t="s">
        <v>78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79</v>
      </c>
      <c r="B16" s="13" t="s">
        <v>80</v>
      </c>
      <c r="C16" s="13" t="s">
        <v>81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82</v>
      </c>
      <c r="B17" s="13" t="s">
        <v>83</v>
      </c>
      <c r="C17" s="13" t="s">
        <v>75</v>
      </c>
      <c r="D17" s="18">
        <f>B8</f>
        <v>1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84</v>
      </c>
      <c r="B18" s="13" t="s">
        <v>85</v>
      </c>
      <c r="C18" s="13" t="s">
        <v>81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84</v>
      </c>
      <c r="B19" s="13" t="s">
        <v>29</v>
      </c>
      <c r="C19" s="13" t="s">
        <v>86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87</v>
      </c>
      <c r="F20" s="19">
        <f>SUM(F13:F19)</f>
        <v>16440000</v>
      </c>
    </row>
    <row r="21" spans="1:6" ht="15.75" customHeight="1" x14ac:dyDescent="0.2">
      <c r="E21" s="3" t="s">
        <v>88</v>
      </c>
      <c r="F21" s="20">
        <f>F20/B10</f>
        <v>1370000</v>
      </c>
    </row>
    <row r="22" spans="1:6" ht="15.75" customHeight="1" x14ac:dyDescent="0.2"/>
    <row r="23" spans="1:6" ht="15.75" customHeight="1" x14ac:dyDescent="0.2">
      <c r="A23" s="21" t="s">
        <v>89</v>
      </c>
      <c r="B23" s="21" t="s">
        <v>90</v>
      </c>
      <c r="C23" s="21" t="s">
        <v>91</v>
      </c>
      <c r="D23" s="21" t="s">
        <v>92</v>
      </c>
    </row>
    <row r="24" spans="1:6" ht="15.75" customHeight="1" x14ac:dyDescent="0.2">
      <c r="A24" s="22">
        <v>0.3</v>
      </c>
      <c r="B24" s="23">
        <f t="shared" ref="B24:B29" si="1">$F$20*(1+A24)</f>
        <v>21372000</v>
      </c>
      <c r="C24" s="4">
        <f t="shared" ref="C24:C29" si="2">B24/$B$10</f>
        <v>1781000</v>
      </c>
      <c r="D24" s="24">
        <f t="shared" ref="D24:D29" si="3">B24-$F$20</f>
        <v>4932000</v>
      </c>
    </row>
    <row r="25" spans="1:6" ht="15.75" customHeight="1" x14ac:dyDescent="0.2">
      <c r="A25" s="22">
        <v>0.4</v>
      </c>
      <c r="B25" s="23">
        <f t="shared" si="1"/>
        <v>23016000</v>
      </c>
      <c r="C25" s="4">
        <f t="shared" si="2"/>
        <v>1918000</v>
      </c>
      <c r="D25" s="24">
        <f t="shared" si="3"/>
        <v>6576000</v>
      </c>
    </row>
    <row r="26" spans="1:6" ht="15.75" customHeight="1" x14ac:dyDescent="0.2">
      <c r="A26" s="22">
        <v>0.5</v>
      </c>
      <c r="B26" s="23">
        <f t="shared" si="1"/>
        <v>24660000</v>
      </c>
      <c r="C26" s="4">
        <f t="shared" si="2"/>
        <v>2055000</v>
      </c>
      <c r="D26" s="24">
        <f t="shared" si="3"/>
        <v>8220000</v>
      </c>
    </row>
    <row r="27" spans="1:6" ht="15.75" customHeight="1" x14ac:dyDescent="0.2">
      <c r="A27" s="22">
        <v>0.8</v>
      </c>
      <c r="B27" s="23">
        <f t="shared" si="1"/>
        <v>29592000</v>
      </c>
      <c r="C27" s="4">
        <f t="shared" si="2"/>
        <v>2466000</v>
      </c>
      <c r="D27" s="24">
        <f t="shared" si="3"/>
        <v>13152000</v>
      </c>
    </row>
    <row r="28" spans="1:6" ht="15.75" customHeight="1" x14ac:dyDescent="0.2">
      <c r="A28" s="22">
        <v>1</v>
      </c>
      <c r="B28" s="23">
        <f t="shared" si="1"/>
        <v>32880000</v>
      </c>
      <c r="C28" s="4">
        <f t="shared" si="2"/>
        <v>2740000</v>
      </c>
      <c r="D28" s="24">
        <f t="shared" si="3"/>
        <v>16440000</v>
      </c>
    </row>
    <row r="29" spans="1:6" ht="15.75" customHeight="1" x14ac:dyDescent="0.2">
      <c r="A29" s="22">
        <v>1.5</v>
      </c>
      <c r="B29" s="23">
        <f t="shared" si="1"/>
        <v>41100000</v>
      </c>
      <c r="C29" s="4">
        <f t="shared" si="2"/>
        <v>3425000</v>
      </c>
      <c r="D29" s="24">
        <f t="shared" si="3"/>
        <v>24660000</v>
      </c>
    </row>
    <row r="30" spans="1:6" ht="15.75" customHeight="1" x14ac:dyDescent="0.2">
      <c r="A30" s="3" t="s">
        <v>5</v>
      </c>
      <c r="B30" s="25">
        <f>B9</f>
        <v>23000000</v>
      </c>
      <c r="C30" s="20">
        <f>B30/B10</f>
        <v>1916666.6666666667</v>
      </c>
      <c r="D30" s="26">
        <f>B30-F20</f>
        <v>6560000</v>
      </c>
      <c r="E30" s="27">
        <f>D30/F20</f>
        <v>0.39902676399026765</v>
      </c>
      <c r="F30" s="28" t="s">
        <v>93</v>
      </c>
    </row>
    <row r="31" spans="1:6" ht="15.75" customHeight="1" x14ac:dyDescent="0.2"/>
    <row r="32" spans="1:6" ht="15.75" customHeight="1" x14ac:dyDescent="0.2">
      <c r="A32" s="3" t="s">
        <v>94</v>
      </c>
      <c r="B32" s="29">
        <f>B9</f>
        <v>23000000</v>
      </c>
    </row>
    <row r="33" spans="1:3" ht="15.75" customHeight="1" x14ac:dyDescent="0.2">
      <c r="A33" s="3" t="s">
        <v>95</v>
      </c>
      <c r="B33" s="29">
        <f>B9*(1-Assumptions!$B$12)</f>
        <v>22540000</v>
      </c>
    </row>
    <row r="34" spans="1:3" ht="15.75" customHeight="1" x14ac:dyDescent="0.2">
      <c r="A34" s="3" t="s">
        <v>96</v>
      </c>
      <c r="B34" s="30">
        <f>B33-F20</f>
        <v>6100000</v>
      </c>
    </row>
    <row r="35" spans="1:3" ht="15.75" customHeight="1" x14ac:dyDescent="0.2">
      <c r="A35" s="31" t="s">
        <v>97</v>
      </c>
      <c r="B35" s="30">
        <f>B34+F13</f>
        <v>18700000</v>
      </c>
    </row>
    <row r="36" spans="1:3" ht="15.75" customHeight="1" x14ac:dyDescent="0.2">
      <c r="A36" s="13" t="s">
        <v>98</v>
      </c>
      <c r="B36" s="4">
        <f>Assumptions!$B$14*Assumptions!$B$19</f>
        <v>60000000</v>
      </c>
    </row>
    <row r="37" spans="1:3" ht="15.75" customHeight="1" x14ac:dyDescent="0.2">
      <c r="A37" s="13" t="s">
        <v>99</v>
      </c>
      <c r="B37" s="5">
        <f>B35/B36</f>
        <v>0.31166666666666665</v>
      </c>
    </row>
    <row r="38" spans="1:3" ht="15.75" customHeight="1" x14ac:dyDescent="0.2">
      <c r="A38" s="13" t="s">
        <v>12</v>
      </c>
      <c r="B38" s="4">
        <f>B35/Assumptions!$B$19</f>
        <v>6233333.333333333</v>
      </c>
    </row>
    <row r="39" spans="1:3" ht="15.75" customHeight="1" x14ac:dyDescent="0.2">
      <c r="A39" s="13" t="s">
        <v>100</v>
      </c>
      <c r="B39" s="5">
        <f>B34/B36</f>
        <v>0.10166666666666667</v>
      </c>
    </row>
    <row r="40" spans="1:3" ht="15.75" customHeight="1" x14ac:dyDescent="0.2"/>
    <row r="41" spans="1:3" ht="15.75" customHeight="1" x14ac:dyDescent="0.2">
      <c r="A41" s="12" t="s">
        <v>101</v>
      </c>
    </row>
    <row r="42" spans="1:3" ht="15.75" customHeight="1" x14ac:dyDescent="0.2">
      <c r="A42" s="2" t="s">
        <v>65</v>
      </c>
      <c r="B42" s="2" t="s">
        <v>102</v>
      </c>
      <c r="C42" s="2" t="s">
        <v>103</v>
      </c>
    </row>
    <row r="43" spans="1:3" ht="15.75" customHeight="1" x14ac:dyDescent="0.2">
      <c r="A43" s="32" t="s">
        <v>71</v>
      </c>
      <c r="B43" s="32" t="str">
        <f>B4&amp;" sesi konseling online (60 menit) - ~"&amp;TEXT(B10,"0")&amp;" pegawai x "&amp;Assumptions!$B$13&amp;" sesi"</f>
        <v>36 sesi konseling online (60 menit) - ~12 pegawai x 3 sesi</v>
      </c>
      <c r="C43" s="34">
        <v>23000000</v>
      </c>
    </row>
    <row r="44" spans="1:3" ht="15.75" customHeight="1" x14ac:dyDescent="0.2">
      <c r="A44" s="32" t="s">
        <v>107</v>
      </c>
      <c r="B44" s="32" t="str">
        <f>B5&amp;"x MHCU ("&amp;IF(B5=2,"pre &amp; post","baseline")&amp;")"</f>
        <v>2x MHCU (pre &amp; post)</v>
      </c>
      <c r="C44" s="36"/>
    </row>
    <row r="45" spans="1:3" ht="15.75" customHeight="1" x14ac:dyDescent="0.2">
      <c r="A45" s="32" t="s">
        <v>79</v>
      </c>
      <c r="B45" s="32" t="s">
        <v>109</v>
      </c>
      <c r="C45" s="36"/>
    </row>
    <row r="46" spans="1:3" ht="15.75" customHeight="1" x14ac:dyDescent="0.2">
      <c r="A46" s="32" t="s">
        <v>79</v>
      </c>
      <c r="B46" s="32" t="s">
        <v>110</v>
      </c>
      <c r="C46" s="36"/>
    </row>
    <row r="47" spans="1:3" ht="15.75" customHeight="1" x14ac:dyDescent="0.2">
      <c r="A47" s="32" t="s">
        <v>82</v>
      </c>
      <c r="B47" s="32" t="s">
        <v>111</v>
      </c>
      <c r="C47" s="36"/>
    </row>
    <row r="48" spans="1:3" ht="15.75" customHeight="1" x14ac:dyDescent="0.2">
      <c r="A48" s="32" t="s">
        <v>104</v>
      </c>
      <c r="B48" s="32" t="s">
        <v>105</v>
      </c>
      <c r="C48" s="35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8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40" customWidth="1"/>
    <col min="4" max="4" width="12" customWidth="1"/>
    <col min="5" max="5" width="18" customWidth="1"/>
    <col min="7" max="7" width="8.6640625" customWidth="1"/>
  </cols>
  <sheetData>
    <row r="1" spans="1:6" ht="17" customHeight="1" x14ac:dyDescent="0.2">
      <c r="A1" s="1" t="s">
        <v>112</v>
      </c>
    </row>
    <row r="3" spans="1:6" x14ac:dyDescent="0.2">
      <c r="A3" s="12" t="s">
        <v>53</v>
      </c>
    </row>
    <row r="4" spans="1:6" x14ac:dyDescent="0.2">
      <c r="A4" s="13" t="s">
        <v>54</v>
      </c>
      <c r="B4" s="14">
        <v>36</v>
      </c>
      <c r="D4" s="3" t="s">
        <v>55</v>
      </c>
      <c r="E4" s="4">
        <f>B4*Assumptions!$B$3+B5*Assumptions!$B$16+B6*Assumptions!$B$17+B8*Assumptions!$B$18</f>
        <v>28000000</v>
      </c>
    </row>
    <row r="5" spans="1:6" x14ac:dyDescent="0.2">
      <c r="A5" s="13" t="s">
        <v>56</v>
      </c>
      <c r="B5" s="14">
        <v>2</v>
      </c>
      <c r="D5" s="3" t="s">
        <v>57</v>
      </c>
      <c r="E5" s="4">
        <f>E4-B9</f>
        <v>8000000</v>
      </c>
    </row>
    <row r="6" spans="1:6" x14ac:dyDescent="0.2">
      <c r="A6" s="13" t="s">
        <v>58</v>
      </c>
      <c r="B6" s="14">
        <v>1</v>
      </c>
      <c r="D6" s="3" t="s">
        <v>59</v>
      </c>
      <c r="E6" s="15">
        <f>E5/E4</f>
        <v>0.2857142857142857</v>
      </c>
    </row>
    <row r="7" spans="1:6" x14ac:dyDescent="0.2">
      <c r="A7" s="13" t="s">
        <v>60</v>
      </c>
      <c r="B7" s="14">
        <v>1</v>
      </c>
      <c r="D7" s="3" t="s">
        <v>61</v>
      </c>
      <c r="E7" s="4">
        <f>B9/B4</f>
        <v>555555.5555555555</v>
      </c>
    </row>
    <row r="8" spans="1:6" x14ac:dyDescent="0.2">
      <c r="A8" s="13" t="s">
        <v>62</v>
      </c>
      <c r="B8" s="14">
        <v>1</v>
      </c>
    </row>
    <row r="9" spans="1:6" x14ac:dyDescent="0.2">
      <c r="A9" s="13" t="s">
        <v>63</v>
      </c>
      <c r="B9" s="16">
        <v>20000000</v>
      </c>
      <c r="C9" s="33" t="s">
        <v>113</v>
      </c>
    </row>
    <row r="10" spans="1:6" x14ac:dyDescent="0.2">
      <c r="A10" s="13" t="s">
        <v>64</v>
      </c>
      <c r="B10" s="17">
        <f>B4/Assumptions!$B$13</f>
        <v>12</v>
      </c>
    </row>
    <row r="12" spans="1:6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x14ac:dyDescent="0.2">
      <c r="A13" s="13" t="s">
        <v>71</v>
      </c>
      <c r="B13" s="13" t="s">
        <v>72</v>
      </c>
      <c r="C13" s="13" t="s">
        <v>73</v>
      </c>
      <c r="D13" s="18">
        <f>B4</f>
        <v>36</v>
      </c>
      <c r="E13" s="4">
        <f>Assumptions!$B$5</f>
        <v>350000</v>
      </c>
      <c r="F13" s="4">
        <f t="shared" ref="F13:F22" si="0">D13*E13</f>
        <v>12600000</v>
      </c>
    </row>
    <row r="14" spans="1:6" x14ac:dyDescent="0.2">
      <c r="A14" s="13" t="s">
        <v>71</v>
      </c>
      <c r="B14" s="13" t="s">
        <v>74</v>
      </c>
      <c r="C14" s="13" t="s">
        <v>75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76</v>
      </c>
      <c r="B15" s="13" t="s">
        <v>77</v>
      </c>
      <c r="C15" s="13" t="s">
        <v>78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79</v>
      </c>
      <c r="B16" s="13" t="s">
        <v>80</v>
      </c>
      <c r="C16" s="13" t="s">
        <v>81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82</v>
      </c>
      <c r="B17" s="13" t="s">
        <v>114</v>
      </c>
      <c r="C17" s="13" t="s">
        <v>75</v>
      </c>
      <c r="D17" s="18">
        <f>B8</f>
        <v>1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115</v>
      </c>
      <c r="B18" s="13" t="s">
        <v>116</v>
      </c>
      <c r="C18" s="13" t="s">
        <v>117</v>
      </c>
      <c r="D18" s="18">
        <f>B8</f>
        <v>1</v>
      </c>
      <c r="E18" s="4">
        <f>Assumptions!$B$20</f>
        <v>1300000</v>
      </c>
      <c r="F18" s="4">
        <f t="shared" si="0"/>
        <v>1300000</v>
      </c>
    </row>
    <row r="19" spans="1:6" x14ac:dyDescent="0.2">
      <c r="A19" s="13" t="s">
        <v>115</v>
      </c>
      <c r="B19" s="13" t="s">
        <v>118</v>
      </c>
      <c r="C19" s="13" t="s">
        <v>117</v>
      </c>
      <c r="D19" s="18">
        <f>B8</f>
        <v>1</v>
      </c>
      <c r="E19" s="4">
        <f>Assumptions!$B$21</f>
        <v>500000</v>
      </c>
      <c r="F19" s="4">
        <f t="shared" si="0"/>
        <v>500000</v>
      </c>
    </row>
    <row r="20" spans="1:6" x14ac:dyDescent="0.2">
      <c r="A20" s="13" t="s">
        <v>115</v>
      </c>
      <c r="B20" s="13" t="s">
        <v>119</v>
      </c>
      <c r="C20" s="13" t="s">
        <v>117</v>
      </c>
      <c r="D20" s="18">
        <f>B8</f>
        <v>1</v>
      </c>
      <c r="E20" s="4">
        <f>Assumptions!$B$22</f>
        <v>500000</v>
      </c>
      <c r="F20" s="4">
        <f t="shared" si="0"/>
        <v>500000</v>
      </c>
    </row>
    <row r="21" spans="1:6" x14ac:dyDescent="0.2">
      <c r="A21" s="13" t="s">
        <v>84</v>
      </c>
      <c r="B21" s="13" t="s">
        <v>85</v>
      </c>
      <c r="C21" s="13" t="s">
        <v>81</v>
      </c>
      <c r="D21" s="18">
        <v>1</v>
      </c>
      <c r="E21" s="4">
        <f>Assumptions!$B$10</f>
        <v>0</v>
      </c>
      <c r="F21" s="4">
        <f t="shared" si="0"/>
        <v>0</v>
      </c>
    </row>
    <row r="22" spans="1:6" x14ac:dyDescent="0.2">
      <c r="A22" s="13" t="s">
        <v>84</v>
      </c>
      <c r="B22" s="13" t="s">
        <v>29</v>
      </c>
      <c r="C22" s="13" t="s">
        <v>86</v>
      </c>
      <c r="D22" s="18">
        <v>1</v>
      </c>
      <c r="E22" s="4">
        <f>Assumptions!$B$9</f>
        <v>150000</v>
      </c>
      <c r="F22" s="4">
        <f t="shared" si="0"/>
        <v>150000</v>
      </c>
    </row>
    <row r="23" spans="1:6" x14ac:dyDescent="0.2">
      <c r="E23" s="3" t="s">
        <v>87</v>
      </c>
      <c r="F23" s="19">
        <f>SUM(F13:F22)</f>
        <v>18740000</v>
      </c>
    </row>
    <row r="24" spans="1:6" x14ac:dyDescent="0.2">
      <c r="E24" s="3" t="s">
        <v>88</v>
      </c>
      <c r="F24" s="20">
        <f>F23/B10</f>
        <v>1561666.6666666667</v>
      </c>
    </row>
    <row r="26" spans="1:6" x14ac:dyDescent="0.2">
      <c r="A26" s="21" t="s">
        <v>89</v>
      </c>
      <c r="B26" s="21" t="s">
        <v>90</v>
      </c>
      <c r="C26" s="21" t="s">
        <v>91</v>
      </c>
      <c r="D26" s="21" t="s">
        <v>92</v>
      </c>
    </row>
    <row r="27" spans="1:6" x14ac:dyDescent="0.2">
      <c r="A27" s="22">
        <v>0.3</v>
      </c>
      <c r="B27" s="23">
        <f t="shared" ref="B27:B32" si="1">$F$23*(1+A27)</f>
        <v>24362000</v>
      </c>
      <c r="C27" s="4">
        <f t="shared" ref="C27:C32" si="2">B27/$B$10</f>
        <v>2030166.6666666667</v>
      </c>
      <c r="D27" s="24">
        <f t="shared" ref="D27:D32" si="3">B27-$F$23</f>
        <v>5622000</v>
      </c>
    </row>
    <row r="28" spans="1:6" x14ac:dyDescent="0.2">
      <c r="A28" s="22">
        <v>0.4</v>
      </c>
      <c r="B28" s="23">
        <f t="shared" si="1"/>
        <v>26236000</v>
      </c>
      <c r="C28" s="4">
        <f t="shared" si="2"/>
        <v>2186333.3333333335</v>
      </c>
      <c r="D28" s="24">
        <f t="shared" si="3"/>
        <v>7496000</v>
      </c>
    </row>
    <row r="29" spans="1:6" x14ac:dyDescent="0.2">
      <c r="A29" s="22">
        <v>0.5</v>
      </c>
      <c r="B29" s="23">
        <f t="shared" si="1"/>
        <v>28110000</v>
      </c>
      <c r="C29" s="4">
        <f t="shared" si="2"/>
        <v>2342500</v>
      </c>
      <c r="D29" s="24">
        <f t="shared" si="3"/>
        <v>9370000</v>
      </c>
    </row>
    <row r="30" spans="1:6" x14ac:dyDescent="0.2">
      <c r="A30" s="22">
        <v>0.8</v>
      </c>
      <c r="B30" s="23">
        <f t="shared" si="1"/>
        <v>33732000</v>
      </c>
      <c r="C30" s="4">
        <f t="shared" si="2"/>
        <v>2811000</v>
      </c>
      <c r="D30" s="24">
        <f t="shared" si="3"/>
        <v>14992000</v>
      </c>
    </row>
    <row r="31" spans="1:6" x14ac:dyDescent="0.2">
      <c r="A31" s="22">
        <v>1</v>
      </c>
      <c r="B31" s="23">
        <f t="shared" si="1"/>
        <v>37480000</v>
      </c>
      <c r="C31" s="4">
        <f t="shared" si="2"/>
        <v>3123333.3333333335</v>
      </c>
      <c r="D31" s="24">
        <f t="shared" si="3"/>
        <v>18740000</v>
      </c>
    </row>
    <row r="32" spans="1:6" x14ac:dyDescent="0.2">
      <c r="A32" s="22">
        <v>1.5</v>
      </c>
      <c r="B32" s="23">
        <f t="shared" si="1"/>
        <v>46850000</v>
      </c>
      <c r="C32" s="4">
        <f t="shared" si="2"/>
        <v>3904166.6666666665</v>
      </c>
      <c r="D32" s="24">
        <f t="shared" si="3"/>
        <v>28110000</v>
      </c>
    </row>
    <row r="33" spans="1:6" x14ac:dyDescent="0.2">
      <c r="A33" s="3" t="s">
        <v>5</v>
      </c>
      <c r="B33" s="25">
        <f>B9</f>
        <v>20000000</v>
      </c>
      <c r="C33" s="20">
        <f>B33/B10</f>
        <v>1666666.6666666667</v>
      </c>
      <c r="D33" s="26">
        <f>B33-F23</f>
        <v>1260000</v>
      </c>
      <c r="E33" s="27">
        <f>D33/F23</f>
        <v>6.7235859124866598E-2</v>
      </c>
      <c r="F33" s="28" t="s">
        <v>93</v>
      </c>
    </row>
    <row r="34" spans="1:6" ht="43" customHeight="1" x14ac:dyDescent="0.2">
      <c r="D34" s="21" t="s">
        <v>120</v>
      </c>
      <c r="E34" s="21"/>
    </row>
    <row r="35" spans="1:6" ht="16" customHeight="1" x14ac:dyDescent="0.2">
      <c r="A35" s="3" t="s">
        <v>94</v>
      </c>
      <c r="B35" s="29">
        <f>B9</f>
        <v>20000000</v>
      </c>
      <c r="D35" s="13" t="s">
        <v>121</v>
      </c>
      <c r="E35" s="4">
        <f>SUM(F17:F20)</f>
        <v>2300000</v>
      </c>
    </row>
    <row r="36" spans="1:6" ht="16" customHeight="1" x14ac:dyDescent="0.2">
      <c r="A36" s="3" t="s">
        <v>95</v>
      </c>
      <c r="B36" s="29">
        <f>B9*(1-Assumptions!$B$12)</f>
        <v>19600000</v>
      </c>
      <c r="D36" s="13" t="s">
        <v>122</v>
      </c>
      <c r="E36" s="4">
        <f>B8*Assumptions!$B$18</f>
        <v>3000000</v>
      </c>
    </row>
    <row r="37" spans="1:6" ht="16" customHeight="1" x14ac:dyDescent="0.2">
      <c r="A37" s="3" t="s">
        <v>96</v>
      </c>
      <c r="B37" s="30">
        <f>B36-F23</f>
        <v>860000</v>
      </c>
      <c r="D37" s="13" t="s">
        <v>123</v>
      </c>
      <c r="E37" s="4">
        <f>B37-Seperjalanan!B34</f>
        <v>-5240000</v>
      </c>
    </row>
    <row r="38" spans="1:6" ht="29" customHeight="1" x14ac:dyDescent="0.2">
      <c r="A38" s="31" t="s">
        <v>97</v>
      </c>
      <c r="B38" s="30">
        <f>B37+F13</f>
        <v>13460000</v>
      </c>
      <c r="D38" s="13" t="s">
        <v>124</v>
      </c>
      <c r="E38" s="4">
        <f>B38-Seperjalanan!B35</f>
        <v>-5240000</v>
      </c>
    </row>
    <row r="39" spans="1:6" x14ac:dyDescent="0.2">
      <c r="A39" s="13" t="s">
        <v>98</v>
      </c>
      <c r="B39" s="4">
        <f>Assumptions!$B$14*Assumptions!$B$19</f>
        <v>60000000</v>
      </c>
    </row>
    <row r="40" spans="1:6" x14ac:dyDescent="0.2">
      <c r="A40" s="13" t="s">
        <v>99</v>
      </c>
      <c r="B40" s="5">
        <f>B38/B39</f>
        <v>0.22433333333333333</v>
      </c>
    </row>
    <row r="41" spans="1:6" x14ac:dyDescent="0.2">
      <c r="A41" s="13" t="s">
        <v>12</v>
      </c>
      <c r="B41" s="4">
        <f>B38/Assumptions!$B$19</f>
        <v>4486666.666666667</v>
      </c>
    </row>
    <row r="42" spans="1:6" x14ac:dyDescent="0.2">
      <c r="A42" s="13" t="s">
        <v>100</v>
      </c>
      <c r="B42" s="5">
        <f>B37/B39</f>
        <v>1.4333333333333333E-2</v>
      </c>
    </row>
    <row r="44" spans="1:6" x14ac:dyDescent="0.2">
      <c r="A44" s="12" t="s">
        <v>101</v>
      </c>
    </row>
    <row r="45" spans="1:6" x14ac:dyDescent="0.2">
      <c r="A45" s="2" t="s">
        <v>65</v>
      </c>
      <c r="B45" s="2" t="s">
        <v>102</v>
      </c>
      <c r="C45" s="2" t="s">
        <v>103</v>
      </c>
    </row>
    <row r="46" spans="1:6" x14ac:dyDescent="0.2">
      <c r="A46" s="32" t="s">
        <v>71</v>
      </c>
      <c r="B46" s="32" t="str">
        <f>B4&amp;" sesi konseling online (60 menit) - ~"&amp;TEXT(B10,"0")&amp;" pegawai x "&amp;Assumptions!$B$13&amp;" sesi"</f>
        <v>36 sesi konseling online (60 menit) - ~12 pegawai x 3 sesi</v>
      </c>
      <c r="C46" s="34">
        <f>B9</f>
        <v>20000000</v>
      </c>
    </row>
    <row r="47" spans="1:6" x14ac:dyDescent="0.2">
      <c r="A47" s="32" t="s">
        <v>107</v>
      </c>
      <c r="B47" s="32" t="str">
        <f>B5&amp;"x MHCU ("&amp;IF(B5=2,"pre &amp; post","baseline")&amp;")"</f>
        <v>2x MHCU (pre &amp; post)</v>
      </c>
      <c r="C47" s="36"/>
    </row>
    <row r="48" spans="1:6" x14ac:dyDescent="0.2">
      <c r="A48" s="32" t="s">
        <v>79</v>
      </c>
      <c r="B48" s="32" t="s">
        <v>109</v>
      </c>
      <c r="C48" s="36"/>
    </row>
    <row r="49" spans="1:3" x14ac:dyDescent="0.2">
      <c r="A49" s="32" t="s">
        <v>79</v>
      </c>
      <c r="B49" s="32" t="s">
        <v>110</v>
      </c>
      <c r="C49" s="36"/>
    </row>
    <row r="50" spans="1:3" x14ac:dyDescent="0.2">
      <c r="A50" s="32" t="s">
        <v>125</v>
      </c>
      <c r="B50" s="32" t="s">
        <v>126</v>
      </c>
      <c r="C50" s="36"/>
    </row>
    <row r="51" spans="1:3" x14ac:dyDescent="0.2">
      <c r="A51" s="32" t="s">
        <v>104</v>
      </c>
      <c r="B51" s="32" t="s">
        <v>105</v>
      </c>
      <c r="C51" s="35"/>
    </row>
  </sheetData>
  <mergeCells count="1">
    <mergeCell ref="C46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</vt:lpstr>
      <vt:lpstr>Assumptions</vt:lpstr>
      <vt:lpstr>Sapa</vt:lpstr>
      <vt:lpstr>Tumbuh</vt:lpstr>
      <vt:lpstr>Seperjalanan</vt:lpstr>
      <vt:lpstr>Berbagi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dcterms:created xsi:type="dcterms:W3CDTF">2026-10-16T04:39:44Z</dcterms:created>
  <dcterms:modified xsi:type="dcterms:W3CDTF">2026-10-16T04:40:26Z</dcterms:modified>
</cp:coreProperties>
</file>