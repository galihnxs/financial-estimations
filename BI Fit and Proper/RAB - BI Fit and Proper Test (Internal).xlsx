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galihmujiagung/Library/Containers/com.microsoft.Excel/Data/tmp_recalc/"/>
    </mc:Choice>
  </mc:AlternateContent>
  <xr:revisionPtr revIDLastSave="0" documentId="13_ncr:1_{CB3F0E03-1F5E-D74E-BF76-1255C5CFA6CD}" xr6:coauthVersionLast="47" xr6:coauthVersionMax="47" xr10:uidLastSave="{00000000-0000-0000-0000-000000000000}"/>
  <bookViews>
    <workbookView xWindow="0" yWindow="0" windowWidth="34200" windowHeight="22240" xr2:uid="{00000000-000D-0000-FFFF-FFFF00000000}"/>
  </bookViews>
  <sheets>
    <sheet name="Ringkasan" sheetId="1" r:id="rId1"/>
    <sheet name="Asumsi" sheetId="2" r:id="rId2"/>
    <sheet name="RAB" sheetId="3" r:id="rId3"/>
    <sheet name="Harga Proposal" sheetId="4" r:id="rId4"/>
    <sheet name="RAB Lama vs Baru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B12" i="5" s="1"/>
  <c r="C9" i="4"/>
  <c r="F9" i="4" s="1"/>
  <c r="C8" i="4"/>
  <c r="F8" i="4" s="1"/>
  <c r="F7" i="4"/>
  <c r="C6" i="4"/>
  <c r="F6" i="4" s="1"/>
  <c r="F5" i="4"/>
  <c r="B26" i="3"/>
  <c r="B25" i="3"/>
  <c r="I19" i="3"/>
  <c r="G19" i="3"/>
  <c r="J19" i="3" s="1"/>
  <c r="I18" i="3"/>
  <c r="F18" i="3"/>
  <c r="G18" i="3" s="1"/>
  <c r="J18" i="3" s="1"/>
  <c r="I17" i="3"/>
  <c r="F17" i="3"/>
  <c r="G17" i="3" s="1"/>
  <c r="J17" i="3" s="1"/>
  <c r="I16" i="3"/>
  <c r="E16" i="3"/>
  <c r="D16" i="3"/>
  <c r="G16" i="3" s="1"/>
  <c r="J16" i="3" s="1"/>
  <c r="I15" i="3"/>
  <c r="F15" i="3"/>
  <c r="E15" i="3"/>
  <c r="I14" i="3"/>
  <c r="F14" i="3"/>
  <c r="E14" i="3"/>
  <c r="G14" i="3" s="1"/>
  <c r="J14" i="3" s="1"/>
  <c r="I13" i="3"/>
  <c r="F13" i="3"/>
  <c r="E13" i="3"/>
  <c r="G13" i="3" s="1"/>
  <c r="J13" i="3" s="1"/>
  <c r="I12" i="3"/>
  <c r="F12" i="3"/>
  <c r="E12" i="3"/>
  <c r="G12" i="3" s="1"/>
  <c r="J12" i="3" s="1"/>
  <c r="I11" i="3"/>
  <c r="E11" i="3"/>
  <c r="D11" i="3"/>
  <c r="G11" i="3" s="1"/>
  <c r="J11" i="3" s="1"/>
  <c r="I10" i="3"/>
  <c r="E10" i="3"/>
  <c r="D10" i="3"/>
  <c r="G10" i="3" s="1"/>
  <c r="J10" i="3" s="1"/>
  <c r="I9" i="3"/>
  <c r="F9" i="3"/>
  <c r="G9" i="3" s="1"/>
  <c r="J9" i="3" s="1"/>
  <c r="I8" i="3"/>
  <c r="E8" i="3"/>
  <c r="G8" i="3" s="1"/>
  <c r="J8" i="3" s="1"/>
  <c r="D7" i="5" s="1"/>
  <c r="E7" i="5" s="1"/>
  <c r="I7" i="3"/>
  <c r="E7" i="3"/>
  <c r="D7" i="3"/>
  <c r="G7" i="3" s="1"/>
  <c r="J7" i="3" s="1"/>
  <c r="I6" i="3"/>
  <c r="E6" i="3"/>
  <c r="D6" i="3"/>
  <c r="G6" i="3" s="1"/>
  <c r="J6" i="3" s="1"/>
  <c r="I5" i="3"/>
  <c r="E5" i="3"/>
  <c r="D5" i="3"/>
  <c r="G5" i="3" s="1"/>
  <c r="B6" i="1"/>
  <c r="B5" i="1"/>
  <c r="B4" i="1"/>
  <c r="B3" i="1"/>
  <c r="B27" i="3" l="1"/>
  <c r="J5" i="3"/>
  <c r="G15" i="3"/>
  <c r="J15" i="3" s="1"/>
  <c r="F10" i="4"/>
  <c r="B28" i="3"/>
  <c r="B29" i="3"/>
  <c r="G9" i="4"/>
  <c r="D9" i="5"/>
  <c r="E9" i="5" s="1"/>
  <c r="G8" i="4"/>
  <c r="D4" i="5"/>
  <c r="G7" i="4"/>
  <c r="D5" i="5"/>
  <c r="E5" i="5" s="1"/>
  <c r="G6" i="4"/>
  <c r="H6" i="4" s="1"/>
  <c r="I6" i="4" s="1"/>
  <c r="D6" i="5"/>
  <c r="E6" i="5" s="1"/>
  <c r="J22" i="3"/>
  <c r="J20" i="3"/>
  <c r="B35" i="3" s="1"/>
  <c r="B10" i="1" s="1"/>
  <c r="G5" i="4"/>
  <c r="D8" i="5"/>
  <c r="E8" i="5" s="1"/>
  <c r="D10" i="5"/>
  <c r="E10" i="5" s="1"/>
  <c r="F12" i="4" l="1"/>
  <c r="B14" i="1" s="1"/>
  <c r="F11" i="4"/>
  <c r="B7" i="1"/>
  <c r="E4" i="5"/>
  <c r="E11" i="5" s="1"/>
  <c r="D11" i="5"/>
  <c r="D12" i="5" s="1"/>
  <c r="B44" i="3"/>
  <c r="B45" i="3"/>
  <c r="B8" i="1"/>
  <c r="J21" i="3"/>
  <c r="B9" i="1"/>
  <c r="B30" i="3"/>
  <c r="B31" i="3" s="1"/>
  <c r="B42" i="3"/>
  <c r="B43" i="3"/>
  <c r="B46" i="3"/>
  <c r="H5" i="4"/>
  <c r="G10" i="4"/>
  <c r="H8" i="4"/>
  <c r="I8" i="4" s="1"/>
  <c r="H7" i="4"/>
  <c r="I7" i="4" s="1"/>
  <c r="H9" i="4"/>
  <c r="I9" i="4" s="1"/>
  <c r="B32" i="3" l="1"/>
  <c r="B33" i="3" s="1"/>
  <c r="B37" i="3"/>
  <c r="B13" i="1" s="1"/>
  <c r="C44" i="3"/>
  <c r="D44" i="3"/>
  <c r="D45" i="3"/>
  <c r="C45" i="3"/>
  <c r="C42" i="3"/>
  <c r="D42" i="3"/>
  <c r="C43" i="3"/>
  <c r="D43" i="3"/>
  <c r="C46" i="3"/>
  <c r="D46" i="3"/>
  <c r="I5" i="4"/>
  <c r="H10" i="4"/>
  <c r="I10" i="4" s="1"/>
  <c r="B34" i="3" l="1"/>
  <c r="B12" i="1" s="1"/>
  <c r="B36" i="3"/>
  <c r="B38" i="3"/>
  <c r="B11" i="1"/>
</calcChain>
</file>

<file path=xl/sharedStrings.xml><?xml version="1.0" encoding="utf-8"?>
<sst xmlns="http://schemas.openxmlformats.org/spreadsheetml/2006/main" count="258" uniqueCount="183">
  <si>
    <t>RINGKASAN - BI Fit and Proper Test (INTERNAL, bukan untuk klien)</t>
  </si>
  <si>
    <t>Jumlah peserta</t>
  </si>
  <si>
    <t>Harga disepakati BI</t>
  </si>
  <si>
    <t>Harga per peserta</t>
  </si>
  <si>
    <t>Status pajak</t>
  </si>
  <si>
    <t>Diterima setelah pajak (PPN jika PKP, PPh 23)</t>
  </si>
  <si>
    <t>Jumlah biaya</t>
  </si>
  <si>
    <t>Biaya per peserta</t>
  </si>
  <si>
    <t>Markup harga terhadap biaya</t>
  </si>
  <si>
    <t>PROFIT NETT (setelah pajak dan komisi)</t>
  </si>
  <si>
    <t>Margin nett terhadap harga</t>
  </si>
  <si>
    <t>AFTER COST jika semua sesi oleh psikolog in-house</t>
  </si>
  <si>
    <t>Cek harga per layanan di proposal</t>
  </si>
  <si>
    <t>Catatan:</t>
  </si>
  <si>
    <t>1. Semua honor psikolog dihitung per jam: Rp110.000/jam untuk kerja dokumen (rubrik, skoring, laporan), Rp350.000/jam untuk tatap muka (LGD, wawancara) sesuai biaya dasar konseling.</t>
  </si>
  <si>
    <t>2. Rubrik disusun 2 psikolog, masing-masing minimal 2 jam, sesuai arahan Galih.</t>
  </si>
  <si>
    <t>3. TJ Non-PKP (dikonfirmasi 28 Okt 2026), jadi tidak ada PPN. Penawaran 28 Okt yang menulis 'sudah termasuk PPN' perlu dikoreksi jika dikirim ulang.</t>
  </si>
  <si>
    <t>4. Transport mengasumsikan tatap muka di Jakarta. Jika lokasi lain atau online, ubah di Asumsi.</t>
  </si>
  <si>
    <t>5. Tab 'Harga Proposal' adalah satu-satunya angka yang boleh keluar ke BI. Tab lain internal.</t>
  </si>
  <si>
    <t>ASUMSI - BI Fit and Proper Test (INTERNAL, bukan untuk klien). Sel biru = input.</t>
  </si>
  <si>
    <t>Asumsi</t>
  </si>
  <si>
    <t>Nilai</t>
  </si>
  <si>
    <t>Satuan</t>
  </si>
  <si>
    <t>Sumber / catatan</t>
  </si>
  <si>
    <t>orang</t>
  </si>
  <si>
    <t>Penawaran 28 Okt 2026, disetujui BI</t>
  </si>
  <si>
    <t>Harga final disepakati BI (total)</t>
  </si>
  <si>
    <t>Rp</t>
  </si>
  <si>
    <t>BI: "pakai Rp15.000.000 saja". Naik dari penawaran Rp14.520.000</t>
  </si>
  <si>
    <t>Status pajak Teman Journey (PKP / Non-PKP)</t>
  </si>
  <si>
    <t>Non-PKP</t>
  </si>
  <si>
    <t>-</t>
  </si>
  <si>
    <t>Dikonfirmasi Galih 28 Okt 2026: Non-PKP. Ganti ke PKP hanya jika sudah dikukuhkan PKP</t>
  </si>
  <si>
    <t>Tarif PPN efektif (hanya jika PKP)</t>
  </si>
  <si>
    <t>%</t>
  </si>
  <si>
    <t>12% x DPP nilai lain 11/12 = 11% efektif</t>
  </si>
  <si>
    <t>PPh 23 dipotong BI</t>
  </si>
  <si>
    <t>Sama dengan model BI Sibolga. Bisa dikreditkan di SPT badan, di sini dihitung sebagai biaya (konservatif)</t>
  </si>
  <si>
    <t>Honor psikolog: penyusunan dokumen per jam</t>
  </si>
  <si>
    <t>Rp/jam</t>
  </si>
  <si>
    <t>Diberikan Galih (28 Okt 2026): Rp110.000 per jam untuk pembuatan dokumen</t>
  </si>
  <si>
    <t>Jam minimal per psikolog per rubrik</t>
  </si>
  <si>
    <t>jam</t>
  </si>
  <si>
    <t>Diberikan Galih: tiap psikolog minimal 2 jam</t>
  </si>
  <si>
    <t>Psikolog yang menyusun tiap rubrik</t>
  </si>
  <si>
    <t>Juri utama + psikolog fasilitator LGD menyusun bersama</t>
  </si>
  <si>
    <t>Honor psikolog: tatap muka asesmen per jam (biaya dasar konseling)</t>
  </si>
  <si>
    <t>Biaya dasar konseling TJ: honor psikolog Rp350.000 per sesi 60 menit (BI Sibolga, dari Kia)</t>
  </si>
  <si>
    <t>Jam koordinasi kebutuhan BI per psikolog</t>
  </si>
  <si>
    <t>Kick-off: kompetensi target, jadwal, format laporan</t>
  </si>
  <si>
    <t>Jam penyusunan studi kasus dan instruksi LGD</t>
  </si>
  <si>
    <t>Disusun psikolog fasilitator LGD</t>
  </si>
  <si>
    <t>Durasi LGD termasuk briefing</t>
  </si>
  <si>
    <t>Briefing 15 menit, diskusi 60-75 menit, penutupan</t>
  </si>
  <si>
    <t>Psikolog di sesi LGD</t>
  </si>
  <si>
    <t>1 fasilitator + 1 asesor, masing-masing mengamati 3 peserta</t>
  </si>
  <si>
    <t>Jam skoring LGD per psikolog</t>
  </si>
  <si>
    <t>Mengisi rubrik dan catatan perilaku</t>
  </si>
  <si>
    <t>Durasi wawancara per peserta</t>
  </si>
  <si>
    <t>Wawancara terstruktur berbasis perilaku</t>
  </si>
  <si>
    <t>Jam skoring dan catatan wawancara per peserta</t>
  </si>
  <si>
    <t>Jam penulisan laporan per peserta</t>
  </si>
  <si>
    <t>Integrasi tes, LGD, wawancara</t>
  </si>
  <si>
    <t>Jam review mutu laporan oleh juri utama per peserta</t>
  </si>
  <si>
    <t>Jam rapat integrasi hasil per psikolog</t>
  </si>
  <si>
    <t>Menyepakati rekomendasi akhir tiap peserta</t>
  </si>
  <si>
    <t>Tes BFI + DISC per peserta</t>
  </si>
  <si>
    <t>Rp/peserta</t>
  </si>
  <si>
    <t>RAB lama</t>
  </si>
  <si>
    <t>Admin dan koordinasi jadwal per peserta</t>
  </si>
  <si>
    <t>Rujukan admin per sesi BI Sibolga</t>
  </si>
  <si>
    <t>Transport psikolog per orang per hari</t>
  </si>
  <si>
    <t>ASUMSI: pelaksanaan tatap muka di Jakarta. Isi 0 jika online</t>
  </si>
  <si>
    <t>Total kehadiran psikolog (orang x hari)</t>
  </si>
  <si>
    <t>orang-hari</t>
  </si>
  <si>
    <t>ASUMSI: juri utama 2 hari (LGD + wawancara), fasilitator 1 hari</t>
  </si>
  <si>
    <t>Kontrak dan materai</t>
  </si>
  <si>
    <t>Rujukan BI Sibolga</t>
  </si>
  <si>
    <t>Komisi (% dari profit kotor)</t>
  </si>
  <si>
    <t>Biaya operasional bulanan TJ</t>
  </si>
  <si>
    <t>Target profit nett</t>
  </si>
  <si>
    <t>RAB INTERNAL - Asesmen Fit and Proper Test, Bank Indonesia (6 peserta)</t>
  </si>
  <si>
    <t>Biaya psikolog = orang x jam x kali x tarif per jam. Kolom Komponen menghubungkan tiap biaya ke layanan di proposal.</t>
  </si>
  <si>
    <t>No</t>
  </si>
  <si>
    <t>Kategori</t>
  </si>
  <si>
    <t>Item biaya</t>
  </si>
  <si>
    <t>Orang</t>
  </si>
  <si>
    <t>Jam / orang</t>
  </si>
  <si>
    <t>Kali</t>
  </si>
  <si>
    <t>Qty</t>
  </si>
  <si>
    <t>Tarif</t>
  </si>
  <si>
    <t>Total</t>
  </si>
  <si>
    <t>Komponen proposal</t>
  </si>
  <si>
    <t>Jenis</t>
  </si>
  <si>
    <t>Persiapan</t>
  </si>
  <si>
    <t>Koordinasi kebutuhan dan kompetensi target dengan BI</t>
  </si>
  <si>
    <t>Honor</t>
  </si>
  <si>
    <t>Rubrik penilaian wawancara</t>
  </si>
  <si>
    <t>Rubrik penilaian LGD</t>
  </si>
  <si>
    <t>Studi kasus dan instruksi LGD</t>
  </si>
  <si>
    <t>Tes</t>
  </si>
  <si>
    <t>Tes BFI + DISC (platform dan skoring)</t>
  </si>
  <si>
    <t>peserta</t>
  </si>
  <si>
    <t>Langsung</t>
  </si>
  <si>
    <t>LGD</t>
  </si>
  <si>
    <t>Pelaksanaan LGD (fasilitator + asesor)</t>
  </si>
  <si>
    <t>Skoring dan catatan perilaku LGD</t>
  </si>
  <si>
    <t>Wawancara</t>
  </si>
  <si>
    <t>Wawancara oleh psikolog juri utama</t>
  </si>
  <si>
    <t>Skoring dan catatan wawancara</t>
  </si>
  <si>
    <t>Laporan</t>
  </si>
  <si>
    <t>Penulisan laporan asesmen komprehensif</t>
  </si>
  <si>
    <t>Review mutu laporan oleh juri utama</t>
  </si>
  <si>
    <t>Rapat integrasi hasil dan rekomendasi</t>
  </si>
  <si>
    <t>Operasional</t>
  </si>
  <si>
    <t>Admin dan koordinasi jadwal peserta</t>
  </si>
  <si>
    <t>Overhead</t>
  </si>
  <si>
    <t>Transport psikolog</t>
  </si>
  <si>
    <t>deal</t>
  </si>
  <si>
    <t>Jumlah Biaya</t>
  </si>
  <si>
    <t>Total honor psikolog</t>
  </si>
  <si>
    <t>PENDAPATAN DAN PROFIT</t>
  </si>
  <si>
    <t>NILAI AKHIR (harga disepakati BI)</t>
  </si>
  <si>
    <t>PPN terutang (0 jika Non-PKP)</t>
  </si>
  <si>
    <t>Pendapatan bersih PPN (DPP)</t>
  </si>
  <si>
    <t>AFTER PAJAK</t>
  </si>
  <si>
    <t>AFTER COST (profit kotor)</t>
  </si>
  <si>
    <t>Komisi</t>
  </si>
  <si>
    <t>PROFIT NETT</t>
  </si>
  <si>
    <t>Markup harga (DPP) terhadap biaya</t>
  </si>
  <si>
    <t>Capai target profit nett?</t>
  </si>
  <si>
    <t>AFTER COST jika semua sesi oleh psikolog in-house (honor Rp0)</t>
  </si>
  <si>
    <t>% biaya operasional 1 bulan tertutup (profit nett)</t>
  </si>
  <si>
    <t>SKENARIO MARKUP (cek: harga Rp15jt ada di markup berapa)</t>
  </si>
  <si>
    <t>Markup</t>
  </si>
  <si>
    <t>Harga jual total</t>
  </si>
  <si>
    <t>Harga / peserta</t>
  </si>
  <si>
    <t>Profit nett (setelah pajak, komisi)</t>
  </si>
  <si>
    <t>HARGA PER LAYANAN UNTUK PROPOSAL (harga jual, bukan biaya). Sel biru = harga yang ditulis di proposal.</t>
  </si>
  <si>
    <t>Total harus sama dengan harga disepakati BI. Overhead dibagi ke tiap layanan sesuai porsi biaya langsungnya.</t>
  </si>
  <si>
    <t>Layanan (bahasa proposal)</t>
  </si>
  <si>
    <t>Volume</t>
  </si>
  <si>
    <t>Harga satuan</t>
  </si>
  <si>
    <t>Jumlah</t>
  </si>
  <si>
    <t>Biaya langsung</t>
  </si>
  <si>
    <t>Biaya + porsi overhead</t>
  </si>
  <si>
    <t>Penyesuaian kebutuhan dan penyusunan rubrik penilaian</t>
  </si>
  <si>
    <t>paket</t>
  </si>
  <si>
    <t>Tes psikologi BFI dan DISC</t>
  </si>
  <si>
    <t>Leaderless Group Discussion (LGD)</t>
  </si>
  <si>
    <t>sesi</t>
  </si>
  <si>
    <t>Laporan asesmen komprehensif dan rekomendasi</t>
  </si>
  <si>
    <t>TOTAL</t>
  </si>
  <si>
    <t>Cek: total = harga disepakati BI</t>
  </si>
  <si>
    <t>Kenapa RAB lama tidak bisa dipakai: total biayanya Rp15.020.000, lebih besar dari harga Rp15.000.000</t>
  </si>
  <si>
    <t>Item RAB lama</t>
  </si>
  <si>
    <t>Baris RAB baru</t>
  </si>
  <si>
    <t>RAB baru</t>
  </si>
  <si>
    <t>Selisih</t>
  </si>
  <si>
    <t>Kenapa berubah</t>
  </si>
  <si>
    <t>Psikolog juri utama (Rp750.000 x 6 kandidat)</t>
  </si>
  <si>
    <t>8-9</t>
  </si>
  <si>
    <t>Lama: tarif borongan per kandidat tanpa dasar jam. Baru: 1 jam wawancara (Rp350rb/jam) + 0,5 jam skoring (Rp110rb/jam) per peserta</t>
  </si>
  <si>
    <t>Psikolog LGD (Rp2.000.000 per sesi)</t>
  </si>
  <si>
    <t>6-7</t>
  </si>
  <si>
    <t>Baru: 2 psikolog x 2 jam tatap muka + 1 jam skoring masing-masing</t>
  </si>
  <si>
    <t>BFI - DISC (Rp120.000 x 6)</t>
  </si>
  <si>
    <t>5</t>
  </si>
  <si>
    <t>Tidak berubah</t>
  </si>
  <si>
    <t>Rubrik asesmen LGD (Rp2.500.000)</t>
  </si>
  <si>
    <t>3-4</t>
  </si>
  <si>
    <t>Baru: 2 psikolog x 2 jam x Rp110rb/jam, ditambah studi kasus LGD 2 jam</t>
  </si>
  <si>
    <t>Rubrik asesmen wawancara (Rp2.750.000)</t>
  </si>
  <si>
    <t>1-2</t>
  </si>
  <si>
    <t>Baru: 2 psikolog x 2 jam x Rp110rb/jam, ditambah 1 jam koordinasi kebutuhan BI per psikolog</t>
  </si>
  <si>
    <t>Laporan asesmen komprehensif (Rp425.000 x 6)</t>
  </si>
  <si>
    <t>10-12</t>
  </si>
  <si>
    <t>Baru: 2 jam tulis + 0,5 jam review per laporan, ditambah 1 jam rapat integrasi per psikolog</t>
  </si>
  <si>
    <t>(tidak ada)</t>
  </si>
  <si>
    <t>13-15</t>
  </si>
  <si>
    <t>Baru: admin, transport, kontrak dan materai yang dulu belum dihitung</t>
  </si>
  <si>
    <t>TOTAL BIAYA</t>
  </si>
  <si>
    <t>Profit kotor pada harga Rp15jt (sebelum pajak dan komisi)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</si>
</sst>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;[Red]\-&quot;Rp&quot;#,##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557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FCF"/>
      </left>
      <right style="thin">
        <color rgb="FFB7BFCF"/>
      </right>
      <top style="thin">
        <color rgb="FFB7BFCF"/>
      </top>
      <bottom style="thin">
        <color rgb="FFB7BFC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4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/>
    <xf numFmtId="0" fontId="0" fillId="0" borderId="1" xfId="0" applyBorder="1" applyAlignment="1">
      <alignment vertical="top" wrapText="1"/>
    </xf>
    <xf numFmtId="164" fontId="3" fillId="0" borderId="1" xfId="0" applyNumberFormat="1" applyFont="1" applyBorder="1"/>
    <xf numFmtId="165" fontId="3" fillId="0" borderId="1" xfId="0" applyNumberFormat="1" applyFont="1" applyBorder="1"/>
    <xf numFmtId="164" fontId="4" fillId="0" borderId="0" xfId="0" applyNumberFormat="1" applyFont="1"/>
    <xf numFmtId="164" fontId="0" fillId="0" borderId="0" xfId="0" applyNumberFormat="1"/>
    <xf numFmtId="0" fontId="4" fillId="3" borderId="0" xfId="0" applyFont="1" applyFill="1"/>
    <xf numFmtId="164" fontId="4" fillId="3" borderId="0" xfId="0" applyNumberFormat="1" applyFont="1" applyFill="1"/>
    <xf numFmtId="165" fontId="0" fillId="0" borderId="0" xfId="0" applyNumberFormat="1"/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baseColWidth="10" defaultColWidth="8.83203125" defaultRowHeight="15" x14ac:dyDescent="0.2"/>
  <cols>
    <col min="1" max="1" width="52" customWidth="1"/>
    <col min="2" max="2" width="20" customWidth="1"/>
  </cols>
  <sheetData>
    <row r="1" spans="1:2" ht="17" x14ac:dyDescent="0.2">
      <c r="A1" s="1" t="s">
        <v>0</v>
      </c>
    </row>
    <row r="3" spans="1:2" x14ac:dyDescent="0.2">
      <c r="A3" s="2" t="s">
        <v>1</v>
      </c>
      <c r="B3" s="3">
        <f>Asumsi!$B$3</f>
        <v>6</v>
      </c>
    </row>
    <row r="4" spans="1:2" x14ac:dyDescent="0.2">
      <c r="A4" s="2" t="s">
        <v>2</v>
      </c>
      <c r="B4" s="4">
        <f>Asumsi!$B$4</f>
        <v>15000000</v>
      </c>
    </row>
    <row r="5" spans="1:2" x14ac:dyDescent="0.2">
      <c r="A5" s="2" t="s">
        <v>3</v>
      </c>
      <c r="B5" s="4">
        <f>Asumsi!$B$4/Asumsi!$B$3</f>
        <v>2500000</v>
      </c>
    </row>
    <row r="6" spans="1:2" x14ac:dyDescent="0.2">
      <c r="A6" s="2" t="s">
        <v>4</v>
      </c>
      <c r="B6" s="2" t="str">
        <f>Asumsi!$B$5</f>
        <v>Non-PKP</v>
      </c>
    </row>
    <row r="7" spans="1:2" x14ac:dyDescent="0.2">
      <c r="A7" s="2" t="s">
        <v>5</v>
      </c>
      <c r="B7" s="4">
        <f>RAB!$B$29</f>
        <v>14700000</v>
      </c>
    </row>
    <row r="8" spans="1:2" x14ac:dyDescent="0.2">
      <c r="A8" s="2" t="s">
        <v>6</v>
      </c>
      <c r="B8" s="4">
        <f>RAB!$J$20</f>
        <v>8770000</v>
      </c>
    </row>
    <row r="9" spans="1:2" x14ac:dyDescent="0.2">
      <c r="A9" s="2" t="s">
        <v>7</v>
      </c>
      <c r="B9" s="4">
        <f>RAB!$J$20/Asumsi!$B$3</f>
        <v>1461666.6666666667</v>
      </c>
    </row>
    <row r="10" spans="1:2" x14ac:dyDescent="0.2">
      <c r="A10" s="2" t="s">
        <v>8</v>
      </c>
      <c r="B10" s="5">
        <f>RAB!$B$35</f>
        <v>0.71037628278221199</v>
      </c>
    </row>
    <row r="11" spans="1:2" x14ac:dyDescent="0.2">
      <c r="A11" s="6" t="s">
        <v>9</v>
      </c>
      <c r="B11" s="7">
        <f>RAB!$B$33</f>
        <v>5337000</v>
      </c>
    </row>
    <row r="12" spans="1:2" x14ac:dyDescent="0.2">
      <c r="A12" s="2" t="s">
        <v>10</v>
      </c>
      <c r="B12" s="5">
        <f>RAB!$B$34</f>
        <v>0.35580000000000001</v>
      </c>
    </row>
    <row r="13" spans="1:2" x14ac:dyDescent="0.2">
      <c r="A13" s="2" t="s">
        <v>11</v>
      </c>
      <c r="B13" s="4">
        <f>RAB!$B$37</f>
        <v>13170000</v>
      </c>
    </row>
    <row r="14" spans="1:2" x14ac:dyDescent="0.2">
      <c r="A14" s="2" t="s">
        <v>12</v>
      </c>
      <c r="B14" s="2" t="str">
        <f>'Harga Proposal'!F12</f>
        <v>OK</v>
      </c>
    </row>
    <row r="16" spans="1:2" x14ac:dyDescent="0.2">
      <c r="A16" s="8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baseColWidth="10" defaultColWidth="8.83203125" defaultRowHeight="15" x14ac:dyDescent="0.2"/>
  <cols>
    <col min="1" max="1" width="48" customWidth="1"/>
    <col min="2" max="2" width="16" customWidth="1"/>
    <col min="3" max="3" width="12" customWidth="1"/>
    <col min="4" max="4" width="80" customWidth="1"/>
  </cols>
  <sheetData>
    <row r="1" spans="1:4" ht="17" x14ac:dyDescent="0.2">
      <c r="A1" s="1" t="s">
        <v>19</v>
      </c>
    </row>
    <row r="2" spans="1:4" ht="16" x14ac:dyDescent="0.2">
      <c r="A2" s="9" t="s">
        <v>20</v>
      </c>
      <c r="B2" s="9" t="s">
        <v>21</v>
      </c>
      <c r="C2" s="9" t="s">
        <v>22</v>
      </c>
      <c r="D2" s="9" t="s">
        <v>23</v>
      </c>
    </row>
    <row r="3" spans="1:4" ht="16" x14ac:dyDescent="0.2">
      <c r="A3" s="2" t="s">
        <v>1</v>
      </c>
      <c r="B3" s="10">
        <v>6</v>
      </c>
      <c r="C3" s="2" t="s">
        <v>24</v>
      </c>
      <c r="D3" s="11" t="s">
        <v>25</v>
      </c>
    </row>
    <row r="4" spans="1:4" ht="16" x14ac:dyDescent="0.2">
      <c r="A4" s="2" t="s">
        <v>26</v>
      </c>
      <c r="B4" s="12">
        <v>15000000</v>
      </c>
      <c r="C4" s="2" t="s">
        <v>27</v>
      </c>
      <c r="D4" s="11" t="s">
        <v>28</v>
      </c>
    </row>
    <row r="5" spans="1:4" ht="16" x14ac:dyDescent="0.2">
      <c r="A5" s="2" t="s">
        <v>29</v>
      </c>
      <c r="B5" s="10" t="s">
        <v>30</v>
      </c>
      <c r="C5" s="2" t="s">
        <v>31</v>
      </c>
      <c r="D5" s="11" t="s">
        <v>32</v>
      </c>
    </row>
    <row r="6" spans="1:4" ht="16" x14ac:dyDescent="0.2">
      <c r="A6" s="2" t="s">
        <v>33</v>
      </c>
      <c r="B6" s="13">
        <v>0.11</v>
      </c>
      <c r="C6" s="2" t="s">
        <v>34</v>
      </c>
      <c r="D6" s="11" t="s">
        <v>35</v>
      </c>
    </row>
    <row r="7" spans="1:4" ht="32" x14ac:dyDescent="0.2">
      <c r="A7" s="2" t="s">
        <v>36</v>
      </c>
      <c r="B7" s="13">
        <v>0.02</v>
      </c>
      <c r="C7" s="2" t="s">
        <v>34</v>
      </c>
      <c r="D7" s="11" t="s">
        <v>37</v>
      </c>
    </row>
    <row r="8" spans="1:4" ht="16" x14ac:dyDescent="0.2">
      <c r="A8" s="2" t="s">
        <v>38</v>
      </c>
      <c r="B8" s="12">
        <v>110000</v>
      </c>
      <c r="C8" s="2" t="s">
        <v>39</v>
      </c>
      <c r="D8" s="11" t="s">
        <v>40</v>
      </c>
    </row>
    <row r="9" spans="1:4" ht="16" x14ac:dyDescent="0.2">
      <c r="A9" s="2" t="s">
        <v>41</v>
      </c>
      <c r="B9" s="10">
        <v>2</v>
      </c>
      <c r="C9" s="2" t="s">
        <v>42</v>
      </c>
      <c r="D9" s="11" t="s">
        <v>43</v>
      </c>
    </row>
    <row r="10" spans="1:4" ht="16" x14ac:dyDescent="0.2">
      <c r="A10" s="2" t="s">
        <v>44</v>
      </c>
      <c r="B10" s="10">
        <v>2</v>
      </c>
      <c r="C10" s="2" t="s">
        <v>24</v>
      </c>
      <c r="D10" s="11" t="s">
        <v>45</v>
      </c>
    </row>
    <row r="11" spans="1:4" ht="16" x14ac:dyDescent="0.2">
      <c r="A11" s="2" t="s">
        <v>46</v>
      </c>
      <c r="B11" s="12">
        <v>350000</v>
      </c>
      <c r="C11" s="2" t="s">
        <v>39</v>
      </c>
      <c r="D11" s="11" t="s">
        <v>47</v>
      </c>
    </row>
    <row r="12" spans="1:4" ht="16" x14ac:dyDescent="0.2">
      <c r="A12" s="2" t="s">
        <v>48</v>
      </c>
      <c r="B12" s="10">
        <v>1</v>
      </c>
      <c r="C12" s="2" t="s">
        <v>42</v>
      </c>
      <c r="D12" s="11" t="s">
        <v>49</v>
      </c>
    </row>
    <row r="13" spans="1:4" ht="16" x14ac:dyDescent="0.2">
      <c r="A13" s="2" t="s">
        <v>50</v>
      </c>
      <c r="B13" s="10">
        <v>2</v>
      </c>
      <c r="C13" s="2" t="s">
        <v>42</v>
      </c>
      <c r="D13" s="11" t="s">
        <v>51</v>
      </c>
    </row>
    <row r="14" spans="1:4" ht="16" x14ac:dyDescent="0.2">
      <c r="A14" s="2" t="s">
        <v>52</v>
      </c>
      <c r="B14" s="10">
        <v>2</v>
      </c>
      <c r="C14" s="2" t="s">
        <v>42</v>
      </c>
      <c r="D14" s="11" t="s">
        <v>53</v>
      </c>
    </row>
    <row r="15" spans="1:4" ht="16" x14ac:dyDescent="0.2">
      <c r="A15" s="2" t="s">
        <v>54</v>
      </c>
      <c r="B15" s="10">
        <v>2</v>
      </c>
      <c r="C15" s="2" t="s">
        <v>24</v>
      </c>
      <c r="D15" s="11" t="s">
        <v>55</v>
      </c>
    </row>
    <row r="16" spans="1:4" ht="16" x14ac:dyDescent="0.2">
      <c r="A16" s="2" t="s">
        <v>56</v>
      </c>
      <c r="B16" s="10">
        <v>1</v>
      </c>
      <c r="C16" s="2" t="s">
        <v>42</v>
      </c>
      <c r="D16" s="11" t="s">
        <v>57</v>
      </c>
    </row>
    <row r="17" spans="1:4" ht="16" x14ac:dyDescent="0.2">
      <c r="A17" s="2" t="s">
        <v>58</v>
      </c>
      <c r="B17" s="10">
        <v>1</v>
      </c>
      <c r="C17" s="2" t="s">
        <v>42</v>
      </c>
      <c r="D17" s="11" t="s">
        <v>59</v>
      </c>
    </row>
    <row r="18" spans="1:4" x14ac:dyDescent="0.2">
      <c r="A18" s="2" t="s">
        <v>60</v>
      </c>
      <c r="B18" s="10">
        <v>0.5</v>
      </c>
      <c r="C18" s="2" t="s">
        <v>42</v>
      </c>
      <c r="D18" s="11"/>
    </row>
    <row r="19" spans="1:4" ht="16" x14ac:dyDescent="0.2">
      <c r="A19" s="2" t="s">
        <v>61</v>
      </c>
      <c r="B19" s="10">
        <v>2</v>
      </c>
      <c r="C19" s="2" t="s">
        <v>42</v>
      </c>
      <c r="D19" s="11" t="s">
        <v>62</v>
      </c>
    </row>
    <row r="20" spans="1:4" x14ac:dyDescent="0.2">
      <c r="A20" s="2" t="s">
        <v>63</v>
      </c>
      <c r="B20" s="10">
        <v>0.5</v>
      </c>
      <c r="C20" s="2" t="s">
        <v>42</v>
      </c>
      <c r="D20" s="11"/>
    </row>
    <row r="21" spans="1:4" ht="16" x14ac:dyDescent="0.2">
      <c r="A21" s="2" t="s">
        <v>64</v>
      </c>
      <c r="B21" s="10">
        <v>1</v>
      </c>
      <c r="C21" s="2" t="s">
        <v>42</v>
      </c>
      <c r="D21" s="11" t="s">
        <v>65</v>
      </c>
    </row>
    <row r="22" spans="1:4" ht="16" x14ac:dyDescent="0.2">
      <c r="A22" s="2" t="s">
        <v>66</v>
      </c>
      <c r="B22" s="12">
        <v>120000</v>
      </c>
      <c r="C22" s="2" t="s">
        <v>67</v>
      </c>
      <c r="D22" s="11" t="s">
        <v>68</v>
      </c>
    </row>
    <row r="23" spans="1:4" ht="16" x14ac:dyDescent="0.2">
      <c r="A23" s="2" t="s">
        <v>69</v>
      </c>
      <c r="B23" s="12">
        <v>35000</v>
      </c>
      <c r="C23" s="2" t="s">
        <v>67</v>
      </c>
      <c r="D23" s="11" t="s">
        <v>70</v>
      </c>
    </row>
    <row r="24" spans="1:4" ht="16" x14ac:dyDescent="0.2">
      <c r="A24" s="2" t="s">
        <v>71</v>
      </c>
      <c r="B24" s="12">
        <v>150000</v>
      </c>
      <c r="C24" s="2" t="s">
        <v>27</v>
      </c>
      <c r="D24" s="11" t="s">
        <v>72</v>
      </c>
    </row>
    <row r="25" spans="1:4" ht="16" x14ac:dyDescent="0.2">
      <c r="A25" s="2" t="s">
        <v>73</v>
      </c>
      <c r="B25" s="10">
        <v>3</v>
      </c>
      <c r="C25" s="2" t="s">
        <v>74</v>
      </c>
      <c r="D25" s="11" t="s">
        <v>75</v>
      </c>
    </row>
    <row r="26" spans="1:4" ht="16" x14ac:dyDescent="0.2">
      <c r="A26" s="2" t="s">
        <v>76</v>
      </c>
      <c r="B26" s="12">
        <v>150000</v>
      </c>
      <c r="C26" s="2" t="s">
        <v>27</v>
      </c>
      <c r="D26" s="11" t="s">
        <v>77</v>
      </c>
    </row>
    <row r="27" spans="1:4" ht="16" x14ac:dyDescent="0.2">
      <c r="A27" s="2" t="s">
        <v>78</v>
      </c>
      <c r="B27" s="13">
        <v>0.1</v>
      </c>
      <c r="C27" s="2" t="s">
        <v>34</v>
      </c>
      <c r="D27" s="11" t="s">
        <v>68</v>
      </c>
    </row>
    <row r="28" spans="1:4" ht="16" x14ac:dyDescent="0.2">
      <c r="A28" s="2" t="s">
        <v>79</v>
      </c>
      <c r="B28" s="12">
        <v>20000000</v>
      </c>
      <c r="C28" s="2" t="s">
        <v>27</v>
      </c>
      <c r="D28" s="11" t="s">
        <v>77</v>
      </c>
    </row>
    <row r="29" spans="1:4" ht="16" x14ac:dyDescent="0.2">
      <c r="A29" s="2" t="s">
        <v>80</v>
      </c>
      <c r="B29" s="12">
        <v>1000000</v>
      </c>
      <c r="C29" s="2" t="s">
        <v>27</v>
      </c>
      <c r="D29" s="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"/>
  <sheetViews>
    <sheetView workbookViewId="0"/>
  </sheetViews>
  <sheetFormatPr baseColWidth="10" defaultColWidth="8.83203125" defaultRowHeight="15" x14ac:dyDescent="0.2"/>
  <cols>
    <col min="1" max="1" width="44" customWidth="1"/>
    <col min="2" max="2" width="18" customWidth="1"/>
    <col min="3" max="3" width="46" customWidth="1"/>
    <col min="4" max="4" width="8" customWidth="1"/>
    <col min="5" max="5" width="11" customWidth="1"/>
    <col min="6" max="7" width="8" customWidth="1"/>
    <col min="8" max="8" width="11" customWidth="1"/>
    <col min="9" max="9" width="14" customWidth="1"/>
    <col min="10" max="10" width="15" customWidth="1"/>
    <col min="11" max="11" width="18" customWidth="1"/>
    <col min="12" max="12" width="10" customWidth="1"/>
  </cols>
  <sheetData>
    <row r="1" spans="1:12" ht="17" x14ac:dyDescent="0.2">
      <c r="A1" s="1" t="s">
        <v>81</v>
      </c>
    </row>
    <row r="2" spans="1:12" x14ac:dyDescent="0.2">
      <c r="A2" t="s">
        <v>82</v>
      </c>
    </row>
    <row r="4" spans="1:12" ht="16" x14ac:dyDescent="0.2">
      <c r="A4" s="9" t="s">
        <v>83</v>
      </c>
      <c r="B4" s="9" t="s">
        <v>84</v>
      </c>
      <c r="C4" s="9" t="s">
        <v>85</v>
      </c>
      <c r="D4" s="9" t="s">
        <v>86</v>
      </c>
      <c r="E4" s="9" t="s">
        <v>87</v>
      </c>
      <c r="F4" s="9" t="s">
        <v>88</v>
      </c>
      <c r="G4" s="9" t="s">
        <v>89</v>
      </c>
      <c r="H4" s="9" t="s">
        <v>22</v>
      </c>
      <c r="I4" s="9" t="s">
        <v>90</v>
      </c>
      <c r="J4" s="9" t="s">
        <v>91</v>
      </c>
      <c r="K4" s="9" t="s">
        <v>92</v>
      </c>
      <c r="L4" s="9" t="s">
        <v>93</v>
      </c>
    </row>
    <row r="5" spans="1:12" ht="16" x14ac:dyDescent="0.2">
      <c r="A5" s="2">
        <v>1</v>
      </c>
      <c r="B5" s="2" t="s">
        <v>94</v>
      </c>
      <c r="C5" s="11" t="s">
        <v>95</v>
      </c>
      <c r="D5" s="2">
        <f>Asumsi!$B$10</f>
        <v>2</v>
      </c>
      <c r="E5" s="2">
        <f>Asumsi!$B$12</f>
        <v>1</v>
      </c>
      <c r="F5" s="2">
        <v>1</v>
      </c>
      <c r="G5" s="2">
        <f t="shared" ref="G5:G19" si="0">D5*E5*F5</f>
        <v>2</v>
      </c>
      <c r="H5" s="2" t="s">
        <v>42</v>
      </c>
      <c r="I5" s="4">
        <f>Asumsi!$B$8</f>
        <v>110000</v>
      </c>
      <c r="J5" s="4">
        <f t="shared" ref="J5:J19" si="1">G5*I5</f>
        <v>220000</v>
      </c>
      <c r="K5" s="2">
        <v>1</v>
      </c>
      <c r="L5" s="2" t="s">
        <v>96</v>
      </c>
    </row>
    <row r="6" spans="1:12" ht="16" x14ac:dyDescent="0.2">
      <c r="A6" s="2">
        <v>2</v>
      </c>
      <c r="B6" s="2" t="s">
        <v>94</v>
      </c>
      <c r="C6" s="11" t="s">
        <v>97</v>
      </c>
      <c r="D6" s="2">
        <f>Asumsi!$B$10</f>
        <v>2</v>
      </c>
      <c r="E6" s="2">
        <f>Asumsi!$B$9</f>
        <v>2</v>
      </c>
      <c r="F6" s="2">
        <v>1</v>
      </c>
      <c r="G6" s="2">
        <f t="shared" si="0"/>
        <v>4</v>
      </c>
      <c r="H6" s="2" t="s">
        <v>42</v>
      </c>
      <c r="I6" s="4">
        <f>Asumsi!$B$8</f>
        <v>110000</v>
      </c>
      <c r="J6" s="4">
        <f t="shared" si="1"/>
        <v>440000</v>
      </c>
      <c r="K6" s="2">
        <v>1</v>
      </c>
      <c r="L6" s="2" t="s">
        <v>96</v>
      </c>
    </row>
    <row r="7" spans="1:12" ht="16" x14ac:dyDescent="0.2">
      <c r="A7" s="2">
        <v>3</v>
      </c>
      <c r="B7" s="2" t="s">
        <v>94</v>
      </c>
      <c r="C7" s="11" t="s">
        <v>98</v>
      </c>
      <c r="D7" s="2">
        <f>Asumsi!$B$10</f>
        <v>2</v>
      </c>
      <c r="E7" s="2">
        <f>Asumsi!$B$9</f>
        <v>2</v>
      </c>
      <c r="F7" s="2">
        <v>1</v>
      </c>
      <c r="G7" s="2">
        <f t="shared" si="0"/>
        <v>4</v>
      </c>
      <c r="H7" s="2" t="s">
        <v>42</v>
      </c>
      <c r="I7" s="4">
        <f>Asumsi!$B$8</f>
        <v>110000</v>
      </c>
      <c r="J7" s="4">
        <f t="shared" si="1"/>
        <v>440000</v>
      </c>
      <c r="K7" s="2">
        <v>1</v>
      </c>
      <c r="L7" s="2" t="s">
        <v>96</v>
      </c>
    </row>
    <row r="8" spans="1:12" ht="16" x14ac:dyDescent="0.2">
      <c r="A8" s="2">
        <v>4</v>
      </c>
      <c r="B8" s="2" t="s">
        <v>94</v>
      </c>
      <c r="C8" s="11" t="s">
        <v>99</v>
      </c>
      <c r="D8" s="2">
        <v>1</v>
      </c>
      <c r="E8" s="2">
        <f>Asumsi!$B$13</f>
        <v>2</v>
      </c>
      <c r="F8" s="2">
        <v>1</v>
      </c>
      <c r="G8" s="2">
        <f t="shared" si="0"/>
        <v>2</v>
      </c>
      <c r="H8" s="2" t="s">
        <v>42</v>
      </c>
      <c r="I8" s="4">
        <f>Asumsi!$B$8</f>
        <v>110000</v>
      </c>
      <c r="J8" s="4">
        <f t="shared" si="1"/>
        <v>220000</v>
      </c>
      <c r="K8" s="2">
        <v>1</v>
      </c>
      <c r="L8" s="2" t="s">
        <v>96</v>
      </c>
    </row>
    <row r="9" spans="1:12" ht="16" x14ac:dyDescent="0.2">
      <c r="A9" s="2">
        <v>5</v>
      </c>
      <c r="B9" s="2" t="s">
        <v>100</v>
      </c>
      <c r="C9" s="11" t="s">
        <v>101</v>
      </c>
      <c r="D9" s="2">
        <v>1</v>
      </c>
      <c r="E9" s="2">
        <v>1</v>
      </c>
      <c r="F9" s="2">
        <f>Asumsi!$B$3</f>
        <v>6</v>
      </c>
      <c r="G9" s="2">
        <f t="shared" si="0"/>
        <v>6</v>
      </c>
      <c r="H9" s="2" t="s">
        <v>102</v>
      </c>
      <c r="I9" s="4">
        <f>Asumsi!$B$22</f>
        <v>120000</v>
      </c>
      <c r="J9" s="4">
        <f t="shared" si="1"/>
        <v>720000</v>
      </c>
      <c r="K9" s="2">
        <v>2</v>
      </c>
      <c r="L9" s="2" t="s">
        <v>103</v>
      </c>
    </row>
    <row r="10" spans="1:12" ht="16" x14ac:dyDescent="0.2">
      <c r="A10" s="2">
        <v>6</v>
      </c>
      <c r="B10" s="2" t="s">
        <v>104</v>
      </c>
      <c r="C10" s="11" t="s">
        <v>105</v>
      </c>
      <c r="D10" s="2">
        <f>Asumsi!$B$15</f>
        <v>2</v>
      </c>
      <c r="E10" s="2">
        <f>Asumsi!$B$14</f>
        <v>2</v>
      </c>
      <c r="F10" s="2">
        <v>1</v>
      </c>
      <c r="G10" s="2">
        <f t="shared" si="0"/>
        <v>4</v>
      </c>
      <c r="H10" s="2" t="s">
        <v>42</v>
      </c>
      <c r="I10" s="4">
        <f>Asumsi!$B$11</f>
        <v>350000</v>
      </c>
      <c r="J10" s="4">
        <f t="shared" si="1"/>
        <v>1400000</v>
      </c>
      <c r="K10" s="2">
        <v>3</v>
      </c>
      <c r="L10" s="2" t="s">
        <v>96</v>
      </c>
    </row>
    <row r="11" spans="1:12" ht="16" x14ac:dyDescent="0.2">
      <c r="A11" s="2">
        <v>7</v>
      </c>
      <c r="B11" s="2" t="s">
        <v>104</v>
      </c>
      <c r="C11" s="11" t="s">
        <v>106</v>
      </c>
      <c r="D11" s="2">
        <f>Asumsi!$B$15</f>
        <v>2</v>
      </c>
      <c r="E11" s="2">
        <f>Asumsi!$B$16</f>
        <v>1</v>
      </c>
      <c r="F11" s="2">
        <v>1</v>
      </c>
      <c r="G11" s="2">
        <f t="shared" si="0"/>
        <v>2</v>
      </c>
      <c r="H11" s="2" t="s">
        <v>42</v>
      </c>
      <c r="I11" s="4">
        <f>Asumsi!$B$8</f>
        <v>110000</v>
      </c>
      <c r="J11" s="4">
        <f t="shared" si="1"/>
        <v>220000</v>
      </c>
      <c r="K11" s="2">
        <v>3</v>
      </c>
      <c r="L11" s="2" t="s">
        <v>96</v>
      </c>
    </row>
    <row r="12" spans="1:12" ht="16" x14ac:dyDescent="0.2">
      <c r="A12" s="2">
        <v>8</v>
      </c>
      <c r="B12" s="2" t="s">
        <v>107</v>
      </c>
      <c r="C12" s="11" t="s">
        <v>108</v>
      </c>
      <c r="D12" s="2">
        <v>1</v>
      </c>
      <c r="E12" s="2">
        <f>Asumsi!$B$17</f>
        <v>1</v>
      </c>
      <c r="F12" s="2">
        <f>Asumsi!$B$3</f>
        <v>6</v>
      </c>
      <c r="G12" s="2">
        <f t="shared" si="0"/>
        <v>6</v>
      </c>
      <c r="H12" s="2" t="s">
        <v>42</v>
      </c>
      <c r="I12" s="4">
        <f>Asumsi!$B$11</f>
        <v>350000</v>
      </c>
      <c r="J12" s="4">
        <f t="shared" si="1"/>
        <v>2100000</v>
      </c>
      <c r="K12" s="2">
        <v>4</v>
      </c>
      <c r="L12" s="2" t="s">
        <v>96</v>
      </c>
    </row>
    <row r="13" spans="1:12" ht="16" x14ac:dyDescent="0.2">
      <c r="A13" s="2">
        <v>9</v>
      </c>
      <c r="B13" s="2" t="s">
        <v>107</v>
      </c>
      <c r="C13" s="11" t="s">
        <v>109</v>
      </c>
      <c r="D13" s="2">
        <v>1</v>
      </c>
      <c r="E13" s="2">
        <f>Asumsi!$B$18</f>
        <v>0.5</v>
      </c>
      <c r="F13" s="2">
        <f>Asumsi!$B$3</f>
        <v>6</v>
      </c>
      <c r="G13" s="2">
        <f t="shared" si="0"/>
        <v>3</v>
      </c>
      <c r="H13" s="2" t="s">
        <v>42</v>
      </c>
      <c r="I13" s="4">
        <f>Asumsi!$B$8</f>
        <v>110000</v>
      </c>
      <c r="J13" s="4">
        <f t="shared" si="1"/>
        <v>330000</v>
      </c>
      <c r="K13" s="2">
        <v>4</v>
      </c>
      <c r="L13" s="2" t="s">
        <v>96</v>
      </c>
    </row>
    <row r="14" spans="1:12" ht="16" x14ac:dyDescent="0.2">
      <c r="A14" s="2">
        <v>10</v>
      </c>
      <c r="B14" s="2" t="s">
        <v>110</v>
      </c>
      <c r="C14" s="11" t="s">
        <v>111</v>
      </c>
      <c r="D14" s="2">
        <v>1</v>
      </c>
      <c r="E14" s="2">
        <f>Asumsi!$B$19</f>
        <v>2</v>
      </c>
      <c r="F14" s="2">
        <f>Asumsi!$B$3</f>
        <v>6</v>
      </c>
      <c r="G14" s="2">
        <f t="shared" si="0"/>
        <v>12</v>
      </c>
      <c r="H14" s="2" t="s">
        <v>42</v>
      </c>
      <c r="I14" s="4">
        <f>Asumsi!$B$8</f>
        <v>110000</v>
      </c>
      <c r="J14" s="4">
        <f t="shared" si="1"/>
        <v>1320000</v>
      </c>
      <c r="K14" s="2">
        <v>5</v>
      </c>
      <c r="L14" s="2" t="s">
        <v>96</v>
      </c>
    </row>
    <row r="15" spans="1:12" ht="16" x14ac:dyDescent="0.2">
      <c r="A15" s="2">
        <v>11</v>
      </c>
      <c r="B15" s="2" t="s">
        <v>110</v>
      </c>
      <c r="C15" s="11" t="s">
        <v>112</v>
      </c>
      <c r="D15" s="2">
        <v>1</v>
      </c>
      <c r="E15" s="2">
        <f>Asumsi!$B$20</f>
        <v>0.5</v>
      </c>
      <c r="F15" s="2">
        <f>Asumsi!$B$3</f>
        <v>6</v>
      </c>
      <c r="G15" s="2">
        <f t="shared" si="0"/>
        <v>3</v>
      </c>
      <c r="H15" s="2" t="s">
        <v>42</v>
      </c>
      <c r="I15" s="4">
        <f>Asumsi!$B$8</f>
        <v>110000</v>
      </c>
      <c r="J15" s="4">
        <f t="shared" si="1"/>
        <v>330000</v>
      </c>
      <c r="K15" s="2">
        <v>5</v>
      </c>
      <c r="L15" s="2" t="s">
        <v>96</v>
      </c>
    </row>
    <row r="16" spans="1:12" ht="16" x14ac:dyDescent="0.2">
      <c r="A16" s="2">
        <v>12</v>
      </c>
      <c r="B16" s="2" t="s">
        <v>110</v>
      </c>
      <c r="C16" s="11" t="s">
        <v>113</v>
      </c>
      <c r="D16" s="2">
        <f>Asumsi!$B$10</f>
        <v>2</v>
      </c>
      <c r="E16" s="2">
        <f>Asumsi!$B$21</f>
        <v>1</v>
      </c>
      <c r="F16" s="2">
        <v>1</v>
      </c>
      <c r="G16" s="2">
        <f t="shared" si="0"/>
        <v>2</v>
      </c>
      <c r="H16" s="2" t="s">
        <v>42</v>
      </c>
      <c r="I16" s="4">
        <f>Asumsi!$B$8</f>
        <v>110000</v>
      </c>
      <c r="J16" s="4">
        <f t="shared" si="1"/>
        <v>220000</v>
      </c>
      <c r="K16" s="2">
        <v>5</v>
      </c>
      <c r="L16" s="2" t="s">
        <v>96</v>
      </c>
    </row>
    <row r="17" spans="1:12" ht="16" x14ac:dyDescent="0.2">
      <c r="A17" s="2">
        <v>13</v>
      </c>
      <c r="B17" s="2" t="s">
        <v>114</v>
      </c>
      <c r="C17" s="11" t="s">
        <v>115</v>
      </c>
      <c r="D17" s="2">
        <v>1</v>
      </c>
      <c r="E17" s="2">
        <v>1</v>
      </c>
      <c r="F17" s="2">
        <f>Asumsi!$B$3</f>
        <v>6</v>
      </c>
      <c r="G17" s="2">
        <f t="shared" si="0"/>
        <v>6</v>
      </c>
      <c r="H17" s="2" t="s">
        <v>102</v>
      </c>
      <c r="I17" s="4">
        <f>Asumsi!$B$23</f>
        <v>35000</v>
      </c>
      <c r="J17" s="4">
        <f t="shared" si="1"/>
        <v>210000</v>
      </c>
      <c r="K17" s="2" t="s">
        <v>116</v>
      </c>
      <c r="L17" s="2" t="s">
        <v>103</v>
      </c>
    </row>
    <row r="18" spans="1:12" ht="16" x14ac:dyDescent="0.2">
      <c r="A18" s="2">
        <v>14</v>
      </c>
      <c r="B18" s="2" t="s">
        <v>114</v>
      </c>
      <c r="C18" s="11" t="s">
        <v>117</v>
      </c>
      <c r="D18" s="2">
        <v>1</v>
      </c>
      <c r="E18" s="2">
        <v>1</v>
      </c>
      <c r="F18" s="2">
        <f>Asumsi!$B$25</f>
        <v>3</v>
      </c>
      <c r="G18" s="2">
        <f t="shared" si="0"/>
        <v>3</v>
      </c>
      <c r="H18" s="2" t="s">
        <v>74</v>
      </c>
      <c r="I18" s="4">
        <f>Asumsi!$B$24</f>
        <v>150000</v>
      </c>
      <c r="J18" s="4">
        <f t="shared" si="1"/>
        <v>450000</v>
      </c>
      <c r="K18" s="2" t="s">
        <v>116</v>
      </c>
      <c r="L18" s="2" t="s">
        <v>103</v>
      </c>
    </row>
    <row r="19" spans="1:12" ht="16" x14ac:dyDescent="0.2">
      <c r="A19" s="2">
        <v>15</v>
      </c>
      <c r="B19" s="2" t="s">
        <v>114</v>
      </c>
      <c r="C19" s="11" t="s">
        <v>76</v>
      </c>
      <c r="D19" s="2">
        <v>1</v>
      </c>
      <c r="E19" s="2">
        <v>1</v>
      </c>
      <c r="F19" s="2">
        <v>1</v>
      </c>
      <c r="G19" s="2">
        <f t="shared" si="0"/>
        <v>1</v>
      </c>
      <c r="H19" s="2" t="s">
        <v>118</v>
      </c>
      <c r="I19" s="4">
        <f>Asumsi!$B$26</f>
        <v>150000</v>
      </c>
      <c r="J19" s="4">
        <f t="shared" si="1"/>
        <v>150000</v>
      </c>
      <c r="K19" s="2" t="s">
        <v>116</v>
      </c>
      <c r="L19" s="2" t="s">
        <v>103</v>
      </c>
    </row>
    <row r="20" spans="1:12" x14ac:dyDescent="0.2">
      <c r="I20" s="8" t="s">
        <v>119</v>
      </c>
      <c r="J20" s="14">
        <f>SUM(J5:J19)</f>
        <v>8770000</v>
      </c>
    </row>
    <row r="21" spans="1:12" x14ac:dyDescent="0.2">
      <c r="I21" t="s">
        <v>7</v>
      </c>
      <c r="J21" s="15">
        <f>J20/Asumsi!$B$3</f>
        <v>1461666.6666666667</v>
      </c>
    </row>
    <row r="22" spans="1:12" x14ac:dyDescent="0.2">
      <c r="I22" t="s">
        <v>120</v>
      </c>
      <c r="J22" s="15">
        <f>SUMIF(L5:L19,"Honor",J5:J19)</f>
        <v>7240000</v>
      </c>
    </row>
    <row r="24" spans="1:12" x14ac:dyDescent="0.2">
      <c r="B24" s="8" t="s">
        <v>121</v>
      </c>
    </row>
    <row r="25" spans="1:12" x14ac:dyDescent="0.2">
      <c r="A25" s="8" t="s">
        <v>122</v>
      </c>
      <c r="B25" s="14">
        <f>Asumsi!$B$4</f>
        <v>15000000</v>
      </c>
    </row>
    <row r="26" spans="1:12" x14ac:dyDescent="0.2">
      <c r="A26" t="s">
        <v>123</v>
      </c>
      <c r="B26" s="15">
        <f>IF(Asumsi!$B$5="PKP",B25-B25/(1+Asumsi!$B$6),0)</f>
        <v>0</v>
      </c>
    </row>
    <row r="27" spans="1:12" x14ac:dyDescent="0.2">
      <c r="A27" t="s">
        <v>124</v>
      </c>
      <c r="B27" s="15">
        <f>B25-B26</f>
        <v>15000000</v>
      </c>
    </row>
    <row r="28" spans="1:12" x14ac:dyDescent="0.2">
      <c r="A28" t="s">
        <v>36</v>
      </c>
      <c r="B28" s="15">
        <f>B27*Asumsi!$B$7</f>
        <v>300000</v>
      </c>
    </row>
    <row r="29" spans="1:12" x14ac:dyDescent="0.2">
      <c r="A29" s="8" t="s">
        <v>125</v>
      </c>
      <c r="B29" s="14">
        <f>B27-B28</f>
        <v>14700000</v>
      </c>
    </row>
    <row r="30" spans="1:12" x14ac:dyDescent="0.2">
      <c r="A30" t="s">
        <v>119</v>
      </c>
      <c r="B30" s="15">
        <f>RAB!$J$20</f>
        <v>8770000</v>
      </c>
    </row>
    <row r="31" spans="1:12" x14ac:dyDescent="0.2">
      <c r="A31" s="8" t="s">
        <v>126</v>
      </c>
      <c r="B31" s="14">
        <f>B29-B30</f>
        <v>5930000</v>
      </c>
    </row>
    <row r="32" spans="1:12" x14ac:dyDescent="0.2">
      <c r="A32" t="s">
        <v>127</v>
      </c>
      <c r="B32" s="15">
        <f>MAX(0,B31*Asumsi!$B$27)</f>
        <v>593000</v>
      </c>
    </row>
    <row r="33" spans="1:4" x14ac:dyDescent="0.2">
      <c r="A33" s="16" t="s">
        <v>128</v>
      </c>
      <c r="B33" s="17">
        <f>B31-B32</f>
        <v>5337000</v>
      </c>
    </row>
    <row r="34" spans="1:4" x14ac:dyDescent="0.2">
      <c r="A34" t="s">
        <v>10</v>
      </c>
      <c r="B34" s="18">
        <f>B33/B25</f>
        <v>0.35580000000000001</v>
      </c>
    </row>
    <row r="35" spans="1:4" x14ac:dyDescent="0.2">
      <c r="A35" t="s">
        <v>129</v>
      </c>
      <c r="B35" s="18">
        <f>B27/RAB!$J$20-1</f>
        <v>0.71037628278221199</v>
      </c>
    </row>
    <row r="36" spans="1:4" x14ac:dyDescent="0.2">
      <c r="A36" t="s">
        <v>130</v>
      </c>
      <c r="B36" t="str">
        <f>IF(B33&gt;=Asumsi!$B$29,"Ya","Belum")</f>
        <v>Ya</v>
      </c>
    </row>
    <row r="37" spans="1:4" x14ac:dyDescent="0.2">
      <c r="A37" s="8" t="s">
        <v>131</v>
      </c>
      <c r="B37" s="14">
        <f>B31+RAB!$J$22</f>
        <v>13170000</v>
      </c>
    </row>
    <row r="38" spans="1:4" x14ac:dyDescent="0.2">
      <c r="A38" t="s">
        <v>132</v>
      </c>
      <c r="B38" s="18">
        <f>B33/Asumsi!$B$28</f>
        <v>0.26684999999999998</v>
      </c>
    </row>
    <row r="40" spans="1:4" x14ac:dyDescent="0.2">
      <c r="A40" s="8" t="s">
        <v>133</v>
      </c>
    </row>
    <row r="41" spans="1:4" ht="80" x14ac:dyDescent="0.2">
      <c r="A41" s="9" t="s">
        <v>134</v>
      </c>
      <c r="B41" s="9" t="s">
        <v>135</v>
      </c>
      <c r="C41" s="9" t="s">
        <v>136</v>
      </c>
      <c r="D41" s="9" t="s">
        <v>137</v>
      </c>
    </row>
    <row r="42" spans="1:4" x14ac:dyDescent="0.2">
      <c r="A42" s="18">
        <v>0.3</v>
      </c>
      <c r="B42" s="15">
        <f>RAB!$J$20*(1+A42)</f>
        <v>11401000</v>
      </c>
      <c r="C42" s="15">
        <f>B42/Asumsi!$B$3</f>
        <v>1900166.6666666667</v>
      </c>
      <c r="D42" s="15">
        <f>(B42*(1-Asumsi!$B$7)-RAB!$J$20)*(1-Asumsi!$B$27)</f>
        <v>2162682</v>
      </c>
    </row>
    <row r="43" spans="1:4" x14ac:dyDescent="0.2">
      <c r="A43" s="18">
        <v>0.4</v>
      </c>
      <c r="B43" s="15">
        <f>RAB!$J$20*(1+A43)</f>
        <v>12278000</v>
      </c>
      <c r="C43" s="15">
        <f>B43/Asumsi!$B$3</f>
        <v>2046333.3333333333</v>
      </c>
      <c r="D43" s="15">
        <f>(B43*(1-Asumsi!$B$7)-RAB!$J$20)*(1-Asumsi!$B$27)</f>
        <v>2936196</v>
      </c>
    </row>
    <row r="44" spans="1:4" x14ac:dyDescent="0.2">
      <c r="A44" s="18">
        <v>0.5</v>
      </c>
      <c r="B44" s="15">
        <f>RAB!$J$20*(1+A44)</f>
        <v>13155000</v>
      </c>
      <c r="C44" s="15">
        <f>B44/Asumsi!$B$3</f>
        <v>2192500</v>
      </c>
      <c r="D44" s="15">
        <f>(B44*(1-Asumsi!$B$7)-RAB!$J$20)*(1-Asumsi!$B$27)</f>
        <v>3709710</v>
      </c>
    </row>
    <row r="45" spans="1:4" x14ac:dyDescent="0.2">
      <c r="A45" s="18">
        <v>0.75</v>
      </c>
      <c r="B45" s="15">
        <f>RAB!$J$20*(1+A45)</f>
        <v>15347500</v>
      </c>
      <c r="C45" s="15">
        <f>B45/Asumsi!$B$3</f>
        <v>2557916.6666666665</v>
      </c>
      <c r="D45" s="15">
        <f>(B45*(1-Asumsi!$B$7)-RAB!$J$20)*(1-Asumsi!$B$27)</f>
        <v>5643495</v>
      </c>
    </row>
    <row r="46" spans="1:4" x14ac:dyDescent="0.2">
      <c r="A46" s="18">
        <v>1</v>
      </c>
      <c r="B46" s="15">
        <f>RAB!$J$20*(1+A46)</f>
        <v>17540000</v>
      </c>
      <c r="C46" s="15">
        <f>B46/Asumsi!$B$3</f>
        <v>2923333.3333333335</v>
      </c>
      <c r="D46" s="15">
        <f>(B46*(1-Asumsi!$B$7)-RAB!$J$20)*(1-Asumsi!$B$27)</f>
        <v>7577280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/>
  </sheetViews>
  <sheetFormatPr baseColWidth="10" defaultColWidth="8.83203125" defaultRowHeight="15" x14ac:dyDescent="0.2"/>
  <cols>
    <col min="1" max="1" width="5" customWidth="1"/>
    <col min="2" max="2" width="52" customWidth="1"/>
    <col min="3" max="3" width="9" customWidth="1"/>
    <col min="4" max="4" width="10" customWidth="1"/>
    <col min="5" max="7" width="15" customWidth="1"/>
    <col min="8" max="8" width="20" customWidth="1"/>
    <col min="9" max="9" width="10" customWidth="1"/>
  </cols>
  <sheetData>
    <row r="1" spans="1:9" ht="17" x14ac:dyDescent="0.2">
      <c r="A1" s="1" t="s">
        <v>138</v>
      </c>
    </row>
    <row r="2" spans="1:9" x14ac:dyDescent="0.2">
      <c r="A2" t="s">
        <v>139</v>
      </c>
    </row>
    <row r="4" spans="1:9" ht="16" x14ac:dyDescent="0.2">
      <c r="A4" s="9" t="s">
        <v>83</v>
      </c>
      <c r="B4" s="9" t="s">
        <v>140</v>
      </c>
      <c r="C4" s="9" t="s">
        <v>141</v>
      </c>
      <c r="D4" s="9" t="s">
        <v>22</v>
      </c>
      <c r="E4" s="9" t="s">
        <v>142</v>
      </c>
      <c r="F4" s="9" t="s">
        <v>143</v>
      </c>
      <c r="G4" s="9" t="s">
        <v>144</v>
      </c>
      <c r="H4" s="9" t="s">
        <v>145</v>
      </c>
      <c r="I4" s="9" t="s">
        <v>134</v>
      </c>
    </row>
    <row r="5" spans="1:9" ht="16" x14ac:dyDescent="0.2">
      <c r="A5" s="2">
        <v>1</v>
      </c>
      <c r="B5" s="11" t="s">
        <v>146</v>
      </c>
      <c r="C5" s="2">
        <v>1</v>
      </c>
      <c r="D5" s="2" t="s">
        <v>147</v>
      </c>
      <c r="E5" s="12">
        <v>2800000</v>
      </c>
      <c r="F5" s="4">
        <f>C5*E5</f>
        <v>2800000</v>
      </c>
      <c r="G5" s="4">
        <f>SUMIF(RAB!$K$5:$K$19,A5,RAB!$J$5:$J$19)</f>
        <v>1320000</v>
      </c>
      <c r="H5" s="4">
        <f>G5+G5/SUM($G$5:$G$9)*SUMIF(RAB!$K$5:$K$19,"Overhead",RAB!$J$5:$J$19)</f>
        <v>1454321.608040201</v>
      </c>
      <c r="I5" s="5">
        <f t="shared" ref="I5:I10" si="0">F5/H5-1</f>
        <v>0.92529629245706779</v>
      </c>
    </row>
    <row r="6" spans="1:9" ht="16" x14ac:dyDescent="0.2">
      <c r="A6" s="2">
        <v>2</v>
      </c>
      <c r="B6" s="11" t="s">
        <v>148</v>
      </c>
      <c r="C6" s="2">
        <f>Asumsi!$B$3</f>
        <v>6</v>
      </c>
      <c r="D6" s="2" t="s">
        <v>102</v>
      </c>
      <c r="E6" s="12">
        <v>200000</v>
      </c>
      <c r="F6" s="4">
        <f>C6*E6</f>
        <v>1200000</v>
      </c>
      <c r="G6" s="4">
        <f>SUMIF(RAB!$K$5:$K$19,A6,RAB!$J$5:$J$19)</f>
        <v>720000</v>
      </c>
      <c r="H6" s="4">
        <f>G6+G6/SUM($G$5:$G$9)*SUMIF(RAB!$K$5:$K$19,"Overhead",RAB!$J$5:$J$19)</f>
        <v>793266.3316582914</v>
      </c>
      <c r="I6" s="5">
        <f t="shared" si="0"/>
        <v>0.51273280121626774</v>
      </c>
    </row>
    <row r="7" spans="1:9" ht="16" x14ac:dyDescent="0.2">
      <c r="A7" s="2">
        <v>3</v>
      </c>
      <c r="B7" s="11" t="s">
        <v>149</v>
      </c>
      <c r="C7" s="2">
        <v>1</v>
      </c>
      <c r="D7" s="2" t="s">
        <v>150</v>
      </c>
      <c r="E7" s="12">
        <v>2750000</v>
      </c>
      <c r="F7" s="4">
        <f>C7*E7</f>
        <v>2750000</v>
      </c>
      <c r="G7" s="4">
        <f>SUMIF(RAB!$K$5:$K$19,A7,RAB!$J$5:$J$19)</f>
        <v>1620000</v>
      </c>
      <c r="H7" s="4">
        <f>G7+G7/SUM($G$5:$G$9)*SUMIF(RAB!$K$5:$K$19,"Overhead",RAB!$J$5:$J$19)</f>
        <v>1784849.2462311557</v>
      </c>
      <c r="I7" s="5">
        <f t="shared" si="0"/>
        <v>0.54074637160916139</v>
      </c>
    </row>
    <row r="8" spans="1:9" ht="16" x14ac:dyDescent="0.2">
      <c r="A8" s="2">
        <v>4</v>
      </c>
      <c r="B8" s="11" t="s">
        <v>108</v>
      </c>
      <c r="C8" s="2">
        <f>Asumsi!$B$3</f>
        <v>6</v>
      </c>
      <c r="D8" s="2" t="s">
        <v>102</v>
      </c>
      <c r="E8" s="12">
        <v>675000</v>
      </c>
      <c r="F8" s="4">
        <f>C8*E8</f>
        <v>4050000</v>
      </c>
      <c r="G8" s="4">
        <f>SUMIF(RAB!$K$5:$K$19,A8,RAB!$J$5:$J$19)</f>
        <v>2430000</v>
      </c>
      <c r="H8" s="4">
        <f>G8+G8/SUM($G$5:$G$9)*SUMIF(RAB!$K$5:$K$19,"Overhead",RAB!$J$5:$J$19)</f>
        <v>2677273.8693467337</v>
      </c>
      <c r="I8" s="5">
        <f t="shared" si="0"/>
        <v>0.51273280121626752</v>
      </c>
    </row>
    <row r="9" spans="1:9" ht="16" x14ac:dyDescent="0.2">
      <c r="A9" s="2">
        <v>5</v>
      </c>
      <c r="B9" s="11" t="s">
        <v>151</v>
      </c>
      <c r="C9" s="2">
        <f>Asumsi!$B$3</f>
        <v>6</v>
      </c>
      <c r="D9" s="2" t="s">
        <v>102</v>
      </c>
      <c r="E9" s="12">
        <v>700000</v>
      </c>
      <c r="F9" s="4">
        <f>C9*E9</f>
        <v>4200000</v>
      </c>
      <c r="G9" s="4">
        <f>SUMIF(RAB!$K$5:$K$19,A9,RAB!$J$5:$J$19)</f>
        <v>1870000</v>
      </c>
      <c r="H9" s="4">
        <f>G9+G9/SUM($G$5:$G$9)*SUMIF(RAB!$K$5:$K$19,"Overhead",RAB!$J$5:$J$19)</f>
        <v>2060288.944723618</v>
      </c>
      <c r="I9" s="5">
        <f t="shared" si="0"/>
        <v>1.0385490155427779</v>
      </c>
    </row>
    <row r="10" spans="1:9" x14ac:dyDescent="0.2">
      <c r="B10" s="8" t="s">
        <v>152</v>
      </c>
      <c r="F10" s="14">
        <f>SUM(F5:F9)</f>
        <v>15000000</v>
      </c>
      <c r="G10" s="14">
        <f>SUM(G5:G9)</f>
        <v>7960000</v>
      </c>
      <c r="H10" s="14">
        <f>SUM(H5:H9)</f>
        <v>8769999.9999999981</v>
      </c>
      <c r="I10" s="18">
        <f t="shared" si="0"/>
        <v>0.71037628278221243</v>
      </c>
    </row>
    <row r="11" spans="1:9" x14ac:dyDescent="0.2">
      <c r="B11" t="s">
        <v>3</v>
      </c>
      <c r="F11" s="15">
        <f>F10/Asumsi!$B$3</f>
        <v>2500000</v>
      </c>
    </row>
    <row r="12" spans="1:9" x14ac:dyDescent="0.2">
      <c r="B12" t="s">
        <v>153</v>
      </c>
      <c r="F12" s="8" t="str">
        <f>IF(F10=Asumsi!$B$4,"OK","TIDAK SAMA")</f>
        <v>OK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baseColWidth="10" defaultColWidth="8.83203125" defaultRowHeight="15" x14ac:dyDescent="0.2"/>
  <cols>
    <col min="1" max="1" width="44" customWidth="1"/>
    <col min="2" max="2" width="15" customWidth="1"/>
    <col min="3" max="3" width="12" customWidth="1"/>
    <col min="4" max="5" width="15" customWidth="1"/>
    <col min="6" max="6" width="80" customWidth="1"/>
  </cols>
  <sheetData>
    <row r="1" spans="1:6" ht="17" x14ac:dyDescent="0.2">
      <c r="A1" s="1" t="s">
        <v>154</v>
      </c>
    </row>
    <row r="3" spans="1:6" ht="32" x14ac:dyDescent="0.2">
      <c r="A3" s="9" t="s">
        <v>155</v>
      </c>
      <c r="B3" s="9" t="s">
        <v>68</v>
      </c>
      <c r="C3" s="9" t="s">
        <v>156</v>
      </c>
      <c r="D3" s="9" t="s">
        <v>157</v>
      </c>
      <c r="E3" s="9" t="s">
        <v>158</v>
      </c>
      <c r="F3" s="9" t="s">
        <v>159</v>
      </c>
    </row>
    <row r="4" spans="1:6" ht="32" x14ac:dyDescent="0.2">
      <c r="A4" s="11" t="s">
        <v>160</v>
      </c>
      <c r="B4" s="19">
        <v>4500000</v>
      </c>
      <c r="C4" s="11" t="s">
        <v>161</v>
      </c>
      <c r="D4" s="19">
        <f>RAB!$J$12+RAB!$J$13</f>
        <v>2430000</v>
      </c>
      <c r="E4" s="19">
        <f t="shared" ref="E4:E10" si="0">D4-B4</f>
        <v>-2070000</v>
      </c>
      <c r="F4" s="11" t="s">
        <v>162</v>
      </c>
    </row>
    <row r="5" spans="1:6" ht="16" x14ac:dyDescent="0.2">
      <c r="A5" s="11" t="s">
        <v>163</v>
      </c>
      <c r="B5" s="19">
        <v>2000000</v>
      </c>
      <c r="C5" s="11" t="s">
        <v>164</v>
      </c>
      <c r="D5" s="19">
        <f>RAB!$J$10+RAB!$J$11</f>
        <v>1620000</v>
      </c>
      <c r="E5" s="19">
        <f t="shared" si="0"/>
        <v>-380000</v>
      </c>
      <c r="F5" s="11" t="s">
        <v>165</v>
      </c>
    </row>
    <row r="6" spans="1:6" ht="16" x14ac:dyDescent="0.2">
      <c r="A6" s="11" t="s">
        <v>166</v>
      </c>
      <c r="B6" s="19">
        <v>720000</v>
      </c>
      <c r="C6" s="11" t="s">
        <v>167</v>
      </c>
      <c r="D6" s="19">
        <f>RAB!$J$9</f>
        <v>720000</v>
      </c>
      <c r="E6" s="19">
        <f t="shared" si="0"/>
        <v>0</v>
      </c>
      <c r="F6" s="11" t="s">
        <v>168</v>
      </c>
    </row>
    <row r="7" spans="1:6" ht="16" x14ac:dyDescent="0.2">
      <c r="A7" s="11" t="s">
        <v>169</v>
      </c>
      <c r="B7" s="19">
        <v>2500000</v>
      </c>
      <c r="C7" s="11" t="s">
        <v>170</v>
      </c>
      <c r="D7" s="19">
        <f>RAB!$J$7+RAB!$J$8</f>
        <v>660000</v>
      </c>
      <c r="E7" s="19">
        <f t="shared" si="0"/>
        <v>-1840000</v>
      </c>
      <c r="F7" s="11" t="s">
        <v>171</v>
      </c>
    </row>
    <row r="8" spans="1:6" ht="16" x14ac:dyDescent="0.2">
      <c r="A8" s="11" t="s">
        <v>172</v>
      </c>
      <c r="B8" s="19">
        <v>2750000</v>
      </c>
      <c r="C8" s="11" t="s">
        <v>173</v>
      </c>
      <c r="D8" s="19">
        <f>RAB!$J$5+RAB!$J$6</f>
        <v>660000</v>
      </c>
      <c r="E8" s="19">
        <f t="shared" si="0"/>
        <v>-2090000</v>
      </c>
      <c r="F8" s="11" t="s">
        <v>174</v>
      </c>
    </row>
    <row r="9" spans="1:6" ht="16" x14ac:dyDescent="0.2">
      <c r="A9" s="11" t="s">
        <v>175</v>
      </c>
      <c r="B9" s="19">
        <v>2550000</v>
      </c>
      <c r="C9" s="11" t="s">
        <v>176</v>
      </c>
      <c r="D9" s="19">
        <f>RAB!$J$14+RAB!$J$15+RAB!$J$16</f>
        <v>1870000</v>
      </c>
      <c r="E9" s="19">
        <f t="shared" si="0"/>
        <v>-680000</v>
      </c>
      <c r="F9" s="11" t="s">
        <v>177</v>
      </c>
    </row>
    <row r="10" spans="1:6" ht="16" x14ac:dyDescent="0.2">
      <c r="A10" s="11" t="s">
        <v>178</v>
      </c>
      <c r="B10" s="19">
        <v>0</v>
      </c>
      <c r="C10" s="11" t="s">
        <v>179</v>
      </c>
      <c r="D10" s="19">
        <f>RAB!$J$17+RAB!$J$18+RAB!$J$19</f>
        <v>810000</v>
      </c>
      <c r="E10" s="19">
        <f t="shared" si="0"/>
        <v>810000</v>
      </c>
      <c r="F10" s="11" t="s">
        <v>180</v>
      </c>
    </row>
    <row r="11" spans="1:6" x14ac:dyDescent="0.2">
      <c r="A11" s="8" t="s">
        <v>181</v>
      </c>
      <c r="B11" s="14">
        <f>SUM(B4:B10)</f>
        <v>15020000</v>
      </c>
      <c r="D11" s="14">
        <f>SUM(D4:D10)</f>
        <v>8770000</v>
      </c>
      <c r="E11" s="14">
        <f>SUM(E4:E10)</f>
        <v>-6250000</v>
      </c>
    </row>
    <row r="12" spans="1:6" x14ac:dyDescent="0.2">
      <c r="A12" t="s">
        <v>182</v>
      </c>
      <c r="B12" s="15">
        <f>Asumsi!$B$4-B11</f>
        <v>-20000</v>
      </c>
      <c r="D12" s="15">
        <f>Asumsi!$B$4-D11</f>
        <v>6230000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Asumsi</vt:lpstr>
      <vt:lpstr>RAB</vt:lpstr>
      <vt:lpstr>Harga Proposal</vt:lpstr>
      <vt:lpstr>RAB Lama vs Baru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Galih Muji Agung</cp:lastModifiedBy>
  <dcterms:created xsi:type="dcterms:W3CDTF">2026-10-28T10:40:40Z</dcterms:created>
  <dcterms:modified xsi:type="dcterms:W3CDTF">2026-10-28T10:40:45Z</dcterms:modified>
</cp:coreProperties>
</file>