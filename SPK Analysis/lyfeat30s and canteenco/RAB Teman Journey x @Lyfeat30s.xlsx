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ket 1 - Teman Cerita Edition" sheetId="1" r:id="rId5"/>
    <sheet state="visible" name="WO COLLAB - Teman Cerita Editio" sheetId="2" r:id="rId6"/>
    <sheet state="visible" name="Paket 2 - Launch + Circle" sheetId="3" r:id="rId7"/>
    <sheet state="visible" name="Paket 3 - Full Launch Partner" sheetId="4" r:id="rId8"/>
  </sheets>
  <definedNames/>
  <calcPr/>
</workbook>
</file>

<file path=xl/sharedStrings.xml><?xml version="1.0" encoding="utf-8"?>
<sst xmlns="http://schemas.openxmlformats.org/spreadsheetml/2006/main" count="224" uniqueCount="86">
  <si>
    <t>No</t>
  </si>
  <si>
    <t>Item</t>
  </si>
  <si>
    <t>Harga Satuan</t>
  </si>
  <si>
    <t>QT</t>
  </si>
  <si>
    <t>Jumlah</t>
  </si>
  <si>
    <t>ASUMSI (ubah sel biru)</t>
  </si>
  <si>
    <t>Psikolog Teman Journey</t>
  </si>
  <si>
    <t>Jumlah peserta</t>
  </si>
  <si>
    <t>Dokumentasi Teman Journey</t>
  </si>
  <si>
    <t>Komisi (% profit)</t>
  </si>
  <si>
    <t>Activity Kit</t>
  </si>
  <si>
    <t>Peserta Circle</t>
  </si>
  <si>
    <t>Harga tiket normal</t>
  </si>
  <si>
    <t>Peserta Launch Pass</t>
  </si>
  <si>
    <t>Activity Kit (Circle)</t>
  </si>
  <si>
    <t>Buku (Mega Akasia)</t>
  </si>
  <si>
    <t>Ads</t>
  </si>
  <si>
    <t>Harga tiket Circle</t>
  </si>
  <si>
    <t>Harga early bird</t>
  </si>
  <si>
    <t>Makan-Minum Kanteen n Co</t>
  </si>
  <si>
    <t>Buku - Circle</t>
  </si>
  <si>
    <t>Harga Launch Pass</t>
  </si>
  <si>
    <t>Brunch Circle (Kanteen n Co)</t>
  </si>
  <si>
    <t>Kuota early bird</t>
  </si>
  <si>
    <t>Komisi kode promo Mega / tiket</t>
  </si>
  <si>
    <t>Buku - Launch Pass</t>
  </si>
  <si>
    <t>TOTAL BIAYA</t>
  </si>
  <si>
    <t>% tiket via kode Mega</t>
  </si>
  <si>
    <t>Minuman - Launch Pass</t>
  </si>
  <si>
    <t>Biaya jasa dasar (≤12 peserta)</t>
  </si>
  <si>
    <t>Komisi internal (% profit)</t>
  </si>
  <si>
    <t>Komisi kode promo Mega</t>
  </si>
  <si>
    <t>Biaya jasa tambahan (13-20 peserta)</t>
  </si>
  <si>
    <t>Target profit nett</t>
  </si>
  <si>
    <t>MC / Admin &amp; Registrasi</t>
  </si>
  <si>
    <t>Margin</t>
  </si>
  <si>
    <t>Harga Jual Total</t>
  </si>
  <si>
    <t>10% Harga Jual</t>
  </si>
  <si>
    <t>Profit Kotor</t>
  </si>
  <si>
    <t>KOMISI</t>
  </si>
  <si>
    <t>PROFIT NETT</t>
  </si>
  <si>
    <t>Harga / Peserta</t>
  </si>
  <si>
    <t>Capai Target?</t>
  </si>
  <si>
    <t>MC / Co-fasilitator</t>
  </si>
  <si>
    <t>PENDAPATAN &amp; PROFIT</t>
  </si>
  <si>
    <t>Biaya jasa dari Mega</t>
  </si>
  <si>
    <t>Pendapatan Circle</t>
  </si>
  <si>
    <t>KOMISI (internal)</t>
  </si>
  <si>
    <t>Pendapatan Launch Pass</t>
  </si>
  <si>
    <t>Total Pendapatan</t>
  </si>
  <si>
    <t>SKENARIO JUMLAH PESERTA</t>
  </si>
  <si>
    <t>Peserta</t>
  </si>
  <si>
    <t>Biaya Jasa</t>
  </si>
  <si>
    <t>Biaya TJ</t>
  </si>
  <si>
    <t>Profit Nett</t>
  </si>
  <si>
    <t>SKENARIO JUMLAH LAUNCH PASS (peserta Circle tetap sesuai H2)</t>
  </si>
  <si>
    <t>Pendapatan</t>
  </si>
  <si>
    <t>Biaya</t>
  </si>
  <si>
    <t>NAMA PERAN</t>
  </si>
  <si>
    <t>Nama</t>
  </si>
  <si>
    <t>Honor</t>
  </si>
  <si>
    <t>SKENARIO HARGA TIKET (min. 12 – maks. 20 peserta; 1 psikolog per 12 peserta, +1 psikolog mulai peserta ke-13)</t>
  </si>
  <si>
    <t>Psikolog</t>
  </si>
  <si>
    <t>(isi nama)</t>
  </si>
  <si>
    <t>PENDAPATAN</t>
  </si>
  <si>
    <t>MODAL</t>
  </si>
  <si>
    <t>MARGIN</t>
  </si>
  <si>
    <t>Dokumentasi</t>
  </si>
  <si>
    <t>PROFIT NETT (setelah komisi)</t>
  </si>
  <si>
    <t>Skema</t>
  </si>
  <si>
    <t>Harga Jual / Peserta</t>
  </si>
  <si>
    <t>Harga Modal / Peserta (12)</t>
  </si>
  <si>
    <t>Margin / Peserta</t>
  </si>
  <si>
    <t>12 Peserta (min.)</t>
  </si>
  <si>
    <t>16 Peserta</t>
  </si>
  <si>
    <t>20 Peserta (maks.)</t>
  </si>
  <si>
    <t>Normal semua</t>
  </si>
  <si>
    <t>Komisi kode promo</t>
  </si>
  <si>
    <t>Mega Akasia</t>
  </si>
  <si>
    <t>Catatan: 100% pendapatan tiket untuk Mega. Venue, F&amp;B, dan buku ditanggung Mega.</t>
  </si>
  <si>
    <t>Asumsi: harga Launch Pass Rp160rb (tengah Rp150-175rb), minuman Launch Pass Rp25rb, 50% tiket via kode Mega. Biaya produksi kartu co-branded &amp; minimum spend venue belum termasuk.</t>
  </si>
  <si>
    <t>Early bird semua</t>
  </si>
  <si>
    <t>Mix (kuota EB + sisa normal)</t>
  </si>
  <si>
    <t>Sel hijau = profit nett ≥ target (H7)</t>
  </si>
  <si>
    <t>TOTAL</t>
  </si>
  <si>
    <t>Catatan: biaya Mega (jika ada fee), biaya platform tiket/payment gateway, dan minimum spend venue belum termasuk.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</si>
</sst>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0000FF"/>
      <name val="Arial"/>
      <scheme val="minor"/>
    </font>
    <font>
      <color rgb="FF000000"/>
      <name val="Arial"/>
      <scheme val="minor"/>
    </font>
    <font>
      <i/>
      <color rgb="FF7F7F7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5542E"/>
        <bgColor rgb="FFB5542E"/>
      </patternFill>
    </fill>
    <fill>
      <patternFill patternType="solid">
        <fgColor rgb="FFF6EDE2"/>
        <bgColor rgb="FFF6EDE2"/>
      </patternFill>
    </fill>
    <fill>
      <patternFill patternType="solid">
        <fgColor rgb="FFB4542E"/>
        <bgColor rgb="FFB4542E"/>
      </patternFill>
    </fill>
    <fill>
      <patternFill patternType="solid">
        <fgColor rgb="FFF5EDE2"/>
        <bgColor rgb="FFF5EDE2"/>
      </patternFill>
    </fill>
    <fill>
      <patternFill patternType="solid">
        <fgColor rgb="FFFFF1CC"/>
        <bgColor rgb="FFFFF1CC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readingOrder="0"/>
    </xf>
    <xf borderId="3" fillId="0" fontId="3" numFmtId="0" xfId="0" applyBorder="1" applyFont="1"/>
    <xf borderId="1" fillId="0" fontId="4" numFmtId="0" xfId="0" applyAlignment="1" applyBorder="1" applyFont="1">
      <alignment readingOrder="0"/>
    </xf>
    <xf borderId="1" fillId="4" fontId="1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5" fontId="2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5" fontId="2" numFmtId="0" xfId="0" applyBorder="1" applyFill="1" applyFont="1"/>
    <xf borderId="1" fillId="0" fontId="5" numFmtId="0" xfId="0" applyAlignment="1" applyBorder="1" applyFont="1">
      <alignment readingOrder="0"/>
    </xf>
    <xf borderId="1" fillId="0" fontId="4" numFmtId="164" xfId="0" applyBorder="1" applyFont="1" applyNumberFormat="1"/>
    <xf borderId="1" fillId="6" fontId="5" numFmtId="1" xfId="0" applyAlignment="1" applyBorder="1" applyFill="1" applyFont="1" applyNumberFormat="1">
      <alignment readingOrder="0"/>
    </xf>
    <xf borderId="1" fillId="0" fontId="4" numFmtId="0" xfId="0" applyBorder="1" applyFont="1"/>
    <xf borderId="1" fillId="6" fontId="5" numFmtId="9" xfId="0" applyAlignment="1" applyBorder="1" applyFill="1" applyFont="1" applyNumberFormat="1">
      <alignment readingOrder="0"/>
    </xf>
    <xf borderId="1" fillId="6" fontId="5" numFmtId="0" xfId="0" applyAlignment="1" applyBorder="1" applyFill="1" applyFont="1">
      <alignment readingOrder="0"/>
    </xf>
    <xf borderId="1" fillId="0" fontId="4" numFmtId="1" xfId="0" applyBorder="1" applyFont="1" applyNumberFormat="1"/>
    <xf borderId="1" fillId="6" fontId="5" numFmtId="164" xfId="0" applyAlignment="1" applyBorder="1" applyFill="1" applyFont="1" applyNumberFormat="1">
      <alignment readingOrder="0"/>
    </xf>
    <xf borderId="0" fillId="0" fontId="4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0" xfId="0" applyBorder="1" applyFill="1" applyFont="1"/>
    <xf borderId="0" fillId="0" fontId="4" numFmtId="0" xfId="0" applyFont="1"/>
    <xf borderId="1" fillId="3" fontId="2" numFmtId="164" xfId="0" applyBorder="1" applyFill="1" applyFont="1" applyNumberFormat="1"/>
    <xf borderId="1" fillId="0" fontId="6" numFmtId="164" xfId="0" applyBorder="1" applyFont="1" applyNumberFormat="1"/>
    <xf borderId="1" fillId="2" fontId="1" numFmtId="0" xfId="0" applyAlignment="1" applyBorder="1" applyFill="1" applyFont="1">
      <alignment horizontal="center" readingOrder="0" shrinkToFit="0" wrapText="1"/>
    </xf>
    <xf borderId="1" fillId="5" fontId="2" numFmtId="164" xfId="0" applyBorder="1" applyFill="1" applyFont="1" applyNumberFormat="1"/>
    <xf borderId="1" fillId="0" fontId="5" numFmtId="9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164" xfId="0" applyBorder="1" applyFont="1" applyNumberFormat="1"/>
    <xf borderId="0" fillId="0" fontId="4" numFmtId="9" xfId="0" applyAlignment="1" applyFont="1" applyNumberFormat="1">
      <alignment readingOrder="0"/>
    </xf>
    <xf borderId="1" fillId="7" fontId="4" numFmtId="164" xfId="0" applyBorder="1" applyFill="1" applyFont="1" applyNumberFormat="1"/>
    <xf borderId="1" fillId="6" fontId="5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readingOrder="0"/>
    </xf>
    <xf borderId="4" fillId="0" fontId="3" numFmtId="0" xfId="0" applyBorder="1" applyFont="1"/>
    <xf borderId="0" fillId="0" fontId="7" numFmtId="0" xfId="0" applyAlignment="1" applyFont="1">
      <alignment readingOrder="0"/>
    </xf>
    <xf borderId="0" fillId="0" fontId="4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C5EECE"/>
          <bgColor rgb="FFC5EE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7.63"/>
    <col customWidth="1" min="3" max="5" width="15.13"/>
    <col customWidth="1" min="6" max="6" width="13.88"/>
    <col customWidth="1" min="7" max="7" width="16.38"/>
    <col customWidth="1" min="8" max="8" width="13.88"/>
    <col customWidth="1" min="9" max="1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/>
    </row>
    <row r="2">
      <c r="A2" s="4">
        <v>1.0</v>
      </c>
      <c r="B2" s="6" t="s">
        <v>6</v>
      </c>
      <c r="C2" s="7">
        <v>500000.0</v>
      </c>
      <c r="D2" s="11">
        <f>IF($H$2&gt;12,2,1)</f>
        <v>1</v>
      </c>
      <c r="E2" s="12">
        <f t="shared" ref="E2:E6" si="1">C2*D2</f>
        <v>500000</v>
      </c>
      <c r="G2" s="6" t="s">
        <v>7</v>
      </c>
      <c r="H2" s="13">
        <v>12.0</v>
      </c>
    </row>
    <row r="3">
      <c r="A3" s="4">
        <v>2.0</v>
      </c>
      <c r="B3" s="6" t="s">
        <v>8</v>
      </c>
      <c r="C3" s="7">
        <v>150000.0</v>
      </c>
      <c r="D3" s="11">
        <v>1.0</v>
      </c>
      <c r="E3" s="12">
        <f t="shared" si="1"/>
        <v>150000</v>
      </c>
      <c r="G3" s="6" t="s">
        <v>9</v>
      </c>
      <c r="H3" s="15">
        <v>0.1</v>
      </c>
    </row>
    <row r="4">
      <c r="A4" s="4">
        <v>3.0</v>
      </c>
      <c r="B4" s="6" t="s">
        <v>10</v>
      </c>
      <c r="C4" s="7">
        <v>25000.0</v>
      </c>
      <c r="D4" s="17">
        <f t="shared" ref="D4:D6" si="2">$H$2</f>
        <v>12</v>
      </c>
      <c r="E4" s="12">
        <f t="shared" si="1"/>
        <v>300000</v>
      </c>
      <c r="G4" s="6" t="s">
        <v>12</v>
      </c>
      <c r="H4" s="18">
        <v>325000.0</v>
      </c>
    </row>
    <row r="5">
      <c r="A5" s="4">
        <v>4.0</v>
      </c>
      <c r="B5" s="6" t="s">
        <v>15</v>
      </c>
      <c r="C5" s="7">
        <v>69000.0</v>
      </c>
      <c r="D5" s="17">
        <f t="shared" si="2"/>
        <v>12</v>
      </c>
      <c r="E5" s="12">
        <f t="shared" si="1"/>
        <v>828000</v>
      </c>
      <c r="G5" s="6" t="s">
        <v>18</v>
      </c>
      <c r="H5" s="18">
        <v>299000.0</v>
      </c>
    </row>
    <row r="6">
      <c r="A6" s="4">
        <v>5.0</v>
      </c>
      <c r="B6" s="6" t="s">
        <v>19</v>
      </c>
      <c r="C6" s="7">
        <v>50000.0</v>
      </c>
      <c r="D6" s="17">
        <f t="shared" si="2"/>
        <v>12</v>
      </c>
      <c r="E6" s="12">
        <f t="shared" si="1"/>
        <v>600000</v>
      </c>
      <c r="G6" s="6" t="s">
        <v>23</v>
      </c>
      <c r="H6" s="13">
        <v>5.0</v>
      </c>
    </row>
    <row r="7">
      <c r="A7" s="14"/>
      <c r="B7" s="20" t="s">
        <v>26</v>
      </c>
      <c r="C7" s="21"/>
      <c r="D7" s="21"/>
      <c r="E7" s="23">
        <f>SUM(E2:E6)</f>
        <v>2378000</v>
      </c>
      <c r="G7" s="6" t="s">
        <v>33</v>
      </c>
      <c r="H7" s="18">
        <v>1000000.0</v>
      </c>
    </row>
    <row r="9">
      <c r="D9" s="25" t="s">
        <v>35</v>
      </c>
      <c r="E9" s="25" t="s">
        <v>36</v>
      </c>
      <c r="F9" s="25" t="s">
        <v>37</v>
      </c>
      <c r="G9" s="25" t="s">
        <v>38</v>
      </c>
      <c r="H9" s="25" t="s">
        <v>39</v>
      </c>
      <c r="I9" s="25" t="s">
        <v>40</v>
      </c>
      <c r="J9" s="25" t="s">
        <v>41</v>
      </c>
      <c r="K9" s="25" t="s">
        <v>42</v>
      </c>
    </row>
    <row r="10">
      <c r="D10" s="27">
        <v>0.35</v>
      </c>
      <c r="E10" s="12">
        <f t="shared" ref="E10:E13" si="3">$E$7*(1+D10)</f>
        <v>3210300</v>
      </c>
      <c r="F10" s="12">
        <f t="shared" ref="F10:F13" si="4">E10*10%</f>
        <v>321030</v>
      </c>
      <c r="G10" s="12">
        <f t="shared" ref="G10:G13" si="5">E10-$E$7</f>
        <v>832300</v>
      </c>
      <c r="H10" s="12">
        <f t="shared" ref="H10:H13" si="6">G10*$H$3</f>
        <v>83230</v>
      </c>
      <c r="I10" s="29">
        <f t="shared" ref="I10:I13" si="7">G10-H10</f>
        <v>749070</v>
      </c>
      <c r="J10" s="12">
        <f t="shared" ref="J10:J13" si="8">E10/$H$2</f>
        <v>267525</v>
      </c>
      <c r="K10" s="14" t="str">
        <f t="shared" ref="K10:K13" si="9">IF(I10&gt;=$H$7,"Ya","Belum")</f>
        <v>Belum</v>
      </c>
    </row>
    <row r="11">
      <c r="D11" s="27">
        <v>0.45</v>
      </c>
      <c r="E11" s="12">
        <f t="shared" si="3"/>
        <v>3448100</v>
      </c>
      <c r="F11" s="12">
        <f t="shared" si="4"/>
        <v>344810</v>
      </c>
      <c r="G11" s="12">
        <f t="shared" si="5"/>
        <v>1070100</v>
      </c>
      <c r="H11" s="12">
        <f t="shared" si="6"/>
        <v>107010</v>
      </c>
      <c r="I11" s="29">
        <f t="shared" si="7"/>
        <v>963090</v>
      </c>
      <c r="J11" s="12">
        <f t="shared" si="8"/>
        <v>287341.6667</v>
      </c>
      <c r="K11" s="14" t="str">
        <f t="shared" si="9"/>
        <v>Belum</v>
      </c>
    </row>
    <row r="12">
      <c r="D12" s="27">
        <v>0.5</v>
      </c>
      <c r="E12" s="12">
        <f t="shared" si="3"/>
        <v>3567000</v>
      </c>
      <c r="F12" s="12">
        <f t="shared" si="4"/>
        <v>356700</v>
      </c>
      <c r="G12" s="12">
        <f t="shared" si="5"/>
        <v>1189000</v>
      </c>
      <c r="H12" s="12">
        <f t="shared" si="6"/>
        <v>118900</v>
      </c>
      <c r="I12" s="29">
        <f t="shared" si="7"/>
        <v>1070100</v>
      </c>
      <c r="J12" s="12">
        <f t="shared" si="8"/>
        <v>297250</v>
      </c>
      <c r="K12" s="14" t="str">
        <f t="shared" si="9"/>
        <v>Ya</v>
      </c>
    </row>
    <row r="13">
      <c r="D13" s="27">
        <v>0.55</v>
      </c>
      <c r="E13" s="12">
        <f t="shared" si="3"/>
        <v>3685900</v>
      </c>
      <c r="F13" s="12">
        <f t="shared" si="4"/>
        <v>368590</v>
      </c>
      <c r="G13" s="12">
        <f t="shared" si="5"/>
        <v>1307900</v>
      </c>
      <c r="H13" s="12">
        <f t="shared" si="6"/>
        <v>130790</v>
      </c>
      <c r="I13" s="29">
        <f t="shared" si="7"/>
        <v>1177110</v>
      </c>
      <c r="J13" s="12">
        <f t="shared" si="8"/>
        <v>307158.3333</v>
      </c>
      <c r="K13" s="14" t="str">
        <f t="shared" si="9"/>
        <v>Ya</v>
      </c>
    </row>
    <row r="15">
      <c r="B15" s="28" t="s">
        <v>61</v>
      </c>
    </row>
    <row r="16">
      <c r="B16" s="14"/>
      <c r="C16" s="14"/>
      <c r="D16" s="14"/>
      <c r="E16" s="14"/>
      <c r="F16" s="33" t="s">
        <v>64</v>
      </c>
      <c r="G16" s="34"/>
      <c r="H16" s="3"/>
      <c r="I16" s="33" t="s">
        <v>65</v>
      </c>
      <c r="J16" s="34"/>
      <c r="K16" s="3"/>
      <c r="L16" s="33" t="s">
        <v>66</v>
      </c>
      <c r="M16" s="34"/>
      <c r="N16" s="3"/>
      <c r="O16" s="33" t="s">
        <v>68</v>
      </c>
      <c r="P16" s="34"/>
      <c r="Q16" s="3"/>
    </row>
    <row r="17" ht="27.0" customHeight="1">
      <c r="B17" s="25" t="s">
        <v>69</v>
      </c>
      <c r="C17" s="25" t="s">
        <v>70</v>
      </c>
      <c r="D17" s="25" t="s">
        <v>71</v>
      </c>
      <c r="E17" s="25" t="s">
        <v>72</v>
      </c>
      <c r="F17" s="25" t="s">
        <v>73</v>
      </c>
      <c r="G17" s="25" t="s">
        <v>74</v>
      </c>
      <c r="H17" s="25" t="s">
        <v>75</v>
      </c>
      <c r="I17" s="25" t="s">
        <v>73</v>
      </c>
      <c r="J17" s="25" t="s">
        <v>74</v>
      </c>
      <c r="K17" s="25" t="s">
        <v>75</v>
      </c>
      <c r="L17" s="25" t="s">
        <v>73</v>
      </c>
      <c r="M17" s="25" t="s">
        <v>74</v>
      </c>
      <c r="N17" s="25" t="s">
        <v>75</v>
      </c>
      <c r="O17" s="25" t="s">
        <v>73</v>
      </c>
      <c r="P17" s="25" t="s">
        <v>74</v>
      </c>
      <c r="Q17" s="25" t="s">
        <v>75</v>
      </c>
    </row>
    <row r="18">
      <c r="B18" s="6" t="s">
        <v>76</v>
      </c>
      <c r="C18" s="12">
        <f>$H$4</f>
        <v>325000</v>
      </c>
      <c r="D18" s="12">
        <f t="shared" ref="D18:D20" si="12">($E$2+$E$3)/12+SUM($C$4:$C$6)</f>
        <v>198166.6667</v>
      </c>
      <c r="E18" s="12">
        <f t="shared" ref="E18:E20" si="13">C18-D18</f>
        <v>126833.3333</v>
      </c>
      <c r="F18" s="12">
        <f>12*$H$4</f>
        <v>3900000</v>
      </c>
      <c r="G18" s="12">
        <f>16*$H$4</f>
        <v>5200000</v>
      </c>
      <c r="H18" s="12">
        <f>20*$H$4</f>
        <v>6500000</v>
      </c>
      <c r="I18" s="12">
        <f t="shared" ref="I18:I20" si="14">$E$3+$C$2*IF(12&gt;12,2,1)+SUM($C$4:$C$6)*12</f>
        <v>2378000</v>
      </c>
      <c r="J18" s="12">
        <f t="shared" ref="J18:J20" si="15">$E$3+$C$2*IF(16&gt;12,2,1)+SUM($C$4:$C$6)*16</f>
        <v>3454000</v>
      </c>
      <c r="K18" s="12">
        <f t="shared" ref="K18:K20" si="16">$E$3+$C$2*IF(20&gt;12,2,1)+SUM($C$4:$C$6)*20</f>
        <v>4030000</v>
      </c>
      <c r="L18" s="12">
        <f t="shared" ref="L18:N18" si="10">F18-I18</f>
        <v>1522000</v>
      </c>
      <c r="M18" s="12">
        <f t="shared" si="10"/>
        <v>1746000</v>
      </c>
      <c r="N18" s="12">
        <f t="shared" si="10"/>
        <v>2470000</v>
      </c>
      <c r="O18" s="29">
        <f t="shared" ref="O18:Q18" si="11">L18*(1-$H$3)</f>
        <v>1369800</v>
      </c>
      <c r="P18" s="29">
        <f t="shared" si="11"/>
        <v>1571400</v>
      </c>
      <c r="Q18" s="29">
        <f t="shared" si="11"/>
        <v>2223000</v>
      </c>
    </row>
    <row r="19">
      <c r="B19" s="6" t="s">
        <v>81</v>
      </c>
      <c r="C19" s="12">
        <f>$H$5</f>
        <v>299000</v>
      </c>
      <c r="D19" s="12">
        <f t="shared" si="12"/>
        <v>198166.6667</v>
      </c>
      <c r="E19" s="12">
        <f t="shared" si="13"/>
        <v>100833.3333</v>
      </c>
      <c r="F19" s="12">
        <f>12*$H$5</f>
        <v>3588000</v>
      </c>
      <c r="G19" s="12">
        <f>16*$H$5</f>
        <v>4784000</v>
      </c>
      <c r="H19" s="12">
        <f>20*$H$5</f>
        <v>5980000</v>
      </c>
      <c r="I19" s="12">
        <f t="shared" si="14"/>
        <v>2378000</v>
      </c>
      <c r="J19" s="12">
        <f t="shared" si="15"/>
        <v>3454000</v>
      </c>
      <c r="K19" s="12">
        <f t="shared" si="16"/>
        <v>4030000</v>
      </c>
      <c r="L19" s="12">
        <f t="shared" ref="L19:N19" si="17">F19-I19</f>
        <v>1210000</v>
      </c>
      <c r="M19" s="12">
        <f t="shared" si="17"/>
        <v>1330000</v>
      </c>
      <c r="N19" s="12">
        <f t="shared" si="17"/>
        <v>1950000</v>
      </c>
      <c r="O19" s="29">
        <f t="shared" ref="O19:Q19" si="18">L19*(1-$H$3)</f>
        <v>1089000</v>
      </c>
      <c r="P19" s="29">
        <f t="shared" si="18"/>
        <v>1197000</v>
      </c>
      <c r="Q19" s="29">
        <f t="shared" si="18"/>
        <v>1755000</v>
      </c>
    </row>
    <row r="20">
      <c r="B20" s="6" t="s">
        <v>82</v>
      </c>
      <c r="C20" s="12">
        <f>(MIN(12,$H$6)*$H$5+MAX(12-$H$6,0)*$H$4)/12</f>
        <v>314166.6667</v>
      </c>
      <c r="D20" s="12">
        <f t="shared" si="12"/>
        <v>198166.6667</v>
      </c>
      <c r="E20" s="12">
        <f t="shared" si="13"/>
        <v>116000</v>
      </c>
      <c r="F20" s="12">
        <f>MIN(12,$H$6)*$H$5+MAX(12-$H$6,0)*$H$4</f>
        <v>3770000</v>
      </c>
      <c r="G20" s="12">
        <f>MIN(16,$H$6)*$H$5+MAX(16-$H$6,0)*$H$4</f>
        <v>5070000</v>
      </c>
      <c r="H20" s="12">
        <f>MIN(20,$H$6)*$H$5+MAX(20-$H$6,0)*$H$4</f>
        <v>6370000</v>
      </c>
      <c r="I20" s="12">
        <f t="shared" si="14"/>
        <v>2378000</v>
      </c>
      <c r="J20" s="12">
        <f t="shared" si="15"/>
        <v>3454000</v>
      </c>
      <c r="K20" s="12">
        <f t="shared" si="16"/>
        <v>4030000</v>
      </c>
      <c r="L20" s="12">
        <f t="shared" ref="L20:N20" si="19">F20-I20</f>
        <v>1392000</v>
      </c>
      <c r="M20" s="12">
        <f t="shared" si="19"/>
        <v>1616000</v>
      </c>
      <c r="N20" s="12">
        <f t="shared" si="19"/>
        <v>2340000</v>
      </c>
      <c r="O20" s="29">
        <f t="shared" ref="O20:Q20" si="20">L20*(1-$H$3)</f>
        <v>1252800</v>
      </c>
      <c r="P20" s="29">
        <f t="shared" si="20"/>
        <v>1454400</v>
      </c>
      <c r="Q20" s="29">
        <f t="shared" si="20"/>
        <v>2106000</v>
      </c>
    </row>
    <row r="21">
      <c r="B21" s="35" t="s">
        <v>83</v>
      </c>
    </row>
    <row r="23">
      <c r="B23" s="1" t="s">
        <v>58</v>
      </c>
      <c r="C23" s="1" t="s">
        <v>59</v>
      </c>
      <c r="D23" s="1" t="s">
        <v>3</v>
      </c>
      <c r="E23" s="1" t="s">
        <v>60</v>
      </c>
      <c r="F23" s="1" t="s">
        <v>4</v>
      </c>
    </row>
    <row r="24">
      <c r="B24" s="6" t="s">
        <v>62</v>
      </c>
      <c r="C24" s="32" t="s">
        <v>63</v>
      </c>
      <c r="D24" s="4">
        <v>1.0</v>
      </c>
      <c r="E24" s="12">
        <f t="shared" ref="E24:E25" si="21">C2</f>
        <v>500000</v>
      </c>
      <c r="F24" s="12">
        <f t="shared" ref="F24:F26" si="22">D24*E24</f>
        <v>500000</v>
      </c>
    </row>
    <row r="25">
      <c r="B25" s="6" t="s">
        <v>67</v>
      </c>
      <c r="C25" s="32" t="s">
        <v>63</v>
      </c>
      <c r="D25" s="4">
        <v>1.0</v>
      </c>
      <c r="E25" s="12">
        <f t="shared" si="21"/>
        <v>150000</v>
      </c>
      <c r="F25" s="12">
        <f t="shared" si="22"/>
        <v>150000</v>
      </c>
    </row>
    <row r="26">
      <c r="B26" s="6" t="s">
        <v>39</v>
      </c>
      <c r="C26" s="32" t="s">
        <v>63</v>
      </c>
      <c r="D26" s="4">
        <v>1.0</v>
      </c>
      <c r="E26" s="12">
        <f>N20*$H$3</f>
        <v>234000</v>
      </c>
      <c r="F26" s="12">
        <f t="shared" si="22"/>
        <v>234000</v>
      </c>
    </row>
    <row r="28">
      <c r="B28" s="28" t="s">
        <v>84</v>
      </c>
    </row>
    <row r="29">
      <c r="B29" s="22" t="str">
        <f t="shared" ref="B29:B31" si="23">C24</f>
        <v>(isi nama)</v>
      </c>
      <c r="C29" s="36">
        <f t="shared" ref="C29:C31" si="24">F24</f>
        <v>500000</v>
      </c>
    </row>
    <row r="30">
      <c r="B30" s="22" t="str">
        <f t="shared" si="23"/>
        <v>(isi nama)</v>
      </c>
      <c r="C30" s="36">
        <f t="shared" si="24"/>
        <v>150000</v>
      </c>
    </row>
    <row r="31">
      <c r="B31" s="22" t="str">
        <f t="shared" si="23"/>
        <v>(isi nama)</v>
      </c>
      <c r="C31" s="36">
        <f t="shared" si="24"/>
        <v>234000</v>
      </c>
    </row>
    <row r="33">
      <c r="B33" s="35" t="s">
        <v>85</v>
      </c>
    </row>
  </sheetData>
  <mergeCells count="5">
    <mergeCell ref="G1:H1"/>
    <mergeCell ref="F16:H16"/>
    <mergeCell ref="I16:K16"/>
    <mergeCell ref="L16:N16"/>
    <mergeCell ref="O16:Q16"/>
  </mergeCells>
  <conditionalFormatting sqref="O18:Q20">
    <cfRule type="expression" dxfId="0" priority="1" stopIfTrue="1">
      <formula>O18&gt;=$H$7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7.63"/>
    <col customWidth="1" min="3" max="5" width="15.13"/>
    <col customWidth="1" min="6" max="6" width="13.88"/>
    <col customWidth="1" min="7" max="7" width="16.38"/>
    <col customWidth="1" min="8" max="8" width="13.88"/>
    <col customWidth="1" min="9" max="1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/>
    </row>
    <row r="2">
      <c r="A2" s="4">
        <v>1.0</v>
      </c>
      <c r="B2" s="6" t="s">
        <v>6</v>
      </c>
      <c r="C2" s="7">
        <v>500000.0</v>
      </c>
      <c r="D2" s="9">
        <v>1.0</v>
      </c>
      <c r="E2" s="12">
        <f t="shared" ref="E2:E6" si="1">C2*D2</f>
        <v>500000</v>
      </c>
      <c r="G2" s="6" t="s">
        <v>7</v>
      </c>
      <c r="H2" s="13">
        <v>12.0</v>
      </c>
    </row>
    <row r="3">
      <c r="A3" s="4">
        <v>2.0</v>
      </c>
      <c r="B3" s="6" t="s">
        <v>8</v>
      </c>
      <c r="C3" s="7">
        <v>150000.0</v>
      </c>
      <c r="D3" s="11">
        <v>1.0</v>
      </c>
      <c r="E3" s="12">
        <f t="shared" si="1"/>
        <v>150000</v>
      </c>
      <c r="G3" s="6" t="s">
        <v>9</v>
      </c>
      <c r="H3" s="15">
        <v>0.1</v>
      </c>
    </row>
    <row r="4">
      <c r="A4" s="4">
        <v>3.0</v>
      </c>
      <c r="B4" s="6" t="s">
        <v>10</v>
      </c>
      <c r="C4" s="7">
        <v>30000.0</v>
      </c>
      <c r="D4" s="17">
        <f>$H$2</f>
        <v>12</v>
      </c>
      <c r="E4" s="12">
        <f t="shared" si="1"/>
        <v>360000</v>
      </c>
      <c r="G4" s="6" t="s">
        <v>12</v>
      </c>
      <c r="H4" s="18">
        <v>325000.0</v>
      </c>
    </row>
    <row r="5">
      <c r="A5" s="6">
        <v>4.0</v>
      </c>
      <c r="B5" s="6" t="s">
        <v>16</v>
      </c>
      <c r="C5" s="7">
        <v>300000.0</v>
      </c>
      <c r="D5" s="6">
        <v>1.0</v>
      </c>
      <c r="E5" s="12">
        <f t="shared" si="1"/>
        <v>300000</v>
      </c>
      <c r="G5" s="6" t="s">
        <v>18</v>
      </c>
      <c r="H5" s="18">
        <v>299000.0</v>
      </c>
    </row>
    <row r="6">
      <c r="A6" s="4">
        <v>5.0</v>
      </c>
      <c r="B6" s="6" t="s">
        <v>19</v>
      </c>
      <c r="C6" s="7">
        <v>50000.0</v>
      </c>
      <c r="D6" s="17">
        <f>$H$2</f>
        <v>12</v>
      </c>
      <c r="E6" s="12">
        <f t="shared" si="1"/>
        <v>600000</v>
      </c>
      <c r="G6" s="6" t="s">
        <v>23</v>
      </c>
      <c r="H6" s="13">
        <v>5.0</v>
      </c>
      <c r="M6" s="19">
        <v>235000.0</v>
      </c>
      <c r="N6" s="19">
        <v>12.0</v>
      </c>
      <c r="O6" s="22">
        <f>M6*N6</f>
        <v>2820000</v>
      </c>
    </row>
    <row r="7">
      <c r="A7" s="14"/>
      <c r="B7" s="20" t="s">
        <v>26</v>
      </c>
      <c r="C7" s="21"/>
      <c r="D7" s="21"/>
      <c r="E7" s="23">
        <f>SUM(E2:E6)</f>
        <v>1910000</v>
      </c>
      <c r="G7" s="6" t="s">
        <v>33</v>
      </c>
      <c r="H7" s="18">
        <v>1000000.0</v>
      </c>
      <c r="N7" s="19">
        <v>6.0</v>
      </c>
      <c r="O7" s="22">
        <f>M6*N7</f>
        <v>1410000</v>
      </c>
    </row>
    <row r="8">
      <c r="O8" s="22">
        <f>O7-(C4*6)+(C6*6)</f>
        <v>1530000</v>
      </c>
    </row>
    <row r="9">
      <c r="D9" s="25" t="s">
        <v>35</v>
      </c>
      <c r="E9" s="25" t="s">
        <v>36</v>
      </c>
      <c r="F9" s="25" t="s">
        <v>37</v>
      </c>
      <c r="G9" s="25" t="s">
        <v>38</v>
      </c>
      <c r="H9" s="25" t="s">
        <v>39</v>
      </c>
      <c r="I9" s="25" t="s">
        <v>40</v>
      </c>
      <c r="J9" s="25" t="s">
        <v>41</v>
      </c>
      <c r="K9" s="25" t="s">
        <v>42</v>
      </c>
    </row>
    <row r="10">
      <c r="D10" s="27">
        <v>0.35</v>
      </c>
      <c r="E10" s="12">
        <f t="shared" ref="E10:E14" si="2">$E$7*(1+D10)</f>
        <v>2578500</v>
      </c>
      <c r="F10" s="12">
        <f t="shared" ref="F10:F14" si="3">E10*10%</f>
        <v>257850</v>
      </c>
      <c r="G10" s="12">
        <f t="shared" ref="G10:G14" si="4">E10-$E$7</f>
        <v>668500</v>
      </c>
      <c r="H10" s="12">
        <f t="shared" ref="H10:H14" si="5">G10*$H$3</f>
        <v>66850</v>
      </c>
      <c r="I10" s="29">
        <f t="shared" ref="I10:I14" si="6">G10-H10</f>
        <v>601650</v>
      </c>
      <c r="J10" s="12">
        <f t="shared" ref="J10:J14" si="7">E10/$H$2</f>
        <v>214875</v>
      </c>
      <c r="K10" s="14" t="str">
        <f t="shared" ref="K10:K13" si="8">IF(I10&gt;=$H$7,"Ya","Belum")</f>
        <v>Belum</v>
      </c>
    </row>
    <row r="11">
      <c r="D11" s="27">
        <v>0.45</v>
      </c>
      <c r="E11" s="12">
        <f t="shared" si="2"/>
        <v>2769500</v>
      </c>
      <c r="F11" s="12">
        <f t="shared" si="3"/>
        <v>276950</v>
      </c>
      <c r="G11" s="12">
        <f t="shared" si="4"/>
        <v>859500</v>
      </c>
      <c r="H11" s="12">
        <f t="shared" si="5"/>
        <v>85950</v>
      </c>
      <c r="I11" s="29">
        <f t="shared" si="6"/>
        <v>773550</v>
      </c>
      <c r="J11" s="12">
        <f t="shared" si="7"/>
        <v>230791.6667</v>
      </c>
      <c r="K11" s="14" t="str">
        <f t="shared" si="8"/>
        <v>Belum</v>
      </c>
    </row>
    <row r="12">
      <c r="D12" s="27">
        <v>0.5</v>
      </c>
      <c r="E12" s="12">
        <f t="shared" si="2"/>
        <v>2865000</v>
      </c>
      <c r="F12" s="12">
        <f t="shared" si="3"/>
        <v>286500</v>
      </c>
      <c r="G12" s="12">
        <f t="shared" si="4"/>
        <v>955000</v>
      </c>
      <c r="H12" s="12">
        <f t="shared" si="5"/>
        <v>95500</v>
      </c>
      <c r="I12" s="29">
        <f t="shared" si="6"/>
        <v>859500</v>
      </c>
      <c r="J12" s="12">
        <f t="shared" si="7"/>
        <v>238750</v>
      </c>
      <c r="K12" s="14" t="str">
        <f t="shared" si="8"/>
        <v>Belum</v>
      </c>
    </row>
    <row r="13">
      <c r="D13" s="27">
        <v>0.55</v>
      </c>
      <c r="E13" s="12">
        <f t="shared" si="2"/>
        <v>2960500</v>
      </c>
      <c r="F13" s="12">
        <f t="shared" si="3"/>
        <v>296050</v>
      </c>
      <c r="G13" s="12">
        <f t="shared" si="4"/>
        <v>1050500</v>
      </c>
      <c r="H13" s="12">
        <f t="shared" si="5"/>
        <v>105050</v>
      </c>
      <c r="I13" s="29">
        <f t="shared" si="6"/>
        <v>945450</v>
      </c>
      <c r="J13" s="12">
        <f t="shared" si="7"/>
        <v>246708.3333</v>
      </c>
      <c r="K13" s="14" t="str">
        <f t="shared" si="8"/>
        <v>Belum</v>
      </c>
    </row>
    <row r="14">
      <c r="D14" s="30">
        <v>0.75</v>
      </c>
      <c r="E14" s="12">
        <f t="shared" si="2"/>
        <v>3342500</v>
      </c>
      <c r="F14" s="12">
        <f t="shared" si="3"/>
        <v>334250</v>
      </c>
      <c r="G14" s="12">
        <f t="shared" si="4"/>
        <v>1432500</v>
      </c>
      <c r="H14" s="12">
        <f t="shared" si="5"/>
        <v>143250</v>
      </c>
      <c r="I14" s="29">
        <f t="shared" si="6"/>
        <v>1289250</v>
      </c>
      <c r="J14" s="31">
        <f t="shared" si="7"/>
        <v>278541.6667</v>
      </c>
    </row>
    <row r="16">
      <c r="B16" s="28" t="s">
        <v>61</v>
      </c>
    </row>
    <row r="17">
      <c r="B17" s="14"/>
      <c r="C17" s="14"/>
      <c r="D17" s="14"/>
      <c r="E17" s="14"/>
      <c r="F17" s="33" t="s">
        <v>64</v>
      </c>
      <c r="G17" s="34"/>
      <c r="H17" s="3"/>
      <c r="I17" s="33" t="s">
        <v>65</v>
      </c>
      <c r="J17" s="34"/>
      <c r="K17" s="3"/>
      <c r="L17" s="33" t="s">
        <v>66</v>
      </c>
      <c r="M17" s="34"/>
      <c r="N17" s="3"/>
      <c r="O17" s="33" t="s">
        <v>68</v>
      </c>
      <c r="P17" s="34"/>
      <c r="Q17" s="3"/>
    </row>
    <row r="18" ht="27.0" customHeight="1">
      <c r="B18" s="25" t="s">
        <v>69</v>
      </c>
      <c r="C18" s="25" t="s">
        <v>70</v>
      </c>
      <c r="D18" s="25" t="s">
        <v>71</v>
      </c>
      <c r="E18" s="25" t="s">
        <v>72</v>
      </c>
      <c r="F18" s="25" t="s">
        <v>73</v>
      </c>
      <c r="G18" s="25" t="s">
        <v>74</v>
      </c>
      <c r="H18" s="25" t="s">
        <v>75</v>
      </c>
      <c r="I18" s="25" t="s">
        <v>73</v>
      </c>
      <c r="J18" s="25" t="s">
        <v>74</v>
      </c>
      <c r="K18" s="25" t="s">
        <v>75</v>
      </c>
      <c r="L18" s="25" t="s">
        <v>73</v>
      </c>
      <c r="M18" s="25" t="s">
        <v>74</v>
      </c>
      <c r="N18" s="25" t="s">
        <v>75</v>
      </c>
      <c r="O18" s="25" t="s">
        <v>73</v>
      </c>
      <c r="P18" s="25" t="s">
        <v>74</v>
      </c>
      <c r="Q18" s="25" t="s">
        <v>75</v>
      </c>
    </row>
    <row r="19">
      <c r="B19" s="6" t="s">
        <v>76</v>
      </c>
      <c r="C19" s="12">
        <f>$H$4</f>
        <v>325000</v>
      </c>
      <c r="D19" s="12">
        <f t="shared" ref="D19:D21" si="11">($E$2+$E$3)/12+SUM($C$4:$C$6)</f>
        <v>434166.6667</v>
      </c>
      <c r="E19" s="12">
        <f t="shared" ref="E19:E21" si="12">C19-D19</f>
        <v>-109166.6667</v>
      </c>
      <c r="F19" s="12">
        <f>12*$H$4</f>
        <v>3900000</v>
      </c>
      <c r="G19" s="12">
        <f>16*$H$4</f>
        <v>5200000</v>
      </c>
      <c r="H19" s="12">
        <f>20*$H$4</f>
        <v>6500000</v>
      </c>
      <c r="I19" s="12">
        <f t="shared" ref="I19:I21" si="13">$E$3+$C$2*IF(12&gt;12,2,1)+SUM($C$4:$C$6)*12</f>
        <v>5210000</v>
      </c>
      <c r="J19" s="12">
        <f t="shared" ref="J19:J21" si="14">$E$3+$C$2*IF(16&gt;12,2,1)+SUM($C$4:$C$6)*16</f>
        <v>7230000</v>
      </c>
      <c r="K19" s="12">
        <f t="shared" ref="K19:K21" si="15">$E$3+$C$2*IF(20&gt;12,2,1)+SUM($C$4:$C$6)*20</f>
        <v>8750000</v>
      </c>
      <c r="L19" s="12">
        <f t="shared" ref="L19:N19" si="9">F19-I19</f>
        <v>-1310000</v>
      </c>
      <c r="M19" s="12">
        <f t="shared" si="9"/>
        <v>-2030000</v>
      </c>
      <c r="N19" s="12">
        <f t="shared" si="9"/>
        <v>-2250000</v>
      </c>
      <c r="O19" s="29">
        <f t="shared" ref="O19:Q19" si="10">L19*(1-$H$3)</f>
        <v>-1179000</v>
      </c>
      <c r="P19" s="29">
        <f t="shared" si="10"/>
        <v>-1827000</v>
      </c>
      <c r="Q19" s="29">
        <f t="shared" si="10"/>
        <v>-2025000</v>
      </c>
    </row>
    <row r="20">
      <c r="B20" s="6" t="s">
        <v>81</v>
      </c>
      <c r="C20" s="12">
        <f>$H$5</f>
        <v>299000</v>
      </c>
      <c r="D20" s="12">
        <f t="shared" si="11"/>
        <v>434166.6667</v>
      </c>
      <c r="E20" s="12">
        <f t="shared" si="12"/>
        <v>-135166.6667</v>
      </c>
      <c r="F20" s="12">
        <f>12*$H$5</f>
        <v>3588000</v>
      </c>
      <c r="G20" s="12">
        <f>16*$H$5</f>
        <v>4784000</v>
      </c>
      <c r="H20" s="12">
        <f>20*$H$5</f>
        <v>5980000</v>
      </c>
      <c r="I20" s="12">
        <f t="shared" si="13"/>
        <v>5210000</v>
      </c>
      <c r="J20" s="12">
        <f t="shared" si="14"/>
        <v>7230000</v>
      </c>
      <c r="K20" s="12">
        <f t="shared" si="15"/>
        <v>8750000</v>
      </c>
      <c r="L20" s="12">
        <f t="shared" ref="L20:N20" si="16">F20-I20</f>
        <v>-1622000</v>
      </c>
      <c r="M20" s="12">
        <f t="shared" si="16"/>
        <v>-2446000</v>
      </c>
      <c r="N20" s="12">
        <f t="shared" si="16"/>
        <v>-2770000</v>
      </c>
      <c r="O20" s="29">
        <f t="shared" ref="O20:Q20" si="17">L20*(1-$H$3)</f>
        <v>-1459800</v>
      </c>
      <c r="P20" s="29">
        <f t="shared" si="17"/>
        <v>-2201400</v>
      </c>
      <c r="Q20" s="29">
        <f t="shared" si="17"/>
        <v>-2493000</v>
      </c>
    </row>
    <row r="21">
      <c r="B21" s="6" t="s">
        <v>82</v>
      </c>
      <c r="C21" s="12">
        <f>(MIN(12,$H$6)*$H$5+MAX(12-$H$6,0)*$H$4)/12</f>
        <v>314166.6667</v>
      </c>
      <c r="D21" s="12">
        <f t="shared" si="11"/>
        <v>434166.6667</v>
      </c>
      <c r="E21" s="12">
        <f t="shared" si="12"/>
        <v>-120000</v>
      </c>
      <c r="F21" s="12">
        <f>MIN(12,$H$6)*$H$5+MAX(12-$H$6,0)*$H$4</f>
        <v>3770000</v>
      </c>
      <c r="G21" s="12">
        <f>MIN(16,$H$6)*$H$5+MAX(16-$H$6,0)*$H$4</f>
        <v>5070000</v>
      </c>
      <c r="H21" s="12">
        <f>MIN(20,$H$6)*$H$5+MAX(20-$H$6,0)*$H$4</f>
        <v>6370000</v>
      </c>
      <c r="I21" s="12">
        <f t="shared" si="13"/>
        <v>5210000</v>
      </c>
      <c r="J21" s="12">
        <f t="shared" si="14"/>
        <v>7230000</v>
      </c>
      <c r="K21" s="12">
        <f t="shared" si="15"/>
        <v>8750000</v>
      </c>
      <c r="L21" s="12">
        <f t="shared" ref="L21:N21" si="18">F21-I21</f>
        <v>-1440000</v>
      </c>
      <c r="M21" s="12">
        <f t="shared" si="18"/>
        <v>-2160000</v>
      </c>
      <c r="N21" s="12">
        <f t="shared" si="18"/>
        <v>-2380000</v>
      </c>
      <c r="O21" s="29">
        <f t="shared" ref="O21:Q21" si="19">L21*(1-$H$3)</f>
        <v>-1296000</v>
      </c>
      <c r="P21" s="29">
        <f t="shared" si="19"/>
        <v>-1944000</v>
      </c>
      <c r="Q21" s="29">
        <f t="shared" si="19"/>
        <v>-2142000</v>
      </c>
    </row>
    <row r="22">
      <c r="B22" s="35" t="s">
        <v>83</v>
      </c>
    </row>
    <row r="24">
      <c r="B24" s="1" t="s">
        <v>58</v>
      </c>
      <c r="C24" s="1" t="s">
        <v>59</v>
      </c>
      <c r="D24" s="1" t="s">
        <v>3</v>
      </c>
      <c r="E24" s="1" t="s">
        <v>60</v>
      </c>
      <c r="F24" s="1" t="s">
        <v>4</v>
      </c>
    </row>
    <row r="25">
      <c r="B25" s="6" t="s">
        <v>62</v>
      </c>
      <c r="C25" s="32" t="s">
        <v>63</v>
      </c>
      <c r="D25" s="4">
        <v>1.0</v>
      </c>
      <c r="E25" s="12">
        <f t="shared" ref="E25:E26" si="20">C2</f>
        <v>500000</v>
      </c>
      <c r="F25" s="12">
        <f t="shared" ref="F25:F27" si="21">D25*E25</f>
        <v>500000</v>
      </c>
    </row>
    <row r="26">
      <c r="B26" s="6" t="s">
        <v>67</v>
      </c>
      <c r="C26" s="32" t="s">
        <v>63</v>
      </c>
      <c r="D26" s="4">
        <v>1.0</v>
      </c>
      <c r="E26" s="12">
        <f t="shared" si="20"/>
        <v>150000</v>
      </c>
      <c r="F26" s="12">
        <f t="shared" si="21"/>
        <v>150000</v>
      </c>
    </row>
    <row r="27">
      <c r="B27" s="6" t="s">
        <v>39</v>
      </c>
      <c r="C27" s="32" t="s">
        <v>63</v>
      </c>
      <c r="D27" s="4">
        <v>1.0</v>
      </c>
      <c r="E27" s="12">
        <f>N21*$H$3</f>
        <v>-238000</v>
      </c>
      <c r="F27" s="12">
        <f t="shared" si="21"/>
        <v>-238000</v>
      </c>
    </row>
    <row r="29">
      <c r="B29" s="28" t="s">
        <v>84</v>
      </c>
    </row>
    <row r="30">
      <c r="B30" s="22" t="str">
        <f t="shared" ref="B30:B32" si="22">C25</f>
        <v>(isi nama)</v>
      </c>
      <c r="C30" s="36">
        <f t="shared" ref="C30:C32" si="23">F25</f>
        <v>500000</v>
      </c>
    </row>
    <row r="31">
      <c r="B31" s="22" t="str">
        <f t="shared" si="22"/>
        <v>(isi nama)</v>
      </c>
      <c r="C31" s="36">
        <f t="shared" si="23"/>
        <v>150000</v>
      </c>
    </row>
    <row r="32">
      <c r="B32" s="22" t="str">
        <f t="shared" si="22"/>
        <v>(isi nama)</v>
      </c>
      <c r="C32" s="36">
        <f t="shared" si="23"/>
        <v>-238000</v>
      </c>
    </row>
    <row r="34">
      <c r="B34" s="35" t="s">
        <v>85</v>
      </c>
    </row>
  </sheetData>
  <mergeCells count="5">
    <mergeCell ref="G1:H1"/>
    <mergeCell ref="F17:H17"/>
    <mergeCell ref="I17:K17"/>
    <mergeCell ref="L17:N17"/>
    <mergeCell ref="O17:Q17"/>
  </mergeCells>
  <conditionalFormatting sqref="O19:Q21">
    <cfRule type="expression" dxfId="0" priority="1" stopIfTrue="1">
      <formula>O19&gt;=$H$7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2.63"/>
    <col customWidth="1" min="3" max="4" width="15.13"/>
    <col customWidth="1" min="5" max="6" width="16.38"/>
    <col customWidth="1" min="7" max="7" width="30.13"/>
    <col customWidth="1" min="8" max="8" width="13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G1" s="8" t="s">
        <v>5</v>
      </c>
      <c r="H1" s="10"/>
    </row>
    <row r="2">
      <c r="A2" s="4">
        <v>1.0</v>
      </c>
      <c r="B2" s="6" t="s">
        <v>6</v>
      </c>
      <c r="C2" s="7">
        <v>500000.0</v>
      </c>
      <c r="D2" s="14">
        <f>IF($H$2&gt;12,2,1)</f>
        <v>1</v>
      </c>
      <c r="E2" s="12">
        <f t="shared" ref="E2:E10" si="1">C2*D2</f>
        <v>500000</v>
      </c>
      <c r="G2" s="6" t="s">
        <v>11</v>
      </c>
      <c r="H2" s="16">
        <v>12.0</v>
      </c>
    </row>
    <row r="3">
      <c r="A3" s="4">
        <v>2.0</v>
      </c>
      <c r="B3" s="6" t="s">
        <v>8</v>
      </c>
      <c r="C3" s="7">
        <v>150000.0</v>
      </c>
      <c r="D3" s="4">
        <v>1.0</v>
      </c>
      <c r="E3" s="12">
        <f t="shared" si="1"/>
        <v>150000</v>
      </c>
      <c r="G3" s="6" t="s">
        <v>13</v>
      </c>
      <c r="H3" s="16">
        <v>25.0</v>
      </c>
    </row>
    <row r="4">
      <c r="A4" s="4">
        <v>3.0</v>
      </c>
      <c r="B4" s="6" t="s">
        <v>14</v>
      </c>
      <c r="C4" s="7">
        <v>25000.0</v>
      </c>
      <c r="D4" s="14">
        <f t="shared" ref="D4:D6" si="2">$H$2</f>
        <v>12</v>
      </c>
      <c r="E4" s="12">
        <f t="shared" si="1"/>
        <v>300000</v>
      </c>
      <c r="G4" s="6" t="s">
        <v>17</v>
      </c>
      <c r="H4" s="18">
        <v>325000.0</v>
      </c>
    </row>
    <row r="5">
      <c r="A5" s="4">
        <v>4.0</v>
      </c>
      <c r="B5" s="6" t="s">
        <v>20</v>
      </c>
      <c r="C5" s="7">
        <v>69000.0</v>
      </c>
      <c r="D5" s="14">
        <f t="shared" si="2"/>
        <v>12</v>
      </c>
      <c r="E5" s="12">
        <f t="shared" si="1"/>
        <v>828000</v>
      </c>
      <c r="G5" s="6" t="s">
        <v>21</v>
      </c>
      <c r="H5" s="18">
        <v>160000.0</v>
      </c>
    </row>
    <row r="6">
      <c r="A6" s="4">
        <v>5.0</v>
      </c>
      <c r="B6" s="6" t="s">
        <v>22</v>
      </c>
      <c r="C6" s="7">
        <v>50000.0</v>
      </c>
      <c r="D6" s="14">
        <f t="shared" si="2"/>
        <v>12</v>
      </c>
      <c r="E6" s="12">
        <f t="shared" si="1"/>
        <v>600000</v>
      </c>
      <c r="G6" s="6" t="s">
        <v>24</v>
      </c>
      <c r="H6" s="18">
        <v>25000.0</v>
      </c>
    </row>
    <row r="7">
      <c r="A7" s="4">
        <v>6.0</v>
      </c>
      <c r="B7" s="6" t="s">
        <v>25</v>
      </c>
      <c r="C7" s="7">
        <v>69000.0</v>
      </c>
      <c r="D7" s="14">
        <f t="shared" ref="D7:D8" si="3">$H$3</f>
        <v>25</v>
      </c>
      <c r="E7" s="12">
        <f t="shared" si="1"/>
        <v>1725000</v>
      </c>
      <c r="G7" s="6" t="s">
        <v>27</v>
      </c>
      <c r="H7" s="15">
        <v>0.5</v>
      </c>
    </row>
    <row r="8">
      <c r="A8" s="4">
        <v>7.0</v>
      </c>
      <c r="B8" s="6" t="s">
        <v>28</v>
      </c>
      <c r="C8" s="7">
        <v>25000.0</v>
      </c>
      <c r="D8" s="14">
        <f t="shared" si="3"/>
        <v>25</v>
      </c>
      <c r="E8" s="12">
        <f t="shared" si="1"/>
        <v>625000</v>
      </c>
      <c r="G8" s="6" t="s">
        <v>30</v>
      </c>
      <c r="H8" s="15">
        <v>0.1</v>
      </c>
    </row>
    <row r="9">
      <c r="A9" s="4">
        <v>8.0</v>
      </c>
      <c r="B9" s="6" t="s">
        <v>31</v>
      </c>
      <c r="C9" s="24">
        <f>$H$6</f>
        <v>25000</v>
      </c>
      <c r="D9" s="14">
        <f>ROUND(($H$2+$H$3)*$H$7,0)</f>
        <v>19</v>
      </c>
      <c r="E9" s="12">
        <f t="shared" si="1"/>
        <v>475000</v>
      </c>
      <c r="G9" s="6" t="s">
        <v>33</v>
      </c>
      <c r="H9" s="18">
        <v>1000000.0</v>
      </c>
    </row>
    <row r="10">
      <c r="A10" s="4">
        <v>9.0</v>
      </c>
      <c r="B10" s="6" t="s">
        <v>43</v>
      </c>
      <c r="C10" s="7">
        <v>300000.0</v>
      </c>
      <c r="D10" s="4">
        <v>1.0</v>
      </c>
      <c r="E10" s="12">
        <f t="shared" si="1"/>
        <v>300000</v>
      </c>
    </row>
    <row r="11">
      <c r="A11" s="14"/>
      <c r="B11" s="8" t="s">
        <v>26</v>
      </c>
      <c r="C11" s="10"/>
      <c r="D11" s="10"/>
      <c r="E11" s="26">
        <f>SUM(E2:E10)</f>
        <v>5503000</v>
      </c>
    </row>
    <row r="13">
      <c r="B13" s="28" t="s">
        <v>44</v>
      </c>
    </row>
    <row r="14">
      <c r="B14" s="6" t="s">
        <v>46</v>
      </c>
      <c r="C14" s="14"/>
      <c r="D14" s="14"/>
      <c r="E14" s="12">
        <f>$H$2*$H$4</f>
        <v>3900000</v>
      </c>
    </row>
    <row r="15">
      <c r="B15" s="6" t="s">
        <v>48</v>
      </c>
      <c r="C15" s="14"/>
      <c r="D15" s="14"/>
      <c r="E15" s="12">
        <f>$H$3*$H$5</f>
        <v>4000000</v>
      </c>
    </row>
    <row r="16">
      <c r="B16" s="6" t="s">
        <v>49</v>
      </c>
      <c r="C16" s="14"/>
      <c r="D16" s="14"/>
      <c r="E16" s="12">
        <f>E14+E15</f>
        <v>7900000</v>
      </c>
    </row>
    <row r="17">
      <c r="B17" s="6" t="s">
        <v>38</v>
      </c>
      <c r="C17" s="14"/>
      <c r="D17" s="14"/>
      <c r="E17" s="12">
        <f>E16-E11</f>
        <v>2397000</v>
      </c>
    </row>
    <row r="18">
      <c r="B18" s="6" t="s">
        <v>47</v>
      </c>
      <c r="C18" s="14"/>
      <c r="D18" s="14"/>
      <c r="E18" s="12">
        <f>E17*$H$8</f>
        <v>239700</v>
      </c>
    </row>
    <row r="19">
      <c r="B19" s="8" t="s">
        <v>40</v>
      </c>
      <c r="C19" s="10"/>
      <c r="D19" s="10"/>
      <c r="E19" s="26">
        <f>E17-E18</f>
        <v>2157300</v>
      </c>
    </row>
    <row r="20">
      <c r="B20" s="6" t="s">
        <v>42</v>
      </c>
      <c r="C20" s="14"/>
      <c r="D20" s="14"/>
      <c r="E20" s="14" t="str">
        <f>IF(E19&gt;=$H$9,"Ya","Belum")</f>
        <v>Ya</v>
      </c>
    </row>
    <row r="22">
      <c r="B22" s="28" t="s">
        <v>55</v>
      </c>
    </row>
    <row r="23">
      <c r="B23" s="5" t="s">
        <v>13</v>
      </c>
      <c r="C23" s="5" t="s">
        <v>56</v>
      </c>
      <c r="D23" s="5" t="s">
        <v>57</v>
      </c>
      <c r="E23" s="5" t="s">
        <v>54</v>
      </c>
      <c r="F23" s="5" t="s">
        <v>42</v>
      </c>
    </row>
    <row r="24">
      <c r="B24" s="11">
        <v>10.0</v>
      </c>
      <c r="C24" s="12">
        <f t="shared" ref="C24:C27" si="4">$H$2*$H$4+B24*$H$5</f>
        <v>5500000</v>
      </c>
      <c r="D24" s="12">
        <f t="shared" ref="D24:D27" si="5">SUM($E$2:$E$6)+$E$10+($C$7+$C$8)*B24+$H$6*ROUND(($H$2+B24)*$H$7,0)</f>
        <v>3893000</v>
      </c>
      <c r="E24" s="12">
        <f t="shared" ref="E24:E27" si="6">(C24-D24)*(1-$H$8)</f>
        <v>1446300</v>
      </c>
      <c r="F24" s="14" t="str">
        <f t="shared" ref="F24:F27" si="7">IF(E24&gt;=$H$9,"Ya","Belum")</f>
        <v>Ya</v>
      </c>
    </row>
    <row r="25">
      <c r="B25" s="11">
        <v>15.0</v>
      </c>
      <c r="C25" s="12">
        <f t="shared" si="4"/>
        <v>6300000</v>
      </c>
      <c r="D25" s="12">
        <f t="shared" si="5"/>
        <v>4438000</v>
      </c>
      <c r="E25" s="12">
        <f t="shared" si="6"/>
        <v>1675800</v>
      </c>
      <c r="F25" s="14" t="str">
        <f t="shared" si="7"/>
        <v>Ya</v>
      </c>
    </row>
    <row r="26">
      <c r="B26" s="11">
        <v>25.0</v>
      </c>
      <c r="C26" s="12">
        <f t="shared" si="4"/>
        <v>7900000</v>
      </c>
      <c r="D26" s="12">
        <f t="shared" si="5"/>
        <v>5503000</v>
      </c>
      <c r="E26" s="12">
        <f t="shared" si="6"/>
        <v>2157300</v>
      </c>
      <c r="F26" s="14" t="str">
        <f t="shared" si="7"/>
        <v>Ya</v>
      </c>
    </row>
    <row r="27">
      <c r="B27" s="11">
        <v>30.0</v>
      </c>
      <c r="C27" s="12">
        <f t="shared" si="4"/>
        <v>8700000</v>
      </c>
      <c r="D27" s="12">
        <f t="shared" si="5"/>
        <v>6023000</v>
      </c>
      <c r="E27" s="12">
        <f t="shared" si="6"/>
        <v>2409300</v>
      </c>
      <c r="F27" s="14" t="str">
        <f t="shared" si="7"/>
        <v>Ya</v>
      </c>
    </row>
    <row r="29">
      <c r="B29" s="5" t="s">
        <v>58</v>
      </c>
      <c r="C29" s="5" t="s">
        <v>59</v>
      </c>
      <c r="D29" s="5" t="s">
        <v>3</v>
      </c>
      <c r="E29" s="5" t="s">
        <v>60</v>
      </c>
      <c r="F29" s="5" t="s">
        <v>4</v>
      </c>
    </row>
    <row r="30">
      <c r="B30" s="6" t="s">
        <v>62</v>
      </c>
      <c r="C30" s="32" t="s">
        <v>63</v>
      </c>
      <c r="D30" s="14">
        <f>D2</f>
        <v>1</v>
      </c>
      <c r="E30" s="12">
        <f t="shared" ref="E30:E31" si="8">C2</f>
        <v>500000</v>
      </c>
      <c r="F30" s="12">
        <f t="shared" ref="F30:F34" si="9">D30*E30</f>
        <v>500000</v>
      </c>
    </row>
    <row r="31">
      <c r="B31" s="6" t="s">
        <v>67</v>
      </c>
      <c r="C31" s="32" t="s">
        <v>63</v>
      </c>
      <c r="D31" s="4">
        <v>1.0</v>
      </c>
      <c r="E31" s="12">
        <f t="shared" si="8"/>
        <v>150000</v>
      </c>
      <c r="F31" s="12">
        <f t="shared" si="9"/>
        <v>150000</v>
      </c>
    </row>
    <row r="32">
      <c r="B32" s="6" t="s">
        <v>43</v>
      </c>
      <c r="C32" s="32" t="s">
        <v>63</v>
      </c>
      <c r="D32" s="4">
        <v>1.0</v>
      </c>
      <c r="E32" s="12">
        <f>C10</f>
        <v>300000</v>
      </c>
      <c r="F32" s="12">
        <f t="shared" si="9"/>
        <v>300000</v>
      </c>
    </row>
    <row r="33">
      <c r="B33" s="6" t="s">
        <v>77</v>
      </c>
      <c r="C33" s="32" t="s">
        <v>78</v>
      </c>
      <c r="D33" s="14">
        <f>D9</f>
        <v>19</v>
      </c>
      <c r="E33" s="12">
        <f>C9</f>
        <v>25000</v>
      </c>
      <c r="F33" s="12">
        <f t="shared" si="9"/>
        <v>475000</v>
      </c>
    </row>
    <row r="34">
      <c r="B34" s="6" t="s">
        <v>47</v>
      </c>
      <c r="C34" s="32" t="s">
        <v>63</v>
      </c>
      <c r="D34" s="4">
        <v>1.0</v>
      </c>
      <c r="E34" s="12">
        <f>E18</f>
        <v>239700</v>
      </c>
      <c r="F34" s="12">
        <f t="shared" si="9"/>
        <v>239700</v>
      </c>
    </row>
    <row r="36">
      <c r="B36" s="35" t="s">
        <v>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0.13"/>
    <col customWidth="1" min="3" max="4" width="15.13"/>
    <col customWidth="1" min="5" max="6" width="16.38"/>
    <col customWidth="1" min="7" max="7" width="32.63"/>
    <col customWidth="1" min="8" max="8" width="13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G1" s="8" t="s">
        <v>5</v>
      </c>
      <c r="H1" s="10"/>
    </row>
    <row r="2">
      <c r="A2" s="4">
        <v>1.0</v>
      </c>
      <c r="B2" s="6" t="s">
        <v>6</v>
      </c>
      <c r="C2" s="7">
        <v>500000.0</v>
      </c>
      <c r="D2" s="14">
        <f>IF($H$2&gt;12,2,1)</f>
        <v>1</v>
      </c>
      <c r="E2" s="12">
        <f t="shared" ref="E2:E5" si="1">C2*D2</f>
        <v>500000</v>
      </c>
      <c r="G2" s="6" t="s">
        <v>7</v>
      </c>
      <c r="H2" s="16">
        <v>12.0</v>
      </c>
    </row>
    <row r="3">
      <c r="A3" s="4">
        <v>2.0</v>
      </c>
      <c r="B3" s="6" t="s">
        <v>8</v>
      </c>
      <c r="C3" s="7">
        <v>150000.0</v>
      </c>
      <c r="D3" s="4">
        <v>1.0</v>
      </c>
      <c r="E3" s="12">
        <f t="shared" si="1"/>
        <v>150000</v>
      </c>
      <c r="G3" s="6" t="s">
        <v>29</v>
      </c>
      <c r="H3" s="18">
        <v>2500000.0</v>
      </c>
    </row>
    <row r="4">
      <c r="A4" s="4">
        <v>3.0</v>
      </c>
      <c r="B4" s="6" t="s">
        <v>10</v>
      </c>
      <c r="C4" s="7">
        <v>25000.0</v>
      </c>
      <c r="D4" s="14">
        <f>$H$2</f>
        <v>12</v>
      </c>
      <c r="E4" s="12">
        <f t="shared" si="1"/>
        <v>300000</v>
      </c>
      <c r="G4" s="6" t="s">
        <v>32</v>
      </c>
      <c r="H4" s="18">
        <v>1000000.0</v>
      </c>
    </row>
    <row r="5">
      <c r="A5" s="4">
        <v>4.0</v>
      </c>
      <c r="B5" s="6" t="s">
        <v>34</v>
      </c>
      <c r="C5" s="7">
        <v>300000.0</v>
      </c>
      <c r="D5" s="4">
        <v>1.0</v>
      </c>
      <c r="E5" s="12">
        <f t="shared" si="1"/>
        <v>300000</v>
      </c>
      <c r="G5" s="6" t="s">
        <v>30</v>
      </c>
      <c r="H5" s="15">
        <v>0.1</v>
      </c>
    </row>
    <row r="6">
      <c r="A6" s="14"/>
      <c r="B6" s="8" t="s">
        <v>26</v>
      </c>
      <c r="C6" s="10"/>
      <c r="D6" s="10"/>
      <c r="E6" s="26">
        <f>SUM(E2:E5)</f>
        <v>1250000</v>
      </c>
      <c r="G6" s="6" t="s">
        <v>33</v>
      </c>
      <c r="H6" s="18">
        <v>1000000.0</v>
      </c>
    </row>
    <row r="8">
      <c r="B8" s="28" t="s">
        <v>44</v>
      </c>
    </row>
    <row r="9">
      <c r="B9" s="6" t="s">
        <v>45</v>
      </c>
      <c r="C9" s="14"/>
      <c r="D9" s="14"/>
      <c r="E9" s="12">
        <f>$H$3+IF($H$2&gt;12,$H$4,0)</f>
        <v>2500000</v>
      </c>
    </row>
    <row r="10">
      <c r="B10" s="6" t="s">
        <v>38</v>
      </c>
      <c r="C10" s="14"/>
      <c r="D10" s="14"/>
      <c r="E10" s="12">
        <f>E9-E6</f>
        <v>1250000</v>
      </c>
    </row>
    <row r="11">
      <c r="B11" s="6" t="s">
        <v>47</v>
      </c>
      <c r="C11" s="14"/>
      <c r="D11" s="14"/>
      <c r="E11" s="12">
        <f>E10*$H$5</f>
        <v>125000</v>
      </c>
    </row>
    <row r="12">
      <c r="B12" s="8" t="s">
        <v>40</v>
      </c>
      <c r="C12" s="10"/>
      <c r="D12" s="10"/>
      <c r="E12" s="26">
        <f>E10-E11</f>
        <v>1125000</v>
      </c>
    </row>
    <row r="13">
      <c r="B13" s="6" t="s">
        <v>42</v>
      </c>
      <c r="C13" s="14"/>
      <c r="D13" s="14"/>
      <c r="E13" s="14" t="str">
        <f>IF(E12&gt;=$H$6,"Ya","Belum")</f>
        <v>Ya</v>
      </c>
    </row>
    <row r="15">
      <c r="B15" s="28" t="s">
        <v>50</v>
      </c>
    </row>
    <row r="16">
      <c r="B16" s="5" t="s">
        <v>51</v>
      </c>
      <c r="C16" s="5" t="s">
        <v>52</v>
      </c>
      <c r="D16" s="5" t="s">
        <v>53</v>
      </c>
      <c r="E16" s="5" t="s">
        <v>54</v>
      </c>
      <c r="F16" s="5" t="s">
        <v>42</v>
      </c>
    </row>
    <row r="17">
      <c r="B17" s="11">
        <v>12.0</v>
      </c>
      <c r="C17" s="12">
        <f t="shared" ref="C17:C19" si="2">$H$3+IF(B17&gt;12,$H$4,0)</f>
        <v>2500000</v>
      </c>
      <c r="D17" s="12">
        <f t="shared" ref="D17:D19" si="3">$C$2*IF(B17&gt;12,2,1)+$E$3+$C$4*B17+$E$5</f>
        <v>1250000</v>
      </c>
      <c r="E17" s="12">
        <f t="shared" ref="E17:E19" si="4">(C17-D17)*(1-$H$5)</f>
        <v>1125000</v>
      </c>
      <c r="F17" s="14" t="str">
        <f t="shared" ref="F17:F19" si="5">IF(E17&gt;=$H$6,"Ya","Belum")</f>
        <v>Ya</v>
      </c>
    </row>
    <row r="18">
      <c r="B18" s="11">
        <v>16.0</v>
      </c>
      <c r="C18" s="12">
        <f t="shared" si="2"/>
        <v>3500000</v>
      </c>
      <c r="D18" s="12">
        <f t="shared" si="3"/>
        <v>1850000</v>
      </c>
      <c r="E18" s="12">
        <f t="shared" si="4"/>
        <v>1485000</v>
      </c>
      <c r="F18" s="14" t="str">
        <f t="shared" si="5"/>
        <v>Ya</v>
      </c>
    </row>
    <row r="19">
      <c r="B19" s="11">
        <v>20.0</v>
      </c>
      <c r="C19" s="12">
        <f t="shared" si="2"/>
        <v>3500000</v>
      </c>
      <c r="D19" s="12">
        <f t="shared" si="3"/>
        <v>1950000</v>
      </c>
      <c r="E19" s="12">
        <f t="shared" si="4"/>
        <v>1395000</v>
      </c>
      <c r="F19" s="14" t="str">
        <f t="shared" si="5"/>
        <v>Ya</v>
      </c>
    </row>
    <row r="21">
      <c r="B21" s="5" t="s">
        <v>58</v>
      </c>
      <c r="C21" s="5" t="s">
        <v>59</v>
      </c>
      <c r="D21" s="5" t="s">
        <v>3</v>
      </c>
      <c r="E21" s="5" t="s">
        <v>60</v>
      </c>
      <c r="F21" s="5" t="s">
        <v>4</v>
      </c>
    </row>
    <row r="22">
      <c r="B22" s="6" t="s">
        <v>62</v>
      </c>
      <c r="C22" s="32" t="s">
        <v>63</v>
      </c>
      <c r="D22" s="14">
        <f>D2</f>
        <v>1</v>
      </c>
      <c r="E22" s="12">
        <f t="shared" ref="E22:E23" si="6">C2</f>
        <v>500000</v>
      </c>
      <c r="F22" s="12">
        <f t="shared" ref="F22:F25" si="7">D22*E22</f>
        <v>500000</v>
      </c>
    </row>
    <row r="23">
      <c r="B23" s="6" t="s">
        <v>67</v>
      </c>
      <c r="C23" s="32" t="s">
        <v>63</v>
      </c>
      <c r="D23" s="4">
        <v>1.0</v>
      </c>
      <c r="E23" s="12">
        <f t="shared" si="6"/>
        <v>150000</v>
      </c>
      <c r="F23" s="12">
        <f t="shared" si="7"/>
        <v>150000</v>
      </c>
    </row>
    <row r="24">
      <c r="B24" s="6" t="s">
        <v>34</v>
      </c>
      <c r="C24" s="32" t="s">
        <v>63</v>
      </c>
      <c r="D24" s="4">
        <v>1.0</v>
      </c>
      <c r="E24" s="12">
        <f>C5</f>
        <v>300000</v>
      </c>
      <c r="F24" s="12">
        <f t="shared" si="7"/>
        <v>300000</v>
      </c>
    </row>
    <row r="25">
      <c r="B25" s="6" t="s">
        <v>47</v>
      </c>
      <c r="C25" s="32" t="s">
        <v>63</v>
      </c>
      <c r="D25" s="4">
        <v>1.0</v>
      </c>
      <c r="E25" s="12">
        <f>E11</f>
        <v>125000</v>
      </c>
      <c r="F25" s="12">
        <f t="shared" si="7"/>
        <v>125000</v>
      </c>
    </row>
    <row r="27">
      <c r="B27" s="35" t="s">
        <v>79</v>
      </c>
    </row>
  </sheetData>
  <drawing r:id="rId1"/>
</worksheet>
</file>