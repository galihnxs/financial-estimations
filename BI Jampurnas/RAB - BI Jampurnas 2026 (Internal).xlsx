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galihmujiagung/Library/Containers/com.microsoft.Excel/Data/tmp_recalc/"/>
    </mc:Choice>
  </mc:AlternateContent>
  <xr:revisionPtr revIDLastSave="0" documentId="13_ncr:1_{BB0FF5B2-29F1-7341-8A97-3690F21DA890}" xr6:coauthVersionLast="47" xr6:coauthVersionMax="47" xr10:uidLastSave="{00000000-0000-0000-0000-000000000000}"/>
  <bookViews>
    <workbookView xWindow="0" yWindow="0" windowWidth="34200" windowHeight="22240" xr2:uid="{00000000-000D-0000-FFFF-FFFF00000000}"/>
  </bookViews>
  <sheets>
    <sheet name="Ringkasan" sheetId="1" r:id="rId1"/>
    <sheet name="Asumsi" sheetId="2" r:id="rId2"/>
    <sheet name="RAB" sheetId="3" r:id="rId3"/>
    <sheet name="Harga Propos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6" i="4"/>
  <c r="F5" i="4"/>
  <c r="B14" i="3"/>
  <c r="B13" i="3"/>
  <c r="B15" i="3" s="1"/>
  <c r="F8" i="3"/>
  <c r="G8" i="3" s="1"/>
  <c r="F7" i="3"/>
  <c r="G7" i="3" s="1"/>
  <c r="G7" i="4" s="1"/>
  <c r="F6" i="3"/>
  <c r="G6" i="3" s="1"/>
  <c r="G6" i="4" s="1"/>
  <c r="F5" i="3"/>
  <c r="G5" i="3" s="1"/>
  <c r="B4" i="1"/>
  <c r="B3" i="1"/>
  <c r="F8" i="4" l="1"/>
  <c r="B16" i="3"/>
  <c r="B17" i="3" s="1"/>
  <c r="G9" i="3"/>
  <c r="B23" i="3" s="1"/>
  <c r="G10" i="3"/>
  <c r="G5" i="4"/>
  <c r="F9" i="4" l="1"/>
  <c r="B13" i="1" s="1"/>
  <c r="B5" i="1"/>
  <c r="B18" i="3"/>
  <c r="B19" i="3" s="1"/>
  <c r="B30" i="3"/>
  <c r="B6" i="1"/>
  <c r="B29" i="3"/>
  <c r="B24" i="3"/>
  <c r="B31" i="3"/>
  <c r="H6" i="4"/>
  <c r="I6" i="4" s="1"/>
  <c r="H7" i="4"/>
  <c r="I7" i="4" s="1"/>
  <c r="G8" i="4"/>
  <c r="H5" i="4"/>
  <c r="B20" i="3" l="1"/>
  <c r="B21" i="3" s="1"/>
  <c r="C30" i="3"/>
  <c r="D30" i="3"/>
  <c r="B11" i="1"/>
  <c r="D29" i="3"/>
  <c r="C29" i="3"/>
  <c r="B10" i="1"/>
  <c r="D31" i="3"/>
  <c r="B12" i="1"/>
  <c r="C31" i="3"/>
  <c r="I5" i="4"/>
  <c r="H8" i="4"/>
  <c r="I8" i="4" s="1"/>
  <c r="B22" i="3" l="1"/>
  <c r="B7" i="1"/>
  <c r="B25" i="3" l="1"/>
  <c r="B9" i="1" s="1"/>
  <c r="B8" i="1"/>
</calcChain>
</file>

<file path=xl/sharedStrings.xml><?xml version="1.0" encoding="utf-8"?>
<sst xmlns="http://schemas.openxmlformats.org/spreadsheetml/2006/main" count="129" uniqueCount="106">
  <si>
    <t>RINGKASAN - BI JAMPURNAS 2026 (INTERNAL, bukan untuk klien)</t>
  </si>
  <si>
    <t>Harga diajukan ke BI</t>
  </si>
  <si>
    <t>Status pajak</t>
  </si>
  <si>
    <t>Diterima setelah pajak (PPh 23)</t>
  </si>
  <si>
    <t>Jumlah biaya</t>
  </si>
  <si>
    <t>PROFIT NETT (setelah pajak dan komisi)</t>
  </si>
  <si>
    <t>Margin nett terhadap harga</t>
  </si>
  <si>
    <t>Status margin</t>
  </si>
  <si>
    <t>Harga untuk margin nett 30%</t>
  </si>
  <si>
    <t>Harga untuk margin nett 35%</t>
  </si>
  <si>
    <t>Harga untuk margin nett 40%</t>
  </si>
  <si>
    <t>Cek harga per layanan di proposal</t>
  </si>
  <si>
    <t>Catatan:</t>
  </si>
  <si>
    <t>1. Klien: Bank Indonesia Kantor Pusat, acara JAMPURNAS (Jambore Pejuang Rupiah Nasional) 2026.</t>
  </si>
  <si>
    <t>2. Tim: 1 juri dosen public speaking, 1 juri psikolog, 1 project manager (Galih 28 Okt 2026).</t>
  </si>
  <si>
    <t>3. Fee juri tetap Rp2,5 juta per orang, sudah termasuk hari acara dan rubrik penilaian 46 karya. Tidak ada fee offline terpisah.</t>
  </si>
  <si>
    <t>4. PM Rp2 juta dan administrasi Rp400rb ke Coreitera, sesuai kesepakatan.</t>
  </si>
  <si>
    <t>5. TJ Non-PKP, jadi tidak ada PPN. PPh 23 2% dihitung sebagai biaya.</t>
  </si>
  <si>
    <t>6. Tab 'Harga Proposal' masih draf dan satu-satunya angka yang boleh keluar ke BI.</t>
  </si>
  <si>
    <t>ASUMSI - BI JAMPURNAS 2026 (INTERNAL, bukan untuk klien). Sel biru = input.</t>
  </si>
  <si>
    <t>Asumsi</t>
  </si>
  <si>
    <t>Nilai</t>
  </si>
  <si>
    <t>Satuan</t>
  </si>
  <si>
    <t>Sumber / catatan</t>
  </si>
  <si>
    <t>Harga yang diajukan ke BI (total)</t>
  </si>
  <si>
    <t>Rp</t>
  </si>
  <si>
    <t>Galih 28 Okt 2026: ajukan Rp15.000.000</t>
  </si>
  <si>
    <t>Status pajak Teman Journey (PKP / Non-PKP)</t>
  </si>
  <si>
    <t>Non-PKP</t>
  </si>
  <si>
    <t>-</t>
  </si>
  <si>
    <t>Dikonfirmasi 28 Okt 2026</t>
  </si>
  <si>
    <t>Tarif PPN efektif (hanya jika PKP)</t>
  </si>
  <si>
    <t>%</t>
  </si>
  <si>
    <t>12% x DPP nilai lain 11/12</t>
  </si>
  <si>
    <t>PPh 23 dipotong BI</t>
  </si>
  <si>
    <t>Sama dengan RAB Fit and Proper. Dihitung sebagai biaya (konservatif)</t>
  </si>
  <si>
    <t>Jumlah karya yang dinilai</t>
  </si>
  <si>
    <t>karya</t>
  </si>
  <si>
    <t>Galih 28 Okt 2026: fee juri sudah termasuk penilaian 46 karya</t>
  </si>
  <si>
    <t>Fee juri dosen public speaking (tetap)</t>
  </si>
  <si>
    <t>Rp/juri</t>
  </si>
  <si>
    <t>Galih 28 Okt 2026: fee tetap, termasuk hari acara dan rubrik penilaian 46 karya. Tidak ada fee offline terpisah</t>
  </si>
  <si>
    <t>Fee juri psikolog (tetap)</t>
  </si>
  <si>
    <t>Fee project manager</t>
  </si>
  <si>
    <t>Rp/proyek</t>
  </si>
  <si>
    <t>Galih 28 Okt 2026: Rp2 juta untuk proyek ini, sesuai kesepakatan</t>
  </si>
  <si>
    <t>Biaya administrasi (dibayar ke Coreitera)</t>
  </si>
  <si>
    <t>Galih 28 Okt 2026: Rp400rb ke Coreitera</t>
  </si>
  <si>
    <t>Komisi (% dari profit kotor)</t>
  </si>
  <si>
    <t>Sama dengan RAB Fit and Proper</t>
  </si>
  <si>
    <t>Batas bawah margin nett</t>
  </si>
  <si>
    <t>Margin Fit and Proper 35,6% diterima</t>
  </si>
  <si>
    <t>Target margin nett</t>
  </si>
  <si>
    <t>Galih menanyakan cara mencapai 40% (28 Okt 2026)</t>
  </si>
  <si>
    <t>RAB INTERNAL - BI JAMPURNAS 2026 (Kantor Pusat Bank Indonesia)</t>
  </si>
  <si>
    <t>Tim 3 orang: juri dosen public speaking, juri psikolog, project manager. Semua fee tetap per proyek, sesuai kesepakatan 28 Okt 2026.</t>
  </si>
  <si>
    <t>No</t>
  </si>
  <si>
    <t>Kategori</t>
  </si>
  <si>
    <t>Item biaya</t>
  </si>
  <si>
    <t>Qty</t>
  </si>
  <si>
    <t>Tarif</t>
  </si>
  <si>
    <t>Total</t>
  </si>
  <si>
    <t>Komponen proposal</t>
  </si>
  <si>
    <t>Jenis</t>
  </si>
  <si>
    <t>Juri</t>
  </si>
  <si>
    <t>Juri dosen public speaking: hari acara + rubrik penilaian 46 karya</t>
  </si>
  <si>
    <t>juri</t>
  </si>
  <si>
    <t>Honor</t>
  </si>
  <si>
    <t>Juri psikolog: hari acara + rubrik penilaian 46 karya</t>
  </si>
  <si>
    <t>Koordinasi</t>
  </si>
  <si>
    <t>Project manager</t>
  </si>
  <si>
    <t>proyek</t>
  </si>
  <si>
    <t>Operasional</t>
  </si>
  <si>
    <t>Biaya administrasi (Coreitera)</t>
  </si>
  <si>
    <t>Overhead</t>
  </si>
  <si>
    <t>Langsung</t>
  </si>
  <si>
    <t>Jumlah Biaya</t>
  </si>
  <si>
    <t>Biaya juri per karya</t>
  </si>
  <si>
    <t>PENDAPATAN DAN PROFIT</t>
  </si>
  <si>
    <t>NILAI AKHIR (harga diajukan ke BI)</t>
  </si>
  <si>
    <t>PPN terutang (0 jika Non-PKP)</t>
  </si>
  <si>
    <t>Pendapatan bersih PPN (DPP)</t>
  </si>
  <si>
    <t>AFTER PAJAK</t>
  </si>
  <si>
    <t>AFTER COST (profit kotor)</t>
  </si>
  <si>
    <t>Komisi</t>
  </si>
  <si>
    <t>PROFIT NETT</t>
  </si>
  <si>
    <t>Markup harga (DPP) terhadap biaya</t>
  </si>
  <si>
    <t>Harga / biaya</t>
  </si>
  <si>
    <t>HARGA UNTUK MARGIN NETT TARGET (Non-PKP, setelah PPh 23 dan komisi)</t>
  </si>
  <si>
    <t>Margin nett</t>
  </si>
  <si>
    <t>Harga ke BI</t>
  </si>
  <si>
    <t>Profit nett</t>
  </si>
  <si>
    <t>HARGA PER LAYANAN UNTUK PROPOSAL (DRAF, harga jual bukan biaya). Sel biru = harga yang ditulis di proposal.</t>
  </si>
  <si>
    <t>Total harus sama dengan harga yang diajukan. Overhead dibagi ke tiap layanan sesuai porsi biaya langsungnya.</t>
  </si>
  <si>
    <t>Layanan (bahasa proposal)</t>
  </si>
  <si>
    <t>Volume</t>
  </si>
  <si>
    <t>Harga satuan</t>
  </si>
  <si>
    <t>Jumlah</t>
  </si>
  <si>
    <t>Biaya langsung</t>
  </si>
  <si>
    <t>Biaya + porsi overhead</t>
  </si>
  <si>
    <t>Juri dosen public speaking: penilaian 46 karya dan penjurian di hari acara</t>
  </si>
  <si>
    <t>paket</t>
  </si>
  <si>
    <t>Juri psikolog: penilaian 46 karya dan penjurian di hari acara</t>
  </si>
  <si>
    <t>Manajemen program dan pendampingan acara</t>
  </si>
  <si>
    <t>TOTAL</t>
  </si>
  <si>
    <t>Cek: total = harga diajukan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</si>
</sst>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p&quot;#,##0;[Red]\-&quot;Rp&quot;#,##0"/>
    <numFmt numFmtId="165" formatCode="0.0%"/>
    <numFmt numFmtId="166" formatCode="0.00&quot;x&quot;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7557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FCF"/>
      </left>
      <right style="thin">
        <color rgb="FFB7BFCF"/>
      </right>
      <top style="thin">
        <color rgb="FFB7BFCF"/>
      </top>
      <bottom style="thin">
        <color rgb="FFB7BFC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4" fillId="0" borderId="0" xfId="0" applyFont="1"/>
    <xf numFmtId="0" fontId="2" fillId="2" borderId="1" xfId="0" applyFont="1" applyFill="1" applyBorder="1" applyAlignment="1">
      <alignment vertical="top" wrapText="1"/>
    </xf>
    <xf numFmtId="164" fontId="3" fillId="0" borderId="1" xfId="0" applyNumberFormat="1" applyFont="1" applyBorder="1"/>
    <xf numFmtId="0" fontId="0" fillId="0" borderId="1" xfId="0" applyBorder="1" applyAlignment="1">
      <alignment vertical="top" wrapText="1"/>
    </xf>
    <xf numFmtId="0" fontId="3" fillId="0" borderId="1" xfId="0" applyFont="1" applyBorder="1"/>
    <xf numFmtId="165" fontId="3" fillId="0" borderId="1" xfId="0" applyNumberFormat="1" applyFont="1" applyBorder="1"/>
    <xf numFmtId="164" fontId="4" fillId="0" borderId="0" xfId="0" applyNumberFormat="1" applyFont="1"/>
    <xf numFmtId="164" fontId="0" fillId="0" borderId="0" xfId="0" applyNumberFormat="1"/>
    <xf numFmtId="0" fontId="4" fillId="3" borderId="0" xfId="0" applyFont="1" applyFill="1"/>
    <xf numFmtId="164" fontId="4" fillId="3" borderId="0" xfId="0" applyNumberFormat="1" applyFont="1" applyFill="1"/>
    <xf numFmtId="0" fontId="0" fillId="3" borderId="0" xfId="0" applyFill="1"/>
    <xf numFmtId="165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83203125" defaultRowHeight="15" x14ac:dyDescent="0.2"/>
  <cols>
    <col min="1" max="1" width="52" customWidth="1"/>
    <col min="2" max="2" width="20" customWidth="1"/>
  </cols>
  <sheetData>
    <row r="1" spans="1:2" ht="17" x14ac:dyDescent="0.2">
      <c r="A1" s="1" t="s">
        <v>0</v>
      </c>
    </row>
    <row r="3" spans="1:2" x14ac:dyDescent="0.2">
      <c r="A3" s="2" t="s">
        <v>1</v>
      </c>
      <c r="B3" s="3">
        <f>Asumsi!$B$3</f>
        <v>15000000</v>
      </c>
    </row>
    <row r="4" spans="1:2" x14ac:dyDescent="0.2">
      <c r="A4" s="2" t="s">
        <v>2</v>
      </c>
      <c r="B4" s="2" t="str">
        <f>Asumsi!$B$4</f>
        <v>Non-PKP</v>
      </c>
    </row>
    <row r="5" spans="1:2" x14ac:dyDescent="0.2">
      <c r="A5" s="2" t="s">
        <v>3</v>
      </c>
      <c r="B5" s="3">
        <f>RAB!$B$17</f>
        <v>14700000</v>
      </c>
    </row>
    <row r="6" spans="1:2" x14ac:dyDescent="0.2">
      <c r="A6" s="2" t="s">
        <v>4</v>
      </c>
      <c r="B6" s="3">
        <f>RAB!$G$9</f>
        <v>7400000</v>
      </c>
    </row>
    <row r="7" spans="1:2" x14ac:dyDescent="0.2">
      <c r="A7" s="4" t="s">
        <v>5</v>
      </c>
      <c r="B7" s="5">
        <f>RAB!$B$21</f>
        <v>6570000</v>
      </c>
    </row>
    <row r="8" spans="1:2" x14ac:dyDescent="0.2">
      <c r="A8" s="4" t="s">
        <v>6</v>
      </c>
      <c r="B8" s="6">
        <f>RAB!$B$22</f>
        <v>0.438</v>
      </c>
    </row>
    <row r="9" spans="1:2" x14ac:dyDescent="0.2">
      <c r="A9" s="2" t="s">
        <v>7</v>
      </c>
      <c r="B9" s="2" t="str">
        <f>RAB!$B$25</f>
        <v>Capai target 40%</v>
      </c>
    </row>
    <row r="10" spans="1:2" x14ac:dyDescent="0.2">
      <c r="A10" s="2" t="s">
        <v>8</v>
      </c>
      <c r="B10" s="3">
        <f>RAB!$B$29</f>
        <v>11443298.969072163</v>
      </c>
    </row>
    <row r="11" spans="1:2" x14ac:dyDescent="0.2">
      <c r="A11" s="2" t="s">
        <v>9</v>
      </c>
      <c r="B11" s="3">
        <f>RAB!$B$30</f>
        <v>12518796.992481202</v>
      </c>
    </row>
    <row r="12" spans="1:2" x14ac:dyDescent="0.2">
      <c r="A12" s="2" t="s">
        <v>10</v>
      </c>
      <c r="B12" s="3">
        <f>RAB!$B$31</f>
        <v>13817427.385892117</v>
      </c>
    </row>
    <row r="13" spans="1:2" x14ac:dyDescent="0.2">
      <c r="A13" s="2" t="s">
        <v>11</v>
      </c>
      <c r="B13" s="2" t="str">
        <f>'Harga Proposal'!F9</f>
        <v>OK</v>
      </c>
    </row>
    <row r="15" spans="1:2" x14ac:dyDescent="0.2">
      <c r="A15" s="7" t="s">
        <v>12</v>
      </c>
    </row>
    <row r="16" spans="1:2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83203125" defaultRowHeight="15" x14ac:dyDescent="0.2"/>
  <cols>
    <col min="1" max="1" width="52" customWidth="1"/>
    <col min="2" max="2" width="16" customWidth="1"/>
    <col min="3" max="3" width="12" customWidth="1"/>
    <col min="4" max="4" width="84" customWidth="1"/>
  </cols>
  <sheetData>
    <row r="1" spans="1:4" ht="17" x14ac:dyDescent="0.2">
      <c r="A1" s="1" t="s">
        <v>19</v>
      </c>
    </row>
    <row r="2" spans="1:4" ht="16" x14ac:dyDescent="0.2">
      <c r="A2" s="8" t="s">
        <v>20</v>
      </c>
      <c r="B2" s="8" t="s">
        <v>21</v>
      </c>
      <c r="C2" s="8" t="s">
        <v>22</v>
      </c>
      <c r="D2" s="8" t="s">
        <v>23</v>
      </c>
    </row>
    <row r="3" spans="1:4" ht="16" x14ac:dyDescent="0.2">
      <c r="A3" s="2" t="s">
        <v>24</v>
      </c>
      <c r="B3" s="9">
        <v>15000000</v>
      </c>
      <c r="C3" s="2" t="s">
        <v>25</v>
      </c>
      <c r="D3" s="10" t="s">
        <v>26</v>
      </c>
    </row>
    <row r="4" spans="1:4" ht="16" x14ac:dyDescent="0.2">
      <c r="A4" s="2" t="s">
        <v>27</v>
      </c>
      <c r="B4" s="11" t="s">
        <v>28</v>
      </c>
      <c r="C4" s="2" t="s">
        <v>29</v>
      </c>
      <c r="D4" s="10" t="s">
        <v>30</v>
      </c>
    </row>
    <row r="5" spans="1:4" ht="16" x14ac:dyDescent="0.2">
      <c r="A5" s="2" t="s">
        <v>31</v>
      </c>
      <c r="B5" s="12">
        <v>0.11</v>
      </c>
      <c r="C5" s="2" t="s">
        <v>32</v>
      </c>
      <c r="D5" s="10" t="s">
        <v>33</v>
      </c>
    </row>
    <row r="6" spans="1:4" ht="16" x14ac:dyDescent="0.2">
      <c r="A6" s="2" t="s">
        <v>34</v>
      </c>
      <c r="B6" s="12">
        <v>0.02</v>
      </c>
      <c r="C6" s="2" t="s">
        <v>32</v>
      </c>
      <c r="D6" s="10" t="s">
        <v>35</v>
      </c>
    </row>
    <row r="7" spans="1:4" ht="16" x14ac:dyDescent="0.2">
      <c r="A7" s="2" t="s">
        <v>36</v>
      </c>
      <c r="B7" s="11">
        <v>46</v>
      </c>
      <c r="C7" s="2" t="s">
        <v>37</v>
      </c>
      <c r="D7" s="10" t="s">
        <v>38</v>
      </c>
    </row>
    <row r="8" spans="1:4" ht="32" x14ac:dyDescent="0.2">
      <c r="A8" s="2" t="s">
        <v>39</v>
      </c>
      <c r="B8" s="9">
        <v>2500000</v>
      </c>
      <c r="C8" s="2" t="s">
        <v>40</v>
      </c>
      <c r="D8" s="10" t="s">
        <v>41</v>
      </c>
    </row>
    <row r="9" spans="1:4" ht="32" x14ac:dyDescent="0.2">
      <c r="A9" s="2" t="s">
        <v>42</v>
      </c>
      <c r="B9" s="9">
        <v>2500000</v>
      </c>
      <c r="C9" s="2" t="s">
        <v>40</v>
      </c>
      <c r="D9" s="10" t="s">
        <v>41</v>
      </c>
    </row>
    <row r="10" spans="1:4" ht="16" x14ac:dyDescent="0.2">
      <c r="A10" s="2" t="s">
        <v>43</v>
      </c>
      <c r="B10" s="9">
        <v>2000000</v>
      </c>
      <c r="C10" s="2" t="s">
        <v>44</v>
      </c>
      <c r="D10" s="10" t="s">
        <v>45</v>
      </c>
    </row>
    <row r="11" spans="1:4" ht="16" x14ac:dyDescent="0.2">
      <c r="A11" s="2" t="s">
        <v>46</v>
      </c>
      <c r="B11" s="9">
        <v>400000</v>
      </c>
      <c r="C11" s="2" t="s">
        <v>44</v>
      </c>
      <c r="D11" s="10" t="s">
        <v>47</v>
      </c>
    </row>
    <row r="12" spans="1:4" ht="16" x14ac:dyDescent="0.2">
      <c r="A12" s="2" t="s">
        <v>48</v>
      </c>
      <c r="B12" s="12">
        <v>0.1</v>
      </c>
      <c r="C12" s="2" t="s">
        <v>32</v>
      </c>
      <c r="D12" s="10" t="s">
        <v>49</v>
      </c>
    </row>
    <row r="13" spans="1:4" ht="16" x14ac:dyDescent="0.2">
      <c r="A13" s="2" t="s">
        <v>50</v>
      </c>
      <c r="B13" s="12">
        <v>0.35</v>
      </c>
      <c r="C13" s="2" t="s">
        <v>32</v>
      </c>
      <c r="D13" s="10" t="s">
        <v>51</v>
      </c>
    </row>
    <row r="14" spans="1:4" ht="16" x14ac:dyDescent="0.2">
      <c r="A14" s="2" t="s">
        <v>52</v>
      </c>
      <c r="B14" s="12">
        <v>0.4</v>
      </c>
      <c r="C14" s="2" t="s">
        <v>32</v>
      </c>
      <c r="D14" s="10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baseColWidth="10" defaultColWidth="8.83203125" defaultRowHeight="15" x14ac:dyDescent="0.2"/>
  <cols>
    <col min="1" max="1" width="44" customWidth="1"/>
    <col min="2" max="2" width="18" customWidth="1"/>
    <col min="3" max="3" width="58" customWidth="1"/>
    <col min="4" max="4" width="8" customWidth="1"/>
    <col min="5" max="5" width="10" customWidth="1"/>
    <col min="6" max="6" width="14" customWidth="1"/>
    <col min="7" max="7" width="15" customWidth="1"/>
    <col min="8" max="8" width="18" customWidth="1"/>
    <col min="9" max="9" width="10" customWidth="1"/>
  </cols>
  <sheetData>
    <row r="1" spans="1:9" ht="17" x14ac:dyDescent="0.2">
      <c r="A1" s="1" t="s">
        <v>54</v>
      </c>
    </row>
    <row r="2" spans="1:9" x14ac:dyDescent="0.2">
      <c r="A2" t="s">
        <v>55</v>
      </c>
    </row>
    <row r="4" spans="1:9" ht="16" x14ac:dyDescent="0.2">
      <c r="A4" s="8" t="s">
        <v>56</v>
      </c>
      <c r="B4" s="8" t="s">
        <v>57</v>
      </c>
      <c r="C4" s="8" t="s">
        <v>58</v>
      </c>
      <c r="D4" s="8" t="s">
        <v>59</v>
      </c>
      <c r="E4" s="8" t="s">
        <v>22</v>
      </c>
      <c r="F4" s="8" t="s">
        <v>60</v>
      </c>
      <c r="G4" s="8" t="s">
        <v>61</v>
      </c>
      <c r="H4" s="8" t="s">
        <v>62</v>
      </c>
      <c r="I4" s="8" t="s">
        <v>63</v>
      </c>
    </row>
    <row r="5" spans="1:9" ht="16" x14ac:dyDescent="0.2">
      <c r="A5" s="2">
        <v>1</v>
      </c>
      <c r="B5" s="2" t="s">
        <v>64</v>
      </c>
      <c r="C5" s="10" t="s">
        <v>65</v>
      </c>
      <c r="D5" s="2">
        <v>1</v>
      </c>
      <c r="E5" s="2" t="s">
        <v>66</v>
      </c>
      <c r="F5" s="3">
        <f>Asumsi!$B$8</f>
        <v>2500000</v>
      </c>
      <c r="G5" s="3">
        <f>D5*F5</f>
        <v>2500000</v>
      </c>
      <c r="H5" s="2">
        <v>1</v>
      </c>
      <c r="I5" s="2" t="s">
        <v>67</v>
      </c>
    </row>
    <row r="6" spans="1:9" ht="16" x14ac:dyDescent="0.2">
      <c r="A6" s="2">
        <v>2</v>
      </c>
      <c r="B6" s="2" t="s">
        <v>64</v>
      </c>
      <c r="C6" s="10" t="s">
        <v>68</v>
      </c>
      <c r="D6" s="2">
        <v>1</v>
      </c>
      <c r="E6" s="2" t="s">
        <v>66</v>
      </c>
      <c r="F6" s="3">
        <f>Asumsi!$B$9</f>
        <v>2500000</v>
      </c>
      <c r="G6" s="3">
        <f>D6*F6</f>
        <v>2500000</v>
      </c>
      <c r="H6" s="2">
        <v>2</v>
      </c>
      <c r="I6" s="2" t="s">
        <v>67</v>
      </c>
    </row>
    <row r="7" spans="1:9" ht="16" x14ac:dyDescent="0.2">
      <c r="A7" s="2">
        <v>3</v>
      </c>
      <c r="B7" s="2" t="s">
        <v>69</v>
      </c>
      <c r="C7" s="10" t="s">
        <v>70</v>
      </c>
      <c r="D7" s="2">
        <v>1</v>
      </c>
      <c r="E7" s="2" t="s">
        <v>71</v>
      </c>
      <c r="F7" s="3">
        <f>Asumsi!$B$10</f>
        <v>2000000</v>
      </c>
      <c r="G7" s="3">
        <f>D7*F7</f>
        <v>2000000</v>
      </c>
      <c r="H7" s="2">
        <v>3</v>
      </c>
      <c r="I7" s="2" t="s">
        <v>67</v>
      </c>
    </row>
    <row r="8" spans="1:9" ht="16" x14ac:dyDescent="0.2">
      <c r="A8" s="2">
        <v>4</v>
      </c>
      <c r="B8" s="2" t="s">
        <v>72</v>
      </c>
      <c r="C8" s="10" t="s">
        <v>73</v>
      </c>
      <c r="D8" s="2">
        <v>1</v>
      </c>
      <c r="E8" s="2" t="s">
        <v>71</v>
      </c>
      <c r="F8" s="3">
        <f>Asumsi!$B$11</f>
        <v>400000</v>
      </c>
      <c r="G8" s="3">
        <f>D8*F8</f>
        <v>400000</v>
      </c>
      <c r="H8" s="2" t="s">
        <v>74</v>
      </c>
      <c r="I8" s="2" t="s">
        <v>75</v>
      </c>
    </row>
    <row r="9" spans="1:9" x14ac:dyDescent="0.2">
      <c r="F9" s="7" t="s">
        <v>76</v>
      </c>
      <c r="G9" s="13">
        <f>SUM(G5:G8)</f>
        <v>7400000</v>
      </c>
    </row>
    <row r="10" spans="1:9" x14ac:dyDescent="0.2">
      <c r="F10" t="s">
        <v>77</v>
      </c>
      <c r="G10" s="14">
        <f>(G5+G6)/Asumsi!$B$7</f>
        <v>108695.65217391304</v>
      </c>
    </row>
    <row r="12" spans="1:9" x14ac:dyDescent="0.2">
      <c r="A12" s="7" t="s">
        <v>78</v>
      </c>
    </row>
    <row r="13" spans="1:9" x14ac:dyDescent="0.2">
      <c r="A13" s="7" t="s">
        <v>79</v>
      </c>
      <c r="B13" s="13">
        <f>Asumsi!$B$3</f>
        <v>15000000</v>
      </c>
    </row>
    <row r="14" spans="1:9" x14ac:dyDescent="0.2">
      <c r="A14" t="s">
        <v>80</v>
      </c>
      <c r="B14" s="14">
        <f>IF(Asumsi!$B$4="PKP",B13-B13/(1+Asumsi!$B$5),0)</f>
        <v>0</v>
      </c>
    </row>
    <row r="15" spans="1:9" x14ac:dyDescent="0.2">
      <c r="A15" t="s">
        <v>81</v>
      </c>
      <c r="B15" s="14">
        <f>B13-B14</f>
        <v>15000000</v>
      </c>
    </row>
    <row r="16" spans="1:9" x14ac:dyDescent="0.2">
      <c r="A16" t="s">
        <v>34</v>
      </c>
      <c r="B16" s="14">
        <f>B15*Asumsi!$B$6</f>
        <v>300000</v>
      </c>
    </row>
    <row r="17" spans="1:4" x14ac:dyDescent="0.2">
      <c r="A17" s="7" t="s">
        <v>82</v>
      </c>
      <c r="B17" s="13">
        <f>B15-B16</f>
        <v>14700000</v>
      </c>
    </row>
    <row r="18" spans="1:4" x14ac:dyDescent="0.2">
      <c r="A18" t="s">
        <v>76</v>
      </c>
      <c r="B18" s="14">
        <f>RAB!$G$9</f>
        <v>7400000</v>
      </c>
    </row>
    <row r="19" spans="1:4" x14ac:dyDescent="0.2">
      <c r="A19" s="7" t="s">
        <v>83</v>
      </c>
      <c r="B19" s="13">
        <f>B17-B18</f>
        <v>7300000</v>
      </c>
    </row>
    <row r="20" spans="1:4" x14ac:dyDescent="0.2">
      <c r="A20" t="s">
        <v>84</v>
      </c>
      <c r="B20" s="14">
        <f>MAX(0,B19*Asumsi!$B$12)</f>
        <v>730000</v>
      </c>
    </row>
    <row r="21" spans="1:4" x14ac:dyDescent="0.2">
      <c r="A21" s="15" t="s">
        <v>85</v>
      </c>
      <c r="B21" s="16">
        <f>B19-B20</f>
        <v>6570000</v>
      </c>
    </row>
    <row r="22" spans="1:4" x14ac:dyDescent="0.2">
      <c r="A22" s="17" t="s">
        <v>6</v>
      </c>
      <c r="B22" s="18">
        <f>B21/B13</f>
        <v>0.438</v>
      </c>
    </row>
    <row r="23" spans="1:4" x14ac:dyDescent="0.2">
      <c r="A23" t="s">
        <v>86</v>
      </c>
      <c r="B23" s="19">
        <f>B15/RAB!$G$9-1</f>
        <v>1.0270270270270272</v>
      </c>
    </row>
    <row r="24" spans="1:4" x14ac:dyDescent="0.2">
      <c r="A24" t="s">
        <v>87</v>
      </c>
      <c r="B24" s="20">
        <f>B13/RAB!$G$9</f>
        <v>2.0270270270270272</v>
      </c>
    </row>
    <row r="25" spans="1:4" x14ac:dyDescent="0.2">
      <c r="A25" s="17" t="s">
        <v>7</v>
      </c>
      <c r="B25" s="17" t="str">
        <f>IF(B22&gt;=Asumsi!$B$14,"Capai target 40%",IF(B22&gt;=Asumsi!$B$13,"Dalam rentang 35-40%","Di bawah 35%"))</f>
        <v>Capai target 40%</v>
      </c>
    </row>
    <row r="27" spans="1:4" x14ac:dyDescent="0.2">
      <c r="A27" s="7" t="s">
        <v>88</v>
      </c>
    </row>
    <row r="28" spans="1:4" ht="32" x14ac:dyDescent="0.2">
      <c r="A28" s="8" t="s">
        <v>89</v>
      </c>
      <c r="B28" s="8" t="s">
        <v>90</v>
      </c>
      <c r="C28" s="8" t="s">
        <v>91</v>
      </c>
      <c r="D28" s="8" t="s">
        <v>87</v>
      </c>
    </row>
    <row r="29" spans="1:4" x14ac:dyDescent="0.2">
      <c r="A29" s="21">
        <v>0.3</v>
      </c>
      <c r="B29" s="3">
        <f>(1-Asumsi!$B$12)*RAB!$G$9/((1-Asumsi!$B$6)*(1-Asumsi!$B$12)-A29)</f>
        <v>11443298.969072163</v>
      </c>
      <c r="C29" s="3">
        <f>A29*B29</f>
        <v>3432989.6907216487</v>
      </c>
      <c r="D29" s="22">
        <f>B29/RAB!$G$9</f>
        <v>1.5463917525773194</v>
      </c>
    </row>
    <row r="30" spans="1:4" x14ac:dyDescent="0.2">
      <c r="A30" s="21">
        <v>0.35</v>
      </c>
      <c r="B30" s="3">
        <f>(1-Asumsi!$B$12)*RAB!$G$9/((1-Asumsi!$B$6)*(1-Asumsi!$B$12)-A30)</f>
        <v>12518796.992481202</v>
      </c>
      <c r="C30" s="3">
        <f>A30*B30</f>
        <v>4381578.9473684207</v>
      </c>
      <c r="D30" s="22">
        <f>B30/RAB!$G$9</f>
        <v>1.6917293233082704</v>
      </c>
    </row>
    <row r="31" spans="1:4" x14ac:dyDescent="0.2">
      <c r="A31" s="21">
        <v>0.4</v>
      </c>
      <c r="B31" s="3">
        <f>(1-Asumsi!$B$12)*RAB!$G$9/((1-Asumsi!$B$6)*(1-Asumsi!$B$12)-A31)</f>
        <v>13817427.385892117</v>
      </c>
      <c r="C31" s="3">
        <f>A31*B31</f>
        <v>5526970.9543568473</v>
      </c>
      <c r="D31" s="22">
        <f>B31/RAB!$G$9</f>
        <v>1.8672199170124484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baseColWidth="10" defaultColWidth="8.83203125" defaultRowHeight="15" x14ac:dyDescent="0.2"/>
  <cols>
    <col min="1" max="1" width="5" customWidth="1"/>
    <col min="2" max="2" width="62" customWidth="1"/>
    <col min="3" max="3" width="9" customWidth="1"/>
    <col min="4" max="4" width="10" customWidth="1"/>
    <col min="5" max="7" width="15" customWidth="1"/>
    <col min="8" max="8" width="20" customWidth="1"/>
    <col min="9" max="9" width="12" customWidth="1"/>
  </cols>
  <sheetData>
    <row r="1" spans="1:9" ht="17" x14ac:dyDescent="0.2">
      <c r="A1" s="1" t="s">
        <v>92</v>
      </c>
    </row>
    <row r="2" spans="1:9" x14ac:dyDescent="0.2">
      <c r="A2" t="s">
        <v>93</v>
      </c>
    </row>
    <row r="4" spans="1:9" ht="16" x14ac:dyDescent="0.2">
      <c r="A4" s="8" t="s">
        <v>56</v>
      </c>
      <c r="B4" s="8" t="s">
        <v>94</v>
      </c>
      <c r="C4" s="8" t="s">
        <v>95</v>
      </c>
      <c r="D4" s="8" t="s">
        <v>22</v>
      </c>
      <c r="E4" s="8" t="s">
        <v>96</v>
      </c>
      <c r="F4" s="8" t="s">
        <v>97</v>
      </c>
      <c r="G4" s="8" t="s">
        <v>98</v>
      </c>
      <c r="H4" s="8" t="s">
        <v>99</v>
      </c>
      <c r="I4" s="8" t="s">
        <v>87</v>
      </c>
    </row>
    <row r="5" spans="1:9" ht="16" x14ac:dyDescent="0.2">
      <c r="A5" s="2">
        <v>1</v>
      </c>
      <c r="B5" s="10" t="s">
        <v>100</v>
      </c>
      <c r="C5" s="2">
        <v>1</v>
      </c>
      <c r="D5" s="2" t="s">
        <v>101</v>
      </c>
      <c r="E5" s="9">
        <v>6000000</v>
      </c>
      <c r="F5" s="3">
        <f>C5*E5</f>
        <v>6000000</v>
      </c>
      <c r="G5" s="3">
        <f>SUMIF(RAB!$H$5:$H$8,A5,RAB!$G$5:$G$8)</f>
        <v>2500000</v>
      </c>
      <c r="H5" s="3">
        <f>G5+G5/SUM($G$5:$G$7)*SUMIF(RAB!$H$5:$H$8,"Overhead",RAB!$G$5:$G$8)</f>
        <v>2642857.1428571427</v>
      </c>
      <c r="I5" s="22">
        <f>F5/H5</f>
        <v>2.2702702702702702</v>
      </c>
    </row>
    <row r="6" spans="1:9" ht="16" x14ac:dyDescent="0.2">
      <c r="A6" s="2">
        <v>2</v>
      </c>
      <c r="B6" s="10" t="s">
        <v>102</v>
      </c>
      <c r="C6" s="2">
        <v>1</v>
      </c>
      <c r="D6" s="2" t="s">
        <v>101</v>
      </c>
      <c r="E6" s="9">
        <v>6000000</v>
      </c>
      <c r="F6" s="3">
        <f>C6*E6</f>
        <v>6000000</v>
      </c>
      <c r="G6" s="3">
        <f>SUMIF(RAB!$H$5:$H$8,A6,RAB!$G$5:$G$8)</f>
        <v>2500000</v>
      </c>
      <c r="H6" s="3">
        <f>G6+G6/SUM($G$5:$G$7)*SUMIF(RAB!$H$5:$H$8,"Overhead",RAB!$G$5:$G$8)</f>
        <v>2642857.1428571427</v>
      </c>
      <c r="I6" s="22">
        <f>F6/H6</f>
        <v>2.2702702702702702</v>
      </c>
    </row>
    <row r="7" spans="1:9" ht="16" x14ac:dyDescent="0.2">
      <c r="A7" s="2">
        <v>3</v>
      </c>
      <c r="B7" s="10" t="s">
        <v>103</v>
      </c>
      <c r="C7" s="2">
        <v>1</v>
      </c>
      <c r="D7" s="2" t="s">
        <v>101</v>
      </c>
      <c r="E7" s="9">
        <v>3000000</v>
      </c>
      <c r="F7" s="3">
        <f>C7*E7</f>
        <v>3000000</v>
      </c>
      <c r="G7" s="3">
        <f>SUMIF(RAB!$H$5:$H$8,A7,RAB!$G$5:$G$8)</f>
        <v>2000000</v>
      </c>
      <c r="H7" s="3">
        <f>G7+G7/SUM($G$5:$G$7)*SUMIF(RAB!$H$5:$H$8,"Overhead",RAB!$G$5:$G$8)</f>
        <v>2114285.7142857141</v>
      </c>
      <c r="I7" s="22">
        <f>F7/H7</f>
        <v>1.4189189189189191</v>
      </c>
    </row>
    <row r="8" spans="1:9" x14ac:dyDescent="0.2">
      <c r="B8" s="7" t="s">
        <v>104</v>
      </c>
      <c r="F8" s="13">
        <f>SUM(F5:F7)</f>
        <v>15000000</v>
      </c>
      <c r="G8" s="13">
        <f>SUM(G5:G7)</f>
        <v>7000000</v>
      </c>
      <c r="H8" s="13">
        <f>SUM(H5:H7)</f>
        <v>7400000</v>
      </c>
      <c r="I8" s="20">
        <f>F8/H8</f>
        <v>2.0270270270270272</v>
      </c>
    </row>
    <row r="9" spans="1:9" x14ac:dyDescent="0.2">
      <c r="B9" t="s">
        <v>105</v>
      </c>
      <c r="F9" s="7" t="str">
        <f>IF(F8=Asumsi!$B$3,"OK","TIDAK SAMA")</f>
        <v>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Asumsi</vt:lpstr>
      <vt:lpstr>RAB</vt:lpstr>
      <vt:lpstr>Harga Proposal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 Muji Agung</cp:lastModifiedBy>
  <dcterms:created xsi:type="dcterms:W3CDTF">2026-10-28T13:52:47Z</dcterms:created>
  <dcterms:modified xsi:type="dcterms:W3CDTF">2026-10-28T13:52:51Z</dcterms:modified>
</cp:coreProperties>
</file>