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Inputs" sheetId="2" r:id="rId6"/>
    <sheet state="visible" name="Pricing_Counseling" sheetId="3" r:id="rId7"/>
    <sheet state="visible" name="Pricing_Assessment" sheetId="4" r:id="rId8"/>
    <sheet state="visible" name="Catalog" sheetId="5" r:id="rId9"/>
    <sheet state="visible" name="Profit_Share" sheetId="6" r:id="rId10"/>
    <sheet state="visible" name="Alignment" sheetId="7" r:id="rId11"/>
    <sheet state="visible" name="To_Fill" sheetId="8" r:id="rId12"/>
    <sheet state="visible" name="Perbandingan_Kompetitor" sheetId="9" r:id="rId13"/>
  </sheets>
  <definedNames/>
  <calcPr/>
</workbook>
</file>

<file path=xl/sharedStrings.xml><?xml version="1.0" encoding="utf-8"?>
<sst xmlns="http://schemas.openxmlformats.org/spreadsheetml/2006/main" count="755" uniqueCount="439">
  <si>
    <t>Inputs: semua angka yang bisa diubah</t>
  </si>
  <si>
    <t>Strategi Pricing Teman Journey: Tier Psikolog dan Bagi Hasil</t>
  </si>
  <si>
    <t>Biru = angka input. Kuning = estimasi (ganti dengan angka asli). Hitam = rumus. Satuan Rupiah (Rp).</t>
  </si>
  <si>
    <t>Dibuat 13 Okt 2026. Patokan harga: sheet ACC Kia. Penyelarasan: Growth Plan 5 Okt 2026. Satuan Rupiah.</t>
  </si>
  <si>
    <t>Item</t>
  </si>
  <si>
    <t>Jawaban singkat</t>
  </si>
  <si>
    <t>Nilai</t>
  </si>
  <si>
    <t>Satuan</t>
  </si>
  <si>
    <t>Status</t>
  </si>
  <si>
    <t>Sumber / catatan</t>
  </si>
  <si>
    <t>A. Aturan harga</t>
  </si>
  <si>
    <t>Diskon di bawah patokan (arti 'sedikit di bawah Ibunda')</t>
  </si>
  <si>
    <t>1. Harga = patokan ACC dikurangi diskon kecil (default 5%, ubah di Inputs). Pengecualian: konseling individual Tier 1 dan Tier 2 ditetapkan sama (online Rp500rb, offline Rp580rb) di kolom M sheet Pricing_Counseling. Tes harga tunggal, bagi hasil 50:50.</t>
  </si>
  <si>
    <t>%</t>
  </si>
  <si>
    <t>Your plan - confirm</t>
  </si>
  <si>
    <t>Patokan = harga yang sudah di-ACC Kia (Google Sheet Strategi_Harga_Teman_Journey). Isi 0% untuk memakai harga ACC persis.</t>
  </si>
  <si>
    <t>Pembulatan harga sesi</t>
  </si>
  <si>
    <t>2. Bagi hasil psikolog : TJ = 60:40, 65:35, 65:35, 70:30 untuk Tier 1 sampai 4. Karena harga Tier 1 dan Tier 2 sama, margin TJ per sesi konseling individual Tier 2 lebih rendah dari Tier 1.</t>
  </si>
  <si>
    <t>Harga Konseling &amp; Terapi per Tier Psikolog</t>
  </si>
  <si>
    <t>Rp</t>
  </si>
  <si>
    <t>Harga dibulatkan ke Rp25rb terdekat</t>
  </si>
  <si>
    <t>Patokan = harga ACC Kia (biru). Harga usulan = patokan dikurangi diskon di Inputs, dibulatkan. Bila kolom M terisi, harga di kolom M dipakai dan menggantikan rumus. Satuan Rp per sesi atau per paket.</t>
  </si>
  <si>
    <t>3. Masalah utama: Growth Plan memakai konseling Rp1 juta dengan psikolog 40%. Harga dan bagi hasil baru memberi profit per sesi jauh lebih kecil. Lihat bagian bawah dan sheet Alignment.</t>
  </si>
  <si>
    <t>Pembulatan harga paket</t>
  </si>
  <si>
    <t>Harga paket dibulatkan ke Rp100rb terdekat</t>
  </si>
  <si>
    <t>4. Risiko terbesar: harga Ibunda untuk psikolog senior tidak bisa dicek (hanya di aplikasi). Cek 3 psikolog senior sebelum harga dipublikasikan.</t>
  </si>
  <si>
    <t>Diskon paket vs beli satuan</t>
  </si>
  <si>
    <t>Known</t>
  </si>
  <si>
    <t>Sheet ACC: diskon paket ~10%</t>
  </si>
  <si>
    <t>B. Bagi hasil (arahan Kia, sheet ACC)</t>
  </si>
  <si>
    <t>Angka kunci (Rp per sesi)</t>
  </si>
  <si>
    <t>Tier 1 (0-2 th)</t>
  </si>
  <si>
    <t>Bagian psikolog Tier 1 (0-2 th)</t>
  </si>
  <si>
    <t>Tier 2 (2 th 1 bln - 5 th)</t>
  </si>
  <si>
    <t>Sheet ACC: Struktur Tier Psikolog</t>
  </si>
  <si>
    <t>Tier 3 (5 th 1 bln - 10 th)</t>
  </si>
  <si>
    <t>Bagian psikolog Tier 2 (2 th 1 bln - 5 th)</t>
  </si>
  <si>
    <t>Tier 4 (di atas 10 th)</t>
  </si>
  <si>
    <t>Bagian psikolog Tier 3 (5 th 1 bln - 10 th)</t>
  </si>
  <si>
    <t>Harga konseling online 60 mnt</t>
  </si>
  <si>
    <t>Bagian psikolog Tier 4 (di atas 10 th)</t>
  </si>
  <si>
    <t>Layanan</t>
  </si>
  <si>
    <t>Bagian asesor untuk tes (asesmen)</t>
  </si>
  <si>
    <t>Sheet ACC: asesmen 50:50</t>
  </si>
  <si>
    <t>Format</t>
  </si>
  <si>
    <t>C. Biaya tetap</t>
  </si>
  <si>
    <t>Tier</t>
  </si>
  <si>
    <t>Biaya tetap per bulan (di luar honor psikolog)</t>
  </si>
  <si>
    <t>Rp/bulan</t>
  </si>
  <si>
    <t>Patokan ACC (Rp)</t>
  </si>
  <si>
    <t>Sheet ACC: Rp20 juta</t>
  </si>
  <si>
    <t>Running cost per bulan, Okt 2026 (Growth Plan)</t>
  </si>
  <si>
    <t>Harga usulan TJ (Rp)</t>
  </si>
  <si>
    <t>Growth Plan 5 Okt 2026, slide 2: Rp32M, naik bertahap ke Rp88M</t>
  </si>
  <si>
    <t>D. Biaya per sesi milik TJ</t>
  </si>
  <si>
    <t>% ke psikolog</t>
  </si>
  <si>
    <t>Fee psikolog (Rp)</t>
  </si>
  <si>
    <t>Biaya platform &amp; pembayaran per sesi konseling</t>
  </si>
  <si>
    <t>Margin TJ (Rp)</t>
  </si>
  <si>
    <t>Margin TJ (%)</t>
  </si>
  <si>
    <t>Harga Tes (Asesmen): harga tunggal, bagi hasil 50:50</t>
  </si>
  <si>
    <t>Harga / fee psikolog</t>
  </si>
  <si>
    <t>Rp/sesi</t>
  </si>
  <si>
    <t>Estimate</t>
  </si>
  <si>
    <t>Usulan vs patokan</t>
  </si>
  <si>
    <t>Default CFO (Rp50rb per sesi). Ganti dengan biaya asli (Theta, payment gateway).</t>
  </si>
  <si>
    <t>E. Asumsi Growth Plan (5 Okt 2026)</t>
  </si>
  <si>
    <t>Catatan</t>
  </si>
  <si>
    <t>Harga konseling di Growth Plan</t>
  </si>
  <si>
    <t>Harga ditetapkan (Rp, opsional)</t>
  </si>
  <si>
    <t>Mengikuti sheet ACC: tes tidak berjenjang per tier karena bagi hasilnya sama untuk semua asesor. Harga sudah termasuk laporan tertulis.</t>
  </si>
  <si>
    <t>Slide 11 dan 12</t>
  </si>
  <si>
    <t>Biaya psikolog di Growth Plan (% harga)</t>
  </si>
  <si>
    <t>Slide 31: pool dibayar 40% dari harga; slide 11: kelipatan 2,5x</t>
  </si>
  <si>
    <t>Biaya dapat 1 klien: referral</t>
  </si>
  <si>
    <t>Rp/klien</t>
  </si>
  <si>
    <t>Slide 18</t>
  </si>
  <si>
    <t>Biaya dapat 1 klien: Instagram, Jun 2027</t>
  </si>
  <si>
    <t>Biaya dapat 1 klien: Instagram, Des 2027</t>
  </si>
  <si>
    <t>Sesi per klien, Jun 2027</t>
  </si>
  <si>
    <t>Usia</t>
  </si>
  <si>
    <t>Konseling Individual</t>
  </si>
  <si>
    <t>sesi</t>
  </si>
  <si>
    <t>Slide 17</t>
  </si>
  <si>
    <t>Sesi per klien, Des 2027</t>
  </si>
  <si>
    <t>Online, 60 mnt</t>
  </si>
  <si>
    <t>Sesi konseling berbayar per bulan, Des 2027</t>
  </si>
  <si>
    <t>% ke asesor</t>
  </si>
  <si>
    <t>Fee asesor (Rp)</t>
  </si>
  <si>
    <t>Biaya alat tes (Rp)</t>
  </si>
  <si>
    <t>Profit konseling yang dibutuhkan (psikolog lead + full-timer)</t>
  </si>
  <si>
    <t>Slide 17: sekitar Rp13M per bulan; Des 2027 = Rp13,4M</t>
  </si>
  <si>
    <t>Kapasitas 2 psikolog part-time</t>
  </si>
  <si>
    <t>sesi/bulan</t>
  </si>
  <si>
    <t>Slide 36</t>
  </si>
  <si>
    <t>Biaya psikolog 1 kontrak EAP</t>
  </si>
  <si>
    <t>Slide 11</t>
  </si>
  <si>
    <t>Skrining Tumbuh Kembang</t>
  </si>
  <si>
    <t>Sesi EAP per kontrak per bulan</t>
  </si>
  <si>
    <t>0-5 th</t>
  </si>
  <si>
    <t>F. Campuran sesi B2C (belum ada data nyata)</t>
  </si>
  <si>
    <t>Porsi sesi Tier 1</t>
  </si>
  <si>
    <t>Isi dari data booking nyata. Total harus 100%.</t>
  </si>
  <si>
    <t>Porsi sesi Tier 2</t>
  </si>
  <si>
    <t>Porsi sesi Tier 3</t>
  </si>
  <si>
    <t>Porsi sesi Tier 4</t>
  </si>
  <si>
    <t>Porsi sesi online</t>
  </si>
  <si>
    <t>Isi dari data booking nyata</t>
  </si>
  <si>
    <t>G. Benchmark dan tuas</t>
  </si>
  <si>
    <t>Ibunda.id: harga masuk (psikolog entry-level, per jam)</t>
  </si>
  <si>
    <t>Sheet ACC, sumber grome.id 2026. Harga psikolog senior Ibunda tidak publik.</t>
  </si>
  <si>
    <t>Biaya alat tes MHCU per orang</t>
  </si>
  <si>
    <t>Catatan biaya TJ</t>
  </si>
  <si>
    <t>Tuas: poin bagi hasil pindah ke TJ untuk klien dari iklan</t>
  </si>
  <si>
    <t>poin %</t>
  </si>
  <si>
    <t>Opsional. 0% = tetap sesuai ACC.</t>
  </si>
  <si>
    <t>Tuas: geser porsi sesi dari online ke offline</t>
  </si>
  <si>
    <t>Contoh 10 poin</t>
  </si>
  <si>
    <t>Tuas: sesi per klien dengan paket 4 sesi</t>
  </si>
  <si>
    <t>Target jika klien membeli paket</t>
  </si>
  <si>
    <t>Fee psikolog (online)</t>
  </si>
  <si>
    <t>Margin TJ (online)</t>
  </si>
  <si>
    <t>Harga konseling offline 60 mnt</t>
  </si>
  <si>
    <t>Tier 1 dan Tier 2 ditetapkan sama, Rp500.000. Bagi hasil tetap 60% dan 65%, jadi margin TJ Tier 2 lebih rendah dari Tier 1.</t>
  </si>
  <si>
    <t>ACC</t>
  </si>
  <si>
    <t>Tes IQ</t>
  </si>
  <si>
    <t>Margin TJ (offline)</t>
  </si>
  <si>
    <t>Anak sampai dewasa</t>
  </si>
  <si>
    <t>Penyelarasan dengan Growth Plan</t>
  </si>
  <si>
    <t>Growth Plan</t>
  </si>
  <si>
    <t>Harga baru</t>
  </si>
  <si>
    <t>Selisih</t>
  </si>
  <si>
    <t>ESTIMASI: tidak ada di sheet ACC. Disamakan dengan Tes Minat Bakat (baterai kognitif + laporan). Cek harga WISC/IQ Rumah Dandelion.</t>
  </si>
  <si>
    <t>Harga rata-rata per sesi (Rp)</t>
  </si>
  <si>
    <t>Tes Kesiapan Sekolah</t>
  </si>
  <si>
    <t>4-6 th</t>
  </si>
  <si>
    <t>Margin TJ per sesi (Rp)</t>
  </si>
  <si>
    <t>Katalog Harga Teman Journey (harga usulan)</t>
  </si>
  <si>
    <t>Semua angka mengambil dari sheet Pricing. Ubah di Inputs atau Pricing, katalog ikut berubah.</t>
  </si>
  <si>
    <t>A. Layanan berjenjang per tier psikolog (Rp)</t>
  </si>
  <si>
    <t>Profit per klien / biaya dapat klien: referral</t>
  </si>
  <si>
    <t>Tes Minat Bakat</t>
  </si>
  <si>
    <t>Minimal 14 th</t>
  </si>
  <si>
    <t>Offline, 60 mnt</t>
  </si>
  <si>
    <t>Profit per klien / biaya dapat klien: Instagram Des 2027</t>
  </si>
  <si>
    <t>Tier 1 dan Tier 2 ditetapkan sama, Rp580.000 (online + Rp80rb). Bagi hasil tetap 60% dan 65%.</t>
  </si>
  <si>
    <t>Tes Profiling</t>
  </si>
  <si>
    <t>6-13 th</t>
  </si>
  <si>
    <t>Sesi per bulan untuk profit Rp13 juta</t>
  </si>
  <si>
    <t>Konseling Pasangan</t>
  </si>
  <si>
    <t>Offline, 90 mnt</t>
  </si>
  <si>
    <t>Tes Kesehatan Mental Dewasa (MHCU)</t>
  </si>
  <si>
    <t>Dewasa</t>
  </si>
  <si>
    <t>Pre-Marriage Check Up</t>
  </si>
  <si>
    <t>Paket 3 sesi @75-90 mnt</t>
  </si>
  <si>
    <t>Sesi per bulan untuk menutup biaya tetap Rp20 juta</t>
  </si>
  <si>
    <t>Marriage Check Up</t>
  </si>
  <si>
    <t>Paket 2 sesi @75-90 mnt</t>
  </si>
  <si>
    <t>Cek model: harga = fee + margin (konseling), dan campuran sesi = 100%</t>
  </si>
  <si>
    <t>ACC (komponen asesmen MHCU)</t>
  </si>
  <si>
    <t>Catatan: biaya alat tes selain MHCU diisi Rp0 sebagai tempat sementara (kuning). Margin tes akan lebih rendah bila ada lisensi atau alat bayar-per-pakai.</t>
  </si>
  <si>
    <t>Clinical Therapy (EMDR / Hypnotherapy)</t>
  </si>
  <si>
    <t>Offline, 60-90 mnt</t>
  </si>
  <si>
    <t>Online, 60-90 mnt</t>
  </si>
  <si>
    <t>Sekitar 1,3x konseling offline individu (ACC)</t>
  </si>
  <si>
    <t>B. Tes (harga tunggal, semua asesor) (Rp)</t>
  </si>
  <si>
    <t>Harga</t>
  </si>
  <si>
    <t>3 sesi pasangan dikurangi diskon paket 10% (ACC)</t>
  </si>
  <si>
    <t>Bagi Hasil Psikolog dan Teman Journey</t>
  </si>
  <si>
    <t>Persentase mengikuti arahan Kia (sheet ACC). Batas tier diperbarui sesuai permintaan: 0-2, 2 th 1 bln-5, 5 th 1 bln-10, di atas 10 tahun.</t>
  </si>
  <si>
    <t>A. Struktur tier</t>
  </si>
  <si>
    <t>Pengalaman psikolog</t>
  </si>
  <si>
    <t>% psikolog</t>
  </si>
  <si>
    <t>Penyelarasan dengan Growth Plan (5 Okt 2026)</t>
  </si>
  <si>
    <t>% TJ</t>
  </si>
  <si>
    <t>Layak untuk</t>
  </si>
  <si>
    <t>Tier 1</t>
  </si>
  <si>
    <t>Growth Plan mengasumsikan konseling Rp1 juta per sesi dan psikolog 40%. Sheet ini menunjukkan apa yang berubah dengan harga dan bagi hasil baru.</t>
  </si>
  <si>
    <t>0-2 tahun</t>
  </si>
  <si>
    <t>A. Ekonomi campuran (memakai campuran tier dan porsi online dari Inputs, estimasi)</t>
  </si>
  <si>
    <t>Harga rata-rata online (Rp/sesi)</t>
  </si>
  <si>
    <t>Konseling individual, tes. Terapi klinis hanya jika bersertifikat.</t>
  </si>
  <si>
    <t>Diawasi psikolog senior. Tahap awal (belum ada klien sendiri).</t>
  </si>
  <si>
    <t>Tier 2</t>
  </si>
  <si>
    <t>2 tahun 1 bulan - 5 tahun</t>
  </si>
  <si>
    <t>Semua layanan konseling, pasangan, tes.</t>
  </si>
  <si>
    <t>Naik dari Tier 1 bila ada rating klien dan jam terbang.</t>
  </si>
  <si>
    <t>Harga rata-rata offline (Rp/sesi)</t>
  </si>
  <si>
    <t>Tier 3</t>
  </si>
  <si>
    <t>5 tahun 1 bulan - 10 tahun</t>
  </si>
  <si>
    <t>Semua layanan, termasuk pranikah, nikah, terapi.</t>
  </si>
  <si>
    <t>Sheet ACC punya celah 8-10 tahun. Batas baru menutup celah itu.</t>
  </si>
  <si>
    <t>Tier 4</t>
  </si>
  <si>
    <t>Margin TJ rata-rata online (Rp/sesi)</t>
  </si>
  <si>
    <t>Di atas 10 tahun</t>
  </si>
  <si>
    <t>Semua layanan, kasus kompleks, supervisi.</t>
  </si>
  <si>
    <t>ACC: atau Dosen PTN. Konfirmasi apakah dosen PTN langsung Tier 4.</t>
  </si>
  <si>
    <t>B. Dari harga sampai ke kantong TJ: Konseling Individual Online 60 mnt (per sesi, Rp)</t>
  </si>
  <si>
    <t>Margin TJ rata-rata offline (Rp/sesi)</t>
  </si>
  <si>
    <t>Baris</t>
  </si>
  <si>
    <t>Harga usulan</t>
  </si>
  <si>
    <t>Harga rata-rata semua sesi (Rp/sesi)</t>
  </si>
  <si>
    <t>Margin TJ rata-rata semua sesi (Rp/sesi)</t>
  </si>
  <si>
    <t>Fee psikolog</t>
  </si>
  <si>
    <t>% rata-rata ke psikolog</t>
  </si>
  <si>
    <t>ESTIMASI: 2 sesi pasangan dikurangi diskon paket. Tidak ada di sheet ACC.</t>
  </si>
  <si>
    <t>Margin TJ setelah biaya platform (Rp/sesi)</t>
  </si>
  <si>
    <t>Margin kotor TJ</t>
  </si>
  <si>
    <t>B. Growth Plan vs harga baru</t>
  </si>
  <si>
    <t>Ukuran</t>
  </si>
  <si>
    <t>Arti</t>
  </si>
  <si>
    <t>Dikurangi biaya platform dan pembayaran</t>
  </si>
  <si>
    <t>Kontribusi TJ per sesi: klien organik (word of mouth)</t>
  </si>
  <si>
    <t>Harga baru jauh di bawah asumsi plan.</t>
  </si>
  <si>
    <t>To_Fill: angka yang masih estimasi</t>
  </si>
  <si>
    <t>Setiap baris mengubah angka di model. Isi kolom kuning dengan angka asli, lalu masukkan ke sheet Inputs.</t>
  </si>
  <si>
    <t>Nilai yang dipakai</t>
  </si>
  <si>
    <t>Kenapa penting</t>
  </si>
  <si>
    <t>Dikurangi biaya akuisisi per sesi: klien Instagram (biaya dapat klien / sesi per klien, Des 2027)</t>
  </si>
  <si>
    <t>Di mana</t>
  </si>
  <si>
    <t>Angka asli Anda</t>
  </si>
  <si>
    <t>Harga Ibunda untuk psikolog senior (cek 3 psikolog di aplikasi)</t>
  </si>
  <si>
    <t>Tidak tersedia. Hanya harga masuk Rp179rb.</t>
  </si>
  <si>
    <t>Ini patokan 'sedikit di bawah Ibunda'. Bila Ibunda senior di bawah Tier 3-4 TJ, harga TJ terlalu tinggi.</t>
  </si>
  <si>
    <t>Bagi hasil ACC lebih tinggi dari 40% di plan.</t>
  </si>
  <si>
    <t>Inputs, bagian A dan G</t>
  </si>
  <si>
    <t>Margin TJ per sesi (Rp, kotor)</t>
  </si>
  <si>
    <t>Diskon di bawah patokan</t>
  </si>
  <si>
    <t>Kontribusi TJ per sesi: klien Instagram</t>
  </si>
  <si>
    <t>Profit per sesi turun tajam.</t>
  </si>
  <si>
    <t>Margin TJ per sesi setelah biaya platform (Rp)</t>
  </si>
  <si>
    <t>0% = harga ACC persis. 5% = sedikit di bawah.</t>
  </si>
  <si>
    <t>Inputs</t>
  </si>
  <si>
    <t>Dikurangi biaya akuisisi per sesi: klien referral (Des 2027)</t>
  </si>
  <si>
    <t>Campuran tier dan porsi online</t>
  </si>
  <si>
    <t>Plan tidak memotong biaya platform.</t>
  </si>
  <si>
    <t>30/35/25/10 dan 70%</t>
  </si>
  <si>
    <t>Harga / biaya psikolog (kelipatan)</t>
  </si>
  <si>
    <t>Menentukan margin rata-rata per sesi dan semua hasil di sheet Alignment.</t>
  </si>
  <si>
    <t>Inputs, bagian F</t>
  </si>
  <si>
    <t>Biaya platform per sesi</t>
  </si>
  <si>
    <t>Hanya untuk psikolog bersertifikat EMDR/hipnoterapi</t>
  </si>
  <si>
    <t>Rp50rb per sesi memotong margin sekitar 20-25%.</t>
  </si>
  <si>
    <t>Harga Tes IQ</t>
  </si>
  <si>
    <t>Rp750rb (estimasi)</t>
  </si>
  <si>
    <t>Tidak ada di sheet ACC. Samakan dengan harga Rumah Dandelion bila ada.</t>
  </si>
  <si>
    <t>Pricing_Assessment</t>
  </si>
  <si>
    <t>Harga Tes Kesehatan Mental Anak</t>
  </si>
  <si>
    <t>Rp600rb (estimasi)</t>
  </si>
  <si>
    <t>Tidak ada di sheet ACC.</t>
  </si>
  <si>
    <t>Kontribusi TJ per sesi: klien referral</t>
  </si>
  <si>
    <t>Harga Marriage Check Up</t>
  </si>
  <si>
    <t>Turunan dari konseling pasangan (estimasi)</t>
  </si>
  <si>
    <t>Tidak ada di sheet ACC. Tentukan jumlah sesi dan isi.</t>
  </si>
  <si>
    <t>Pricing_Counseling</t>
  </si>
  <si>
    <t>Biaya alat tes selain MHCU</t>
  </si>
  <si>
    <t>Aturan plan: konseling 2,5x (pengecualian dari 3x).</t>
  </si>
  <si>
    <t>Rp0</t>
  </si>
  <si>
    <t>Margin tes terlalu tinggi bila alat tes berbayar.</t>
  </si>
  <si>
    <t>Profit per klien: margin kotor x sesi per klien Des 2027 (Rp)</t>
  </si>
  <si>
    <t>Biaya tetap untuk titik impas</t>
  </si>
  <si>
    <t>Rp20 juta (ACC) vs Rp32 juta (Growth Plan)</t>
  </si>
  <si>
    <t>Dua dokumen memakai angka berbeda. Pilih satu.</t>
  </si>
  <si>
    <t>Inputs, bagian C</t>
  </si>
  <si>
    <t>Kontribusi TJ per klien (1,4 sesi): Instagram</t>
  </si>
  <si>
    <t>Aturan Tier 4: apakah dosen PTN langsung Tier 4</t>
  </si>
  <si>
    <t>Belum ditentukan</t>
  </si>
  <si>
    <t>Sheet ACC menyebut 'atau Dosen PTN'. Permintaan baru hanya menyebut 10 tahun.</t>
  </si>
  <si>
    <t>Profit_Share</t>
  </si>
  <si>
    <t>Terapi klinis: siapa yang bersertifikat EMDR/hipnoterapi</t>
  </si>
  <si>
    <t>Belum ada data</t>
  </si>
  <si>
    <t>Menentukan tier mana yang boleh menjual layanan ini.</t>
  </si>
  <si>
    <t>Plan: Rp840rb per klien.</t>
  </si>
  <si>
    <t>Kontribusi TJ per klien (1,4 sesi): referral</t>
  </si>
  <si>
    <t>Plan: 4,2x.</t>
  </si>
  <si>
    <t>C. Penghasilan psikolog per bulan: konseling online 60 mnt (Rp)</t>
  </si>
  <si>
    <t>Plan: 1,9x. Di bawah 1x = iklan tidak balik modal dari konseling saja.</t>
  </si>
  <si>
    <t>Profit per klien / biaya dapat klien: Instagram Jun 2027</t>
  </si>
  <si>
    <t>Sesi per bulan</t>
  </si>
  <si>
    <t>Sekitar 10% di bawah offline (ACC)</t>
  </si>
  <si>
    <t>Plan: 0,9x.</t>
  </si>
  <si>
    <t>Profit konseling di volume plan Des 2027 (Rp/bulan)</t>
  </si>
  <si>
    <t>24 sesi per bulan.</t>
  </si>
  <si>
    <t>36 sesi per bulan = kapasitas 1 psikolog part-time di Growth Plan (3 shift per minggu, 3 sesi per shift).</t>
  </si>
  <si>
    <t>D. Aturan bagi hasil (usulan, untuk dimasukkan ke kontrak psikolog)</t>
  </si>
  <si>
    <t>1. Bagi hasil dihitung dari harga yang benar-benar dibayar klien, setelah diskon paket. Credit referral Rp100rb ditanggung porsi TJ, bukan psikolog.</t>
  </si>
  <si>
    <t>2. Dibayar per sesi yang terlaksana, tanpa gaji tetap. Ini sejalan dengan Growth Plan: part-timer dibayar per sesi supaya bulan sepi tidak membakar kas.</t>
  </si>
  <si>
    <t>3. Klien batal kurang dari 24 jam: psikolog menerima 50% dari fee sesi (usulan, perlu persetujuan Kia).</t>
  </si>
  <si>
    <t>4. Review tier tiap 6 bulan: naik tier bila masa pengalaman cukup dan rating klien 4,5 dari 5 atau lebih (sesuai Growth Plan slide 35).</t>
  </si>
  <si>
    <t>5. EAP dan B2B: fee flat per sesi sesuai tier (lihat Alignment, blok EAP), bukan persentase.</t>
  </si>
  <si>
    <t>6. Tes: 50:50 dari harga tes setelah biaya alat tes. Tidak berjenjang per tier.</t>
  </si>
  <si>
    <t>7. Terapi klinis (EMDR/hipnoterapi): hanya psikolog bersertifikat. Harga mengikuti tier pengalaman.</t>
  </si>
  <si>
    <t>8. Opsional (tuas): untuk klien yang datang dari iklan TJ, sebagian poin bagi hasil dapat pindah ke TJ sebagai biaya akuisisi. Default 0 poin (sesuai ACC). Angka di Inputs.</t>
  </si>
  <si>
    <t>Target plan untuk membayar psikolog lead + full-timer.</t>
  </si>
  <si>
    <t>Beban 2 psikolog part-time (kapasitas 72 sesi)</t>
  </si>
  <si>
    <t>Sehat 60-80% (slide 36). Di atas 100% = butuh psikolog tambahan.</t>
  </si>
  <si>
    <t>Cek: harga = fee psikolog + margin TJ (harus 0)</t>
  </si>
  <si>
    <t>Konseling saja belum cukup. B2B tetap mesin utama.</t>
  </si>
  <si>
    <t>Sesi per bulan untuk menutup running cost Rp32 juta</t>
  </si>
  <si>
    <t>Catatan: bagi hasil di sini dihitung dari harga sebelum biaya platform. Margin TJ belum dikurangi biaya platform dan biaya akuisisi (lihat Profit_Share).</t>
  </si>
  <si>
    <t>Running cost Growth Plan Okt 2026.</t>
  </si>
  <si>
    <t>Biaya tetap Rp20 juta tertutup di 24 sesi per bulan</t>
  </si>
  <si>
    <t>C. Profit per klien / biaya dapat klien, jika klien membeli lebih banyak sesi (harga baru, margin setelah biaya platform)</t>
  </si>
  <si>
    <t>Sesi per klien</t>
  </si>
  <si>
    <t>Referral</t>
  </si>
  <si>
    <t>Instagram Des 2027</t>
  </si>
  <si>
    <t>Instagram Jun 2027</t>
  </si>
  <si>
    <t>Biaya dapat klien (Rp)</t>
  </si>
  <si>
    <t>Aturan Growth Plan untuk iklan: harus menghasilkan 3x biayanya (ROAS 3x). Tabel ini menunjukkan berapa sesi per klien yang dibutuhkan.</t>
  </si>
  <si>
    <t>D. Tuas untuk menutup selisih (diurutkan dari paling mudah dilakukan)</t>
  </si>
  <si>
    <t>Tuas</t>
  </si>
  <si>
    <t>Efek</t>
  </si>
  <si>
    <t>Cara</t>
  </si>
  <si>
    <t>1. Paket 4 sesi (sheet Pricing: paket diskon 10%) menaikkan sesi per klien</t>
  </si>
  <si>
    <t>profit / biaya dapat klien, Instagram Des 2027</t>
  </si>
  <si>
    <t>Tawarkan paket setelah sesi pertama. Mengubah klien sekali datang jadi klien berulang.</t>
  </si>
  <si>
    <t xml:space="preserve">   Sama, untuk klien referral</t>
  </si>
  <si>
    <t>Perbandingan Harga dengan Kompetitor (Amanasa dan Ibunda.id)</t>
  </si>
  <si>
    <t>profit / biaya dapat klien, referral</t>
  </si>
  <si>
    <t>2. Geser porsi sesi ke offline, pasangan, dan terapi (margin per sesi lebih tinggi)</t>
  </si>
  <si>
    <t>Rp tambahan margin per sesi, rata-rata</t>
  </si>
  <si>
    <t>Selisih = harga TJ dibagi harga kompetitor, dikurangi 1. Positif: TJ lebih mahal. Dalam kurung: TJ lebih murah. Harga TJ diambil dari sheet Pricing_Counseling dan Pricing_Assessment.</t>
  </si>
  <si>
    <t>Arahkan klien premium ke ruang Tebet. Isi geser (poin) di Inputs.</t>
  </si>
  <si>
    <t>3. Bagi hasil berdasarkan sumber klien (opsional, perlu persetujuan Kia)</t>
  </si>
  <si>
    <t>Biru: harga kompetitor. Kuning: estimasi. Sumber Amanasa: pricelist story Instagram @amanasa.id (kebanyakan diunggah sekitar 5 minggu sebelum 12 Okt 2026, daftar MHCU sekitar 24 minggu). Sumber Ibunda.id: halaman harga situs ibunda.id (tab Offline).</t>
  </si>
  <si>
    <t>Rp per sesi untuk klien dari iklan</t>
  </si>
  <si>
    <t>Klien yang dicari TJ lewat iklan: TJ menahan beberapa poin tambahan. Klien yang dibawa psikolog sendiri: sesuai ACC.</t>
  </si>
  <si>
    <t>4. Ubah asumsi Growth Plan, bukan harga</t>
  </si>
  <si>
    <t>Temuan utama (dihitung dari tabel di bawah)</t>
  </si>
  <si>
    <t>sesi per bulan dibutuhkan untuk profit Rp13jt</t>
  </si>
  <si>
    <t>Harga pasar tidak akan mendukung Rp1 juta per sesi. Perbarui slide 17, 18, dan 36 dengan harga baru.</t>
  </si>
  <si>
    <t>E. Cek EAP: biaya psikolog per sesi vs anggaran Growth Plan</t>
  </si>
  <si>
    <t>Fee psikolog sesi online (Rp)</t>
  </si>
  <si>
    <t>Anggaran EAP per sesi (Rp)</t>
  </si>
  <si>
    <t>Konseling online: TJ vs Amanasa (rata-rata 4 tier)</t>
  </si>
  <si>
    <t>Konseling offline: TJ vs Amanasa (rata-rata 4 tier)</t>
  </si>
  <si>
    <t>Konseling offline: TJ vs Ibunda (Tier 1 sampai 4)</t>
  </si>
  <si>
    <t>Anggaran EAP di plan = Rp5 juta / 10 sesi = Rp500rb per sesi. Staf Tier 1 sampai 3 muat dalam anggaran. Tier 4 di atas anggaran.</t>
  </si>
  <si>
    <t>Konseling pasangan per 60 mnt: TJ vs Amanasa on-site (rata-rata)</t>
  </si>
  <si>
    <t>Pre-Marriage dan Marriage Check Up: TJ vs Couple Fit Check (rata-rata)</t>
  </si>
  <si>
    <t>Clinical Therapy offline: TJ vs Amanasa Hipnoterapi (rata-rata)</t>
  </si>
  <si>
    <t>A. Konseling individual online (Rp per sesi, 60 menit)</t>
  </si>
  <si>
    <t>Tingkat atau format</t>
  </si>
  <si>
    <t>Harga TJ (Rp)</t>
  </si>
  <si>
    <t>Amanasa (Rp)</t>
  </si>
  <si>
    <t>Ibunda.id (Rp)</t>
  </si>
  <si>
    <t>TJ vs Amanasa</t>
  </si>
  <si>
    <t>TJ vs Ibunda</t>
  </si>
  <si>
    <t>Pembanding dan catatan</t>
  </si>
  <si>
    <t>Konseling individual online, 60 mnt</t>
  </si>
  <si>
    <t>Amanasa: psikolog Associate, Google Meet. Tab Online Ibunda belum dicek.</t>
  </si>
  <si>
    <t>Amanasa: psikolog Associate.</t>
  </si>
  <si>
    <t>Amanasa: Co-Founder, Rp395.000 ditambah Rp200.000.</t>
  </si>
  <si>
    <t>Amanasa: Co-Founder.</t>
  </si>
  <si>
    <t>B. Konseling individual offline (Rp per sesi, 60 menit)</t>
  </si>
  <si>
    <t>Konseling individual offline, 60 mnt</t>
  </si>
  <si>
    <t>Amanasa: Associate, on-site Klinik Eksekutif Jakarta atau Rumah Asa. Ibunda Essential (setara Tier 1 dan Tier 2): pengalaman 2-4 tahun.</t>
  </si>
  <si>
    <t>Ibunda Essential (setara Tier 1 dan Tier 2).</t>
  </si>
  <si>
    <t>Ibunda Profesional: pengalaman 4-10 tahun. Amanasa Co-Founder: Rp690.000 ditambah Rp200.000 (asumsi, tambahan Rp200.000 tercantum di harga online).</t>
  </si>
  <si>
    <t>Ibunda Premium: pengalaman di atas 10 tahun. Amanasa Co-Founder (asumsi yang sama).</t>
  </si>
  <si>
    <t>C. Konseling pasangan (Rp per 60 menit)</t>
  </si>
  <si>
    <t>Konseling pasangan offline, harga TJ per 60 mnt</t>
  </si>
  <si>
    <t>TJ: sesi 90 mnt dibagi 1,5 agar sebanding. Amanasa on-site 60 mnt Rp890.000 (online Rp595.000), psikolog berpengalaman tanpa pembedaan tingkat.</t>
  </si>
  <si>
    <t>D. Pre-Marriage Check Up (Rp per paket)</t>
  </si>
  <si>
    <t>Pre-Marriage Check Up, paket 3 sesi</t>
  </si>
  <si>
    <t>Amanasa Couple Fit Check: konseling awal 60 mnt, asesmen PREPARE/ENRICH dan Personality Check, konseling hasil 120 mnt, follow-up 60 mnt, semuanya online. Associate Rp5.500.000, Founder Rp7.500.000. Paket TJ belum memuat asesmen.</t>
  </si>
  <si>
    <t>Dibandingkan dengan Couple Fit Check Associate.</t>
  </si>
  <si>
    <t>Dibandingkan dengan Couple Fit Check Founder.</t>
  </si>
  <si>
    <t>E. Marriage Check Up (Rp per paket)</t>
  </si>
  <si>
    <t>Marriage Check Up, paket 2 sesi</t>
  </si>
  <si>
    <t>Couple Fit Check Amanasa untuk pasangan yang sudah menikah dan yang mempersiapkan pernikahan (harga sama). Sheet ACC tidak memuat Marriage Check Up, harga TJ adalah estimasi.</t>
  </si>
  <si>
    <t>F. Clinical Therapy offline (Rp per sesi)</t>
  </si>
  <si>
    <t>Clinical Therapy offline (EMDR atau hipnoterapi)</t>
  </si>
  <si>
    <t>Amanasa Hipnoterapi on-site: Rp1.380.000 untuk 2 sesi @60 mnt, jadi Rp690.000 per sesi. Amanasa EMDR on-site 90 mnt: Rp1.200.000 (di tabel referensi). Ibunda menjual Hipnoterapi offline hanya di tingkat Premium.</t>
  </si>
  <si>
    <t>Ibunda Hipnoterapi offline Premium: Rp1.500.000 per sesi, 60 mnt.</t>
  </si>
  <si>
    <t>G. Clinical Therapy online (Rp per sesi)</t>
  </si>
  <si>
    <t>Clinical Therapy online</t>
  </si>
  <si>
    <t>Amanasa Hipnoterapi online: Rp900.000 untuk 2 sesi @60 mnt, jadi Rp450.000 per sesi.</t>
  </si>
  <si>
    <t>H. Tes dan asesmen (Rp per tes)</t>
  </si>
  <si>
    <t>Harga tunggal</t>
  </si>
  <si>
    <t>Tidak ada padanan di pricelist Amanasa yang diterima.</t>
  </si>
  <si>
    <t>Amanasa tidak menjual Tes IQ terpisah. Tes IQ termasuk dalam paket Tes Kesiapan Sekolah.</t>
  </si>
  <si>
    <t>Amanasa Paket Silver (90 mnt: wawancara orang tua, tes dasar, tes IQ, laporan). Gold Rp1.250.000 (120 mnt), Platinum Rp2.000.000 (180 mnt).</t>
  </si>
  <si>
    <t>Tes Minat Bakat (minimal 14 tahun)</t>
  </si>
  <si>
    <t>Tidak ada di pricelist Amanasa. Ibunda menyebut Tes Minat Bakat offline di Instagram, harganya belum diketahui.</t>
  </si>
  <si>
    <t>Tidak ada padanan.</t>
  </si>
  <si>
    <t>Tes Kesehatan Mental Anak</t>
  </si>
  <si>
    <t>Padanan terdekat Amanasa: Konseling Anak Rp1.380.000 (2 sesi, 120 mnt) dan laporan tertulis Rp125.000. Bukan tes yang sama, tidak dihitung.</t>
  </si>
  <si>
    <t>Tes Kesehatan Mental Dewasa</t>
  </si>
  <si>
    <t>Amanasa Mind-State Check-Up Plus (cemas, stres, depresi, coping, 20 mnt). Mind-State Check-Up Rp169.000, Personal Mental Health Check-Up Rp315.000, Burnout Risk Rp219.000. Harga Amanasa termasuk pembacaan hasil 1-on-1 online.</t>
  </si>
  <si>
    <t>I. Layanan Amanasa yang tidak ada di daftar layanan TJ (referensi)</t>
  </si>
  <si>
    <t>Konseling Keluarga</t>
  </si>
  <si>
    <t>1 sesi, 60 mnt, on-site Jakarta Selatan</t>
  </si>
  <si>
    <t>Dua orang atau lebih anggota keluarga dalam satu sesi.</t>
  </si>
  <si>
    <t>3 sesi, 60 mnt, on-site</t>
  </si>
  <si>
    <t>Konseling Anak</t>
  </si>
  <si>
    <t>2 sesi, 120 mnt, offline</t>
  </si>
  <si>
    <t>Tambahan laporan tertulis hasil observasi Rp125.000.</t>
  </si>
  <si>
    <t>Paket: 2 Konseling Individu dan 1 Konseling Pasangan</t>
  </si>
  <si>
    <t>Online</t>
  </si>
  <si>
    <t>On-site</t>
  </si>
  <si>
    <t>Paket: 2 Personal Mental Health Check-Up dan 1 Konseling Pasangan</t>
  </si>
  <si>
    <t>Konseling Individu Online dan Personal Mental Health Check-Up</t>
  </si>
  <si>
    <t>90 mnt (30 mnt hasil, 60 mnt konseling)</t>
  </si>
  <si>
    <t>Harga Associate. Co-Founder ditambah Rp200.000.</t>
  </si>
  <si>
    <t>MHCU: Personal Mental Health Check-Up</t>
  </si>
  <si>
    <t>30 mnt</t>
  </si>
  <si>
    <t>Daftar MHCU berumur sekitar 24 minggu.</t>
  </si>
  <si>
    <t>MHCU: Mind-State Check-Up Plus</t>
  </si>
  <si>
    <t>20 mnt</t>
  </si>
  <si>
    <t>MHCU: Mind-State Check-Up</t>
  </si>
  <si>
    <t>15 mnt</t>
  </si>
  <si>
    <t>MHCU: Burnout Risk Check-Up</t>
  </si>
  <si>
    <t>MHCU: Bundle Personal dan Mind-State Plus</t>
  </si>
  <si>
    <t>Paket</t>
  </si>
  <si>
    <t>Bundle MHCU Personal dan Konseling Individu offline</t>
  </si>
  <si>
    <t>90 mnt</t>
  </si>
  <si>
    <t>Termasuk konseling 60 mnt offline dengan psikolog klinis.</t>
  </si>
  <si>
    <t>Bundle MHCU Mind-State Plus dan Konseling Individu offline</t>
  </si>
  <si>
    <t>80 mnt</t>
  </si>
  <si>
    <t>Bundle MHCU Mind-State dan Konseling Individu offline</t>
  </si>
  <si>
    <t>75 mnt</t>
  </si>
  <si>
    <t>Bundle MHCU Burnout dan Konseling Individu offline</t>
  </si>
  <si>
    <t>Therapeutic Art privat</t>
  </si>
  <si>
    <t>120 mnt dan 1 konseling 60 mnt, per orang</t>
  </si>
  <si>
    <t>On-site Rumah Asa Amanasa.</t>
  </si>
  <si>
    <t>Therapeutic Art grup 2-3 orang</t>
  </si>
  <si>
    <t>Per orang</t>
  </si>
  <si>
    <t>Therapeutic Art grup 4-6 orang</t>
  </si>
  <si>
    <t>Brainspotting online</t>
  </si>
  <si>
    <t>60 mnt</t>
  </si>
  <si>
    <t>Brainspotting on-site</t>
  </si>
  <si>
    <t>EMDR on-site</t>
  </si>
  <si>
    <t>Rumah Asa Amanasa, Kemang.</t>
  </si>
  <si>
    <t>Data yang masih perlu dilengkapi</t>
  </si>
  <si>
    <t>Ibunda.id: tab Online untuk konseling individual (Essential, Profesional, Premium).</t>
  </si>
  <si>
    <t>Ibunda.id: konseling pasangan, tes minat bakat offline, dan tes psikologi (harga belum terlihat).</t>
  </si>
  <si>
    <t>Ibunda.id: harga Hipnoterapi untuk tingkat selain Premium, bila ada.</t>
  </si>
  <si>
    <t>Amanasa: apakah tambahan Rp200.000 untuk Co-Founder juga berlaku di layanan on-site.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</si>
</sst>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;\(0.0%\);\-"/>
    <numFmt numFmtId="165" formatCode="#,##0;\(#,##0\);\-"/>
    <numFmt numFmtId="166" formatCode="0.0"/>
    <numFmt numFmtId="167" formatCode="0.00\x"/>
    <numFmt numFmtId="168" formatCode="#,##0;(#,##0);&quot;-&quot;"/>
    <numFmt numFmtId="169" formatCode="0.0\x"/>
    <numFmt numFmtId="170" formatCode="0&quot; sesi&quot;"/>
    <numFmt numFmtId="171" formatCode="0.0&quot; sesi&quot;"/>
    <numFmt numFmtId="172" formatCode="0.0%;(0.0%);&quot;-&quot;"/>
  </numFmts>
  <fonts count="14">
    <font>
      <sz val="11.0"/>
      <color theme="1"/>
      <name val="Calibri"/>
      <scheme val="minor"/>
    </font>
    <font>
      <b/>
      <sz val="14.0"/>
      <color rgb="FF000000"/>
      <name val="Arial"/>
    </font>
    <font>
      <i/>
      <sz val="10.0"/>
      <color rgb="FF000000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1.0"/>
      <color theme="1"/>
      <name val="Calibri"/>
    </font>
    <font>
      <sz val="10.0"/>
      <color rgb="FF000000"/>
      <name val="Arial"/>
    </font>
    <font>
      <sz val="10.0"/>
      <color rgb="FF0000FF"/>
      <name val="Arial"/>
    </font>
    <font>
      <sz val="10.0"/>
      <color rgb="FF008000"/>
      <name val="Arial"/>
    </font>
    <font>
      <b/>
      <sz val="10.0"/>
      <color rgb="FF008000"/>
      <name val="Arial"/>
    </font>
    <font>
      <b/>
      <sz val="14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b/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B3809"/>
        <bgColor rgb="FF9B3809"/>
      </patternFill>
    </fill>
    <fill>
      <patternFill patternType="solid">
        <fgColor rgb="FFE8D4AC"/>
        <bgColor rgb="FFE8D4AC"/>
      </patternFill>
    </fill>
    <fill>
      <patternFill patternType="solid">
        <fgColor rgb="FFFFFF00"/>
        <bgColor rgb="FFFFFF00"/>
      </patternFill>
    </fill>
    <fill>
      <patternFill patternType="solid">
        <fgColor rgb="FF9B3808"/>
        <bgColor rgb="FF9B3808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E7D4AB"/>
        <bgColor rgb="FFE7D4AB"/>
      </patternFill>
    </fill>
    <fill>
      <patternFill patternType="solid">
        <fgColor rgb="FF9A3709"/>
        <bgColor rgb="FF9A3709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2" fillId="2" fontId="3" numFmtId="0" xfId="0" applyAlignment="1" applyBorder="1" applyFill="1" applyFont="1">
      <alignment horizontal="center" shrinkToFit="0" vertical="top" wrapText="1"/>
    </xf>
    <xf borderId="1" fillId="3" fontId="4" numFmtId="0" xfId="0" applyAlignment="1" applyBorder="1" applyFill="1" applyFont="1">
      <alignment shrinkToFit="0" vertical="center" wrapText="0"/>
    </xf>
    <xf borderId="1" fillId="3" fontId="5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top" wrapText="1"/>
    </xf>
    <xf borderId="2" fillId="0" fontId="7" numFmtId="164" xfId="0" applyAlignment="1" applyBorder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2" fillId="0" fontId="7" numFmtId="165" xfId="0" applyAlignment="1" applyBorder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2" fillId="4" fontId="7" numFmtId="165" xfId="0" applyAlignment="1" applyBorder="1" applyFill="1" applyFont="1" applyNumberFormat="1">
      <alignment shrinkToFit="0" vertical="center" wrapText="0"/>
    </xf>
    <xf borderId="2" fillId="5" fontId="3" numFmtId="0" xfId="0" applyAlignment="1" applyBorder="1" applyFill="1" applyFont="1">
      <alignment horizontal="center" readingOrder="0" shrinkToFit="0" wrapText="1"/>
    </xf>
    <xf borderId="2" fillId="0" fontId="7" numFmtId="2" xfId="0" applyAlignment="1" applyBorder="1" applyFont="1" applyNumberFormat="1">
      <alignment shrinkToFit="0" vertical="center" wrapText="0"/>
    </xf>
    <xf borderId="2" fillId="0" fontId="7" numFmtId="1" xfId="0" applyAlignment="1" applyBorder="1" applyFont="1" applyNumberFormat="1">
      <alignment shrinkToFit="0" vertical="center" wrapText="0"/>
    </xf>
    <xf borderId="2" fillId="6" fontId="7" numFmtId="165" xfId="0" applyAlignment="1" applyBorder="1" applyFill="1" applyFont="1" applyNumberFormat="1">
      <alignment shrinkToFit="0" vertical="center" wrapText="0"/>
    </xf>
    <xf borderId="2" fillId="7" fontId="8" numFmtId="165" xfId="0" applyAlignment="1" applyBorder="1" applyFill="1" applyFont="1" applyNumberFormat="1">
      <alignment shrinkToFit="0" vertical="center" wrapText="0"/>
    </xf>
    <xf borderId="2" fillId="4" fontId="7" numFmtId="164" xfId="0" applyAlignment="1" applyBorder="1" applyFill="1" applyFont="1" applyNumberFormat="1">
      <alignment shrinkToFit="0" vertical="center" wrapText="0"/>
    </xf>
    <xf borderId="2" fillId="0" fontId="7" numFmtId="165" xfId="0" applyAlignment="1" applyBorder="1" applyFont="1" applyNumberFormat="1">
      <alignment readingOrder="0" shrinkToFit="0" vertical="center" wrapText="0"/>
    </xf>
    <xf borderId="2" fillId="4" fontId="7" numFmtId="166" xfId="0" applyAlignment="1" applyBorder="1" applyFill="1" applyFont="1" applyNumberFormat="1">
      <alignment shrinkToFit="0" vertical="center" wrapText="0"/>
    </xf>
    <xf borderId="2" fillId="6" fontId="4" numFmtId="165" xfId="0" applyAlignment="1" applyBorder="1" applyFill="1" applyFont="1" applyNumberFormat="1">
      <alignment shrinkToFit="0" vertical="center" wrapText="0"/>
    </xf>
    <xf borderId="2" fillId="0" fontId="8" numFmtId="165" xfId="0" applyAlignment="1" applyBorder="1" applyFont="1" applyNumberFormat="1">
      <alignment shrinkToFit="0" vertical="center" wrapText="0"/>
    </xf>
    <xf borderId="2" fillId="6" fontId="8" numFmtId="164" xfId="0" applyAlignment="1" applyBorder="1" applyFill="1" applyFont="1" applyNumberFormat="1">
      <alignment shrinkToFit="0" vertical="center" wrapText="0"/>
    </xf>
    <xf borderId="2" fillId="0" fontId="6" numFmtId="165" xfId="0" applyAlignment="1" applyBorder="1" applyFont="1" applyNumberFormat="1">
      <alignment shrinkToFit="0" vertical="center" wrapText="0"/>
    </xf>
    <xf borderId="2" fillId="0" fontId="4" numFmtId="165" xfId="0" applyAlignment="1" applyBorder="1" applyFont="1" applyNumberFormat="1">
      <alignment shrinkToFit="0" vertical="center" wrapText="0"/>
    </xf>
    <xf borderId="2" fillId="0" fontId="8" numFmtId="164" xfId="0" applyAlignment="1" applyBorder="1" applyFont="1" applyNumberFormat="1">
      <alignment shrinkToFit="0" vertical="center" wrapText="0"/>
    </xf>
    <xf borderId="2" fillId="0" fontId="6" numFmtId="164" xfId="0" applyAlignment="1" applyBorder="1" applyFont="1" applyNumberFormat="1">
      <alignment shrinkToFit="0" vertical="center" wrapText="0"/>
    </xf>
    <xf borderId="2" fillId="0" fontId="6" numFmtId="167" xfId="0" applyAlignment="1" applyBorder="1" applyFont="1" applyNumberFormat="1">
      <alignment shrinkToFit="0" vertical="center" wrapText="0"/>
    </xf>
    <xf borderId="0" fillId="0" fontId="6" numFmtId="0" xfId="0" applyAlignment="1" applyFont="1">
      <alignment readingOrder="0" shrinkToFit="0" vertical="top" wrapText="1"/>
    </xf>
    <xf borderId="2" fillId="6" fontId="8" numFmtId="165" xfId="0" applyAlignment="1" applyBorder="1" applyFill="1" applyFont="1" applyNumberFormat="1">
      <alignment shrinkToFit="0" vertical="center" wrapText="0"/>
    </xf>
    <xf borderId="2" fillId="0" fontId="7" numFmtId="168" xfId="0" applyAlignment="1" applyBorder="1" applyFont="1" applyNumberFormat="1">
      <alignment readingOrder="0"/>
    </xf>
    <xf borderId="2" fillId="0" fontId="7" numFmtId="168" xfId="0" applyBorder="1" applyFont="1" applyNumberFormat="1"/>
    <xf borderId="2" fillId="0" fontId="9" numFmtId="165" xfId="0" applyAlignment="1" applyBorder="1" applyFont="1" applyNumberFormat="1">
      <alignment shrinkToFit="0" vertical="center" wrapText="0"/>
    </xf>
    <xf borderId="2" fillId="6" fontId="7" numFmtId="165" xfId="0" applyAlignment="1" applyBorder="1" applyFill="1" applyFont="1" applyNumberFormat="1">
      <alignment readingOrder="0" shrinkToFit="0" vertical="center" wrapText="0"/>
    </xf>
    <xf borderId="2" fillId="0" fontId="8" numFmtId="169" xfId="0" applyAlignment="1" applyBorder="1" applyFont="1" applyNumberFormat="1">
      <alignment shrinkToFit="0" vertical="center" wrapText="0"/>
    </xf>
    <xf borderId="2" fillId="0" fontId="9" numFmtId="169" xfId="0" applyAlignment="1" applyBorder="1" applyFont="1" applyNumberFormat="1">
      <alignment shrinkToFit="0" vertical="center" wrapText="0"/>
    </xf>
    <xf borderId="2" fillId="0" fontId="8" numFmtId="166" xfId="0" applyAlignment="1" applyBorder="1" applyFont="1" applyNumberFormat="1">
      <alignment shrinkToFit="0" vertical="center" wrapText="0"/>
    </xf>
    <xf borderId="2" fillId="0" fontId="9" numFmtId="166" xfId="0" applyAlignment="1" applyBorder="1" applyFont="1" applyNumberFormat="1">
      <alignment shrinkToFit="0" vertical="center" wrapText="0"/>
    </xf>
    <xf borderId="0" fillId="0" fontId="6" numFmtId="165" xfId="0" applyAlignment="1" applyFont="1" applyNumberFormat="1">
      <alignment shrinkToFit="0" vertical="center" wrapText="0"/>
    </xf>
    <xf borderId="2" fillId="4" fontId="6" numFmtId="165" xfId="0" applyAlignment="1" applyBorder="1" applyFill="1" applyFont="1" applyNumberForma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6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top" wrapText="1"/>
    </xf>
    <xf borderId="2" fillId="0" fontId="4" numFmtId="164" xfId="0" applyAlignment="1" applyBorder="1" applyFont="1" applyNumberFormat="1">
      <alignment shrinkToFit="0" vertical="center" wrapText="0"/>
    </xf>
    <xf borderId="2" fillId="4" fontId="6" numFmtId="0" xfId="0" applyAlignment="1" applyBorder="1" applyFill="1" applyFont="1">
      <alignment shrinkToFit="0" vertical="center" wrapText="0"/>
    </xf>
    <xf borderId="0" fillId="0" fontId="8" numFmtId="164" xfId="0" applyAlignment="1" applyFont="1" applyNumberFormat="1">
      <alignment shrinkToFit="0" vertical="top" wrapText="1"/>
    </xf>
    <xf borderId="2" fillId="0" fontId="6" numFmtId="169" xfId="0" applyAlignment="1" applyBorder="1" applyFont="1" applyNumberFormat="1">
      <alignment shrinkToFit="0" vertical="center" wrapText="0"/>
    </xf>
    <xf borderId="0" fillId="0" fontId="8" numFmtId="165" xfId="0" applyAlignment="1" applyFont="1" applyNumberFormat="1">
      <alignment shrinkToFit="0" vertical="top" wrapText="1"/>
    </xf>
    <xf borderId="2" fillId="0" fontId="4" numFmtId="169" xfId="0" applyAlignment="1" applyBorder="1" applyFont="1" applyNumberFormat="1">
      <alignment shrinkToFit="0" vertical="center" wrapText="0"/>
    </xf>
    <xf borderId="2" fillId="0" fontId="7" numFmtId="170" xfId="0" applyAlignment="1" applyBorder="1" applyFont="1" applyNumberFormat="1">
      <alignment horizontal="left" shrinkToFit="0" vertical="center" wrapText="0"/>
    </xf>
    <xf borderId="2" fillId="0" fontId="6" numFmtId="166" xfId="0" applyAlignment="1" applyBorder="1" applyFont="1" applyNumberFormat="1">
      <alignment shrinkToFit="0" vertical="center" wrapText="0"/>
    </xf>
    <xf borderId="2" fillId="0" fontId="4" numFmtId="166" xfId="0" applyAlignment="1" applyBorder="1" applyFont="1" applyNumberFormat="1">
      <alignment shrinkToFit="0" vertical="center" wrapText="0"/>
    </xf>
    <xf borderId="0" fillId="0" fontId="8" numFmtId="165" xfId="0" applyAlignment="1" applyFont="1" applyNumberFormat="1">
      <alignment shrinkToFit="0" vertical="center" wrapText="0"/>
    </xf>
    <xf borderId="2" fillId="0" fontId="7" numFmtId="171" xfId="0" applyAlignment="1" applyBorder="1" applyFont="1" applyNumberFormat="1">
      <alignment horizontal="left" shrinkToFit="0" vertical="center" wrapText="0"/>
    </xf>
    <xf borderId="0" fillId="0" fontId="6" numFmtId="169" xfId="0" applyAlignment="1" applyFont="1" applyNumberFormat="1">
      <alignment shrinkToFit="0" vertical="center" wrapText="0"/>
    </xf>
    <xf borderId="0" fillId="0" fontId="10" numFmtId="0" xfId="0" applyAlignment="1" applyFont="1">
      <alignment readingOrder="0" vertical="top"/>
    </xf>
    <xf borderId="0" fillId="0" fontId="11" numFmtId="0" xfId="0" applyAlignment="1" applyFont="1">
      <alignment vertical="top"/>
    </xf>
    <xf borderId="0" fillId="0" fontId="12" numFmtId="0" xfId="0" applyAlignment="1" applyFont="1">
      <alignment readingOrder="0" vertical="top"/>
    </xf>
    <xf borderId="0" fillId="0" fontId="6" numFmtId="166" xfId="0" applyAlignment="1" applyFont="1" applyNumberFormat="1">
      <alignment shrinkToFit="0" vertical="center" wrapText="0"/>
    </xf>
    <xf borderId="0" fillId="8" fontId="4" numFmtId="0" xfId="0" applyAlignment="1" applyFill="1" applyFont="1">
      <alignment horizontal="left" readingOrder="0" vertical="top"/>
    </xf>
    <xf borderId="0" fillId="8" fontId="4" numFmtId="0" xfId="0" applyAlignment="1" applyFill="1" applyFont="1">
      <alignment horizontal="left" vertical="top"/>
    </xf>
    <xf borderId="2" fillId="0" fontId="11" numFmtId="0" xfId="0" applyAlignment="1" applyBorder="1" applyFont="1">
      <alignment readingOrder="0" vertical="top"/>
    </xf>
    <xf borderId="2" fillId="0" fontId="11" numFmtId="0" xfId="0" applyAlignment="1" applyBorder="1" applyFont="1">
      <alignment vertical="top"/>
    </xf>
    <xf borderId="2" fillId="0" fontId="6" numFmtId="0" xfId="0" applyAlignment="1" applyBorder="1" applyFont="1">
      <alignment shrinkToFit="0" vertical="center" wrapText="0"/>
    </xf>
    <xf borderId="2" fillId="0" fontId="13" numFmtId="172" xfId="0" applyAlignment="1" applyBorder="1" applyFont="1" applyNumberFormat="1">
      <alignment horizontal="right" vertical="top"/>
    </xf>
    <xf borderId="0" fillId="9" fontId="3" numFmtId="0" xfId="0" applyAlignment="1" applyFill="1" applyFont="1">
      <alignment horizontal="center" readingOrder="0" shrinkToFit="0" vertical="top" wrapText="1"/>
    </xf>
    <xf borderId="2" fillId="0" fontId="8" numFmtId="168" xfId="0" applyAlignment="1" applyBorder="1" applyFont="1" applyNumberFormat="1">
      <alignment horizontal="right" vertical="top"/>
    </xf>
    <xf borderId="2" fillId="0" fontId="7" numFmtId="168" xfId="0" applyAlignment="1" applyBorder="1" applyFont="1" applyNumberFormat="1">
      <alignment horizontal="right" readingOrder="0" vertical="top"/>
    </xf>
    <xf borderId="2" fillId="0" fontId="11" numFmtId="172" xfId="0" applyAlignment="1" applyBorder="1" applyFont="1" applyNumberFormat="1">
      <alignment horizontal="right" vertical="top"/>
    </xf>
    <xf borderId="2" fillId="0" fontId="11" numFmtId="0" xfId="0" applyAlignment="1" applyBorder="1" applyFont="1">
      <alignment readingOrder="0" shrinkToFit="0" vertical="top" wrapText="1"/>
    </xf>
    <xf borderId="2" fillId="8" fontId="4" numFmtId="0" xfId="0" applyAlignment="1" applyBorder="1" applyFill="1" applyFont="1">
      <alignment horizontal="left" readingOrder="0" vertical="top"/>
    </xf>
    <xf borderId="2" fillId="8" fontId="4" numFmtId="0" xfId="0" applyAlignment="1" applyBorder="1" applyFill="1" applyFont="1">
      <alignment horizontal="left" vertical="top"/>
    </xf>
    <xf borderId="2" fillId="8" fontId="4" numFmtId="168" xfId="0" applyAlignment="1" applyBorder="1" applyFill="1" applyFont="1" applyNumberFormat="1">
      <alignment horizontal="left" vertical="top"/>
    </xf>
    <xf borderId="2" fillId="8" fontId="4" numFmtId="172" xfId="0" applyAlignment="1" applyBorder="1" applyFill="1" applyFont="1" applyNumberFormat="1">
      <alignment horizontal="left" vertical="top"/>
    </xf>
    <xf borderId="2" fillId="8" fontId="4" numFmtId="0" xfId="0" applyAlignment="1" applyBorder="1" applyFill="1" applyFont="1">
      <alignment horizontal="left" shrinkToFit="0" vertical="top" wrapText="1"/>
    </xf>
    <xf borderId="2" fillId="9" fontId="3" numFmtId="0" xfId="0" applyAlignment="1" applyBorder="1" applyFill="1" applyFont="1">
      <alignment horizontal="center" readingOrder="0" shrinkToFit="0" vertical="top" wrapText="1"/>
    </xf>
    <xf borderId="2" fillId="9" fontId="3" numFmtId="168" xfId="0" applyAlignment="1" applyBorder="1" applyFill="1" applyFont="1" applyNumberFormat="1">
      <alignment horizontal="center" readingOrder="0" shrinkToFit="0" vertical="top" wrapText="1"/>
    </xf>
    <xf borderId="2" fillId="9" fontId="3" numFmtId="172" xfId="0" applyAlignment="1" applyBorder="1" applyFill="1" applyFont="1" applyNumberFormat="1">
      <alignment horizontal="center" readingOrder="0" shrinkToFit="0" vertical="top" wrapText="1"/>
    </xf>
    <xf borderId="2" fillId="4" fontId="7" numFmtId="168" xfId="0" applyAlignment="1" applyBorder="1" applyFill="1" applyFont="1" applyNumberFormat="1">
      <alignment horizontal="right" readingOrder="0" vertical="top"/>
    </xf>
    <xf borderId="2" fillId="0" fontId="11" numFmtId="0" xfId="0" applyAlignment="1" applyBorder="1" applyFont="1">
      <alignment shrinkToFit="0" vertical="top" wrapText="1"/>
    </xf>
    <xf borderId="2" fillId="4" fontId="8" numFmtId="168" xfId="0" applyAlignment="1" applyBorder="1" applyFill="1" applyFont="1" applyNumberFormat="1">
      <alignment horizontal="right" vertical="top"/>
    </xf>
    <xf borderId="0" fillId="9" fontId="3" numFmtId="0" xfId="0" applyAlignment="1" applyFill="1" applyFont="1">
      <alignment horizontal="center" shrinkToFit="0" vertical="top" wrapText="1"/>
    </xf>
    <xf borderId="0" fillId="0" fontId="11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2.0"/>
    <col customWidth="1" min="2" max="2" width="22.0"/>
    <col customWidth="1" min="3" max="3" width="24.0"/>
    <col customWidth="1" min="4" max="4" width="26.0"/>
    <col customWidth="1" min="5" max="5" width="24.0"/>
    <col customWidth="1" min="6" max="26" width="8.71"/>
  </cols>
  <sheetData>
    <row r="1">
      <c r="A1" s="1" t="s">
        <v>1</v>
      </c>
    </row>
    <row r="2">
      <c r="A2" s="2" t="s">
        <v>3</v>
      </c>
    </row>
    <row r="4">
      <c r="A4" s="4" t="s">
        <v>5</v>
      </c>
      <c r="B4" s="5"/>
      <c r="C4" s="5"/>
      <c r="D4" s="5"/>
      <c r="E4" s="5"/>
      <c r="F4" s="5"/>
    </row>
    <row r="5">
      <c r="A5" s="9" t="s">
        <v>12</v>
      </c>
    </row>
    <row r="6">
      <c r="A6" s="9" t="s">
        <v>17</v>
      </c>
    </row>
    <row r="7">
      <c r="A7" s="8" t="s">
        <v>22</v>
      </c>
    </row>
    <row r="8">
      <c r="A8" s="8" t="s">
        <v>25</v>
      </c>
    </row>
    <row r="10">
      <c r="A10" s="3" t="s">
        <v>30</v>
      </c>
      <c r="B10" s="3" t="s">
        <v>31</v>
      </c>
      <c r="C10" s="3" t="s">
        <v>33</v>
      </c>
      <c r="D10" s="3" t="s">
        <v>35</v>
      </c>
      <c r="E10" s="3" t="s">
        <v>37</v>
      </c>
    </row>
    <row r="11">
      <c r="A11" s="12" t="s">
        <v>39</v>
      </c>
      <c r="B11" s="18">
        <f>Pricing_Counseling!E5</f>
        <v>500000</v>
      </c>
      <c r="C11" s="18">
        <f>Pricing_Counseling!E6</f>
        <v>500000</v>
      </c>
      <c r="D11" s="18">
        <f>Pricing_Counseling!E7</f>
        <v>725000</v>
      </c>
      <c r="E11" s="18">
        <f>Pricing_Counseling!E8</f>
        <v>850000</v>
      </c>
    </row>
    <row r="12">
      <c r="A12" s="8" t="s">
        <v>120</v>
      </c>
      <c r="B12" s="23">
        <f>Pricing_Counseling!G5</f>
        <v>300000</v>
      </c>
      <c r="C12" s="23">
        <f>Pricing_Counseling!G6</f>
        <v>325000</v>
      </c>
      <c r="D12" s="23">
        <f>Pricing_Counseling!G7</f>
        <v>471250</v>
      </c>
      <c r="E12" s="23">
        <f>Pricing_Counseling!G8</f>
        <v>595000</v>
      </c>
    </row>
    <row r="13">
      <c r="A13" s="8" t="s">
        <v>121</v>
      </c>
      <c r="B13" s="23">
        <f>Pricing_Counseling!H5</f>
        <v>200000</v>
      </c>
      <c r="C13" s="23">
        <f>Pricing_Counseling!H6</f>
        <v>175000</v>
      </c>
      <c r="D13" s="23">
        <f>Pricing_Counseling!H7</f>
        <v>253750</v>
      </c>
      <c r="E13" s="23">
        <f>Pricing_Counseling!H8</f>
        <v>255000</v>
      </c>
    </row>
    <row r="14">
      <c r="A14" s="12" t="s">
        <v>122</v>
      </c>
      <c r="B14" s="31">
        <f>Pricing_Counseling!E9</f>
        <v>580000</v>
      </c>
      <c r="C14" s="31">
        <f>Pricing_Counseling!E10</f>
        <v>580000</v>
      </c>
      <c r="D14" s="31">
        <f>Pricing_Counseling!E11</f>
        <v>800000</v>
      </c>
      <c r="E14" s="31">
        <f>Pricing_Counseling!E12</f>
        <v>925000</v>
      </c>
    </row>
    <row r="15">
      <c r="A15" s="8" t="s">
        <v>126</v>
      </c>
      <c r="B15" s="23">
        <f>Pricing_Counseling!H9</f>
        <v>232000</v>
      </c>
      <c r="C15" s="23">
        <f>Pricing_Counseling!H10</f>
        <v>203000</v>
      </c>
      <c r="D15" s="23">
        <f>Pricing_Counseling!H11</f>
        <v>280000</v>
      </c>
      <c r="E15" s="23">
        <f>Pricing_Counseling!H12</f>
        <v>277500</v>
      </c>
    </row>
    <row r="17">
      <c r="A17" s="3" t="s">
        <v>128</v>
      </c>
      <c r="B17" s="3" t="s">
        <v>129</v>
      </c>
      <c r="C17" s="3" t="s">
        <v>130</v>
      </c>
      <c r="D17" s="3" t="s">
        <v>131</v>
      </c>
    </row>
    <row r="18">
      <c r="A18" s="8" t="s">
        <v>133</v>
      </c>
      <c r="B18" s="23">
        <f>Alignment!B16</f>
        <v>1000000</v>
      </c>
      <c r="C18" s="34">
        <f>Alignment!C16</f>
        <v>614725</v>
      </c>
      <c r="D18" s="27">
        <f>Alignment!D16</f>
        <v>-0.385275</v>
      </c>
    </row>
    <row r="19">
      <c r="A19" s="8" t="s">
        <v>136</v>
      </c>
      <c r="B19" s="23">
        <f>Alignment!B18</f>
        <v>600000</v>
      </c>
      <c r="C19" s="34">
        <f>Alignment!C18</f>
        <v>218651.25</v>
      </c>
      <c r="D19" s="27">
        <f>Alignment!D18</f>
        <v>-0.63558125</v>
      </c>
    </row>
    <row r="20">
      <c r="A20" s="8" t="s">
        <v>140</v>
      </c>
      <c r="B20" s="36">
        <f>Alignment!B22</f>
        <v>4.2</v>
      </c>
      <c r="C20" s="37">
        <f>Alignment!C22</f>
        <v>1.53055875</v>
      </c>
      <c r="D20" s="36">
        <f>Alignment!D22</f>
        <v>-2.66944125</v>
      </c>
    </row>
    <row r="21" ht="15.75" customHeight="1">
      <c r="A21" s="8" t="s">
        <v>144</v>
      </c>
      <c r="B21" s="36">
        <f>Alignment!B23</f>
        <v>1.875</v>
      </c>
      <c r="C21" s="37">
        <f>Alignment!C23</f>
        <v>0.6832851563</v>
      </c>
      <c r="D21" s="36">
        <f>Alignment!D23</f>
        <v>-1.191714844</v>
      </c>
    </row>
    <row r="22" ht="15.75" customHeight="1">
      <c r="A22" s="8" t="s">
        <v>148</v>
      </c>
      <c r="B22" s="38">
        <f>Alignment!B26</f>
        <v>21.66666667</v>
      </c>
      <c r="C22" s="39">
        <f>Alignment!C26</f>
        <v>59.4554113</v>
      </c>
      <c r="D22" s="27">
        <f>Alignment!D26</f>
        <v>1.744095906</v>
      </c>
    </row>
    <row r="23" ht="15.75" customHeight="1">
      <c r="A23" s="8" t="s">
        <v>155</v>
      </c>
      <c r="B23" s="38">
        <f>Alignment!B28</f>
        <v>33.33333333</v>
      </c>
      <c r="C23" s="39">
        <f>Alignment!C28</f>
        <v>91.46986354</v>
      </c>
      <c r="D23" s="27">
        <f>Alignment!D28</f>
        <v>1.744095906</v>
      </c>
    </row>
    <row r="24" ht="15.75" customHeight="1"/>
    <row r="25" ht="15.75" customHeight="1">
      <c r="A25" s="2" t="s">
        <v>158</v>
      </c>
      <c r="B25" s="12" t="str">
        <f>IF(AND(ABS(Pricing_Counseling!E34)&lt;1,ABS(SUM(Inputs!$B$35:$B$38)-1)&lt;0.0001),"OK","PERIKSA")</f>
        <v>OK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8.0"/>
    <col customWidth="1" min="2" max="2" width="16.0"/>
    <col customWidth="1" min="3" max="3" width="12.0"/>
    <col customWidth="1" min="4" max="4" width="20.0"/>
    <col customWidth="1" min="5" max="5" width="70.0"/>
    <col customWidth="1" min="6" max="26" width="8.71"/>
  </cols>
  <sheetData>
    <row r="1">
      <c r="A1" s="1" t="s">
        <v>0</v>
      </c>
    </row>
    <row r="2">
      <c r="A2" s="2" t="s">
        <v>2</v>
      </c>
    </row>
    <row r="4">
      <c r="A4" s="3" t="s">
        <v>4</v>
      </c>
      <c r="B4" s="3" t="s">
        <v>6</v>
      </c>
      <c r="C4" s="3" t="s">
        <v>7</v>
      </c>
      <c r="D4" s="3" t="s">
        <v>8</v>
      </c>
      <c r="E4" s="3" t="s">
        <v>9</v>
      </c>
    </row>
    <row r="5">
      <c r="A5" s="4" t="s">
        <v>10</v>
      </c>
      <c r="B5" s="5"/>
      <c r="C5" s="5"/>
      <c r="D5" s="5"/>
      <c r="E5" s="5"/>
    </row>
    <row r="6">
      <c r="A6" s="6" t="s">
        <v>11</v>
      </c>
      <c r="B6" s="7">
        <v>0.05</v>
      </c>
      <c r="C6" s="8" t="s">
        <v>13</v>
      </c>
      <c r="D6" s="8" t="s">
        <v>14</v>
      </c>
      <c r="E6" s="6" t="s">
        <v>15</v>
      </c>
    </row>
    <row r="7">
      <c r="A7" s="6" t="s">
        <v>16</v>
      </c>
      <c r="B7" s="10">
        <v>25000.0</v>
      </c>
      <c r="C7" s="8" t="s">
        <v>19</v>
      </c>
      <c r="D7" s="8" t="s">
        <v>14</v>
      </c>
      <c r="E7" s="6" t="s">
        <v>20</v>
      </c>
    </row>
    <row r="8">
      <c r="A8" s="6" t="s">
        <v>23</v>
      </c>
      <c r="B8" s="10">
        <v>100000.0</v>
      </c>
      <c r="C8" s="8" t="s">
        <v>19</v>
      </c>
      <c r="D8" s="8" t="s">
        <v>14</v>
      </c>
      <c r="E8" s="6" t="s">
        <v>24</v>
      </c>
    </row>
    <row r="9">
      <c r="A9" s="6" t="s">
        <v>26</v>
      </c>
      <c r="B9" s="7">
        <v>0.1</v>
      </c>
      <c r="C9" s="8" t="s">
        <v>13</v>
      </c>
      <c r="D9" s="8" t="s">
        <v>27</v>
      </c>
      <c r="E9" s="6" t="s">
        <v>28</v>
      </c>
    </row>
    <row r="10">
      <c r="A10" s="4" t="s">
        <v>29</v>
      </c>
      <c r="B10" s="5"/>
      <c r="C10" s="5"/>
      <c r="D10" s="5"/>
      <c r="E10" s="5"/>
    </row>
    <row r="11">
      <c r="A11" s="6" t="s">
        <v>32</v>
      </c>
      <c r="B11" s="7">
        <v>0.6</v>
      </c>
      <c r="C11" s="8" t="s">
        <v>13</v>
      </c>
      <c r="D11" s="8" t="s">
        <v>27</v>
      </c>
      <c r="E11" s="6" t="s">
        <v>34</v>
      </c>
    </row>
    <row r="12">
      <c r="A12" s="6" t="s">
        <v>36</v>
      </c>
      <c r="B12" s="7">
        <v>0.65</v>
      </c>
      <c r="C12" s="8" t="s">
        <v>13</v>
      </c>
      <c r="D12" s="8" t="s">
        <v>27</v>
      </c>
      <c r="E12" s="6" t="s">
        <v>34</v>
      </c>
    </row>
    <row r="13">
      <c r="A13" s="6" t="s">
        <v>38</v>
      </c>
      <c r="B13" s="7">
        <v>0.65</v>
      </c>
      <c r="C13" s="8" t="s">
        <v>13</v>
      </c>
      <c r="D13" s="8" t="s">
        <v>27</v>
      </c>
      <c r="E13" s="6" t="s">
        <v>34</v>
      </c>
    </row>
    <row r="14">
      <c r="A14" s="6" t="s">
        <v>40</v>
      </c>
      <c r="B14" s="7">
        <v>0.7</v>
      </c>
      <c r="C14" s="8" t="s">
        <v>13</v>
      </c>
      <c r="D14" s="8" t="s">
        <v>27</v>
      </c>
      <c r="E14" s="6" t="s">
        <v>34</v>
      </c>
    </row>
    <row r="15">
      <c r="A15" s="6" t="s">
        <v>42</v>
      </c>
      <c r="B15" s="7">
        <v>0.5</v>
      </c>
      <c r="C15" s="8" t="s">
        <v>13</v>
      </c>
      <c r="D15" s="8" t="s">
        <v>27</v>
      </c>
      <c r="E15" s="6" t="s">
        <v>43</v>
      </c>
    </row>
    <row r="16">
      <c r="A16" s="4" t="s">
        <v>45</v>
      </c>
      <c r="B16" s="5"/>
      <c r="C16" s="5"/>
      <c r="D16" s="5"/>
      <c r="E16" s="5"/>
    </row>
    <row r="17">
      <c r="A17" s="6" t="s">
        <v>47</v>
      </c>
      <c r="B17" s="10">
        <v>2.0E7</v>
      </c>
      <c r="C17" s="8" t="s">
        <v>48</v>
      </c>
      <c r="D17" s="8" t="s">
        <v>27</v>
      </c>
      <c r="E17" s="6" t="s">
        <v>50</v>
      </c>
    </row>
    <row r="18">
      <c r="A18" s="6" t="s">
        <v>51</v>
      </c>
      <c r="B18" s="10">
        <v>3.2E7</v>
      </c>
      <c r="C18" s="8" t="s">
        <v>48</v>
      </c>
      <c r="D18" s="8" t="s">
        <v>27</v>
      </c>
      <c r="E18" s="6" t="s">
        <v>53</v>
      </c>
    </row>
    <row r="19">
      <c r="A19" s="4" t="s">
        <v>54</v>
      </c>
      <c r="B19" s="5"/>
      <c r="C19" s="5"/>
      <c r="D19" s="5"/>
      <c r="E19" s="5"/>
    </row>
    <row r="20">
      <c r="A20" s="6" t="s">
        <v>57</v>
      </c>
      <c r="B20" s="13">
        <v>50000.0</v>
      </c>
      <c r="C20" s="8" t="s">
        <v>62</v>
      </c>
      <c r="D20" s="8" t="s">
        <v>63</v>
      </c>
      <c r="E20" s="6" t="s">
        <v>65</v>
      </c>
    </row>
    <row r="21" ht="15.75" customHeight="1">
      <c r="A21" s="4" t="s">
        <v>66</v>
      </c>
      <c r="B21" s="5"/>
      <c r="C21" s="5"/>
      <c r="D21" s="5"/>
      <c r="E21" s="5"/>
    </row>
    <row r="22" ht="15.75" customHeight="1">
      <c r="A22" s="6" t="s">
        <v>68</v>
      </c>
      <c r="B22" s="10">
        <v>1000000.0</v>
      </c>
      <c r="C22" s="8" t="s">
        <v>62</v>
      </c>
      <c r="D22" s="8" t="s">
        <v>27</v>
      </c>
      <c r="E22" s="6" t="s">
        <v>71</v>
      </c>
    </row>
    <row r="23" ht="15.75" customHeight="1">
      <c r="A23" s="6" t="s">
        <v>72</v>
      </c>
      <c r="B23" s="7">
        <v>0.4</v>
      </c>
      <c r="C23" s="8" t="s">
        <v>13</v>
      </c>
      <c r="D23" s="8" t="s">
        <v>27</v>
      </c>
      <c r="E23" s="6" t="s">
        <v>73</v>
      </c>
    </row>
    <row r="24" ht="15.75" customHeight="1">
      <c r="A24" s="6" t="s">
        <v>74</v>
      </c>
      <c r="B24" s="10">
        <v>200000.0</v>
      </c>
      <c r="C24" s="8" t="s">
        <v>75</v>
      </c>
      <c r="D24" s="8" t="s">
        <v>27</v>
      </c>
      <c r="E24" s="6" t="s">
        <v>76</v>
      </c>
    </row>
    <row r="25" ht="15.75" customHeight="1">
      <c r="A25" s="6" t="s">
        <v>77</v>
      </c>
      <c r="B25" s="10">
        <v>837000.0</v>
      </c>
      <c r="C25" s="8" t="s">
        <v>75</v>
      </c>
      <c r="D25" s="8" t="s">
        <v>27</v>
      </c>
      <c r="E25" s="6" t="s">
        <v>76</v>
      </c>
    </row>
    <row r="26" ht="15.75" customHeight="1">
      <c r="A26" s="6" t="s">
        <v>78</v>
      </c>
      <c r="B26" s="10">
        <v>448000.0</v>
      </c>
      <c r="C26" s="8" t="s">
        <v>75</v>
      </c>
      <c r="D26" s="8" t="s">
        <v>27</v>
      </c>
      <c r="E26" s="6" t="s">
        <v>76</v>
      </c>
    </row>
    <row r="27" ht="15.75" customHeight="1">
      <c r="A27" s="6" t="s">
        <v>79</v>
      </c>
      <c r="B27" s="15">
        <v>1.25</v>
      </c>
      <c r="C27" s="8" t="s">
        <v>82</v>
      </c>
      <c r="D27" s="8" t="s">
        <v>27</v>
      </c>
      <c r="E27" s="6" t="s">
        <v>83</v>
      </c>
    </row>
    <row r="28" ht="15.75" customHeight="1">
      <c r="A28" s="6" t="s">
        <v>84</v>
      </c>
      <c r="B28" s="15">
        <v>1.4</v>
      </c>
      <c r="C28" s="8" t="s">
        <v>82</v>
      </c>
      <c r="D28" s="8" t="s">
        <v>27</v>
      </c>
      <c r="E28" s="6" t="s">
        <v>83</v>
      </c>
    </row>
    <row r="29" ht="15.75" customHeight="1">
      <c r="A29" s="6" t="s">
        <v>86</v>
      </c>
      <c r="B29" s="16">
        <v>24.0</v>
      </c>
      <c r="C29" s="8" t="s">
        <v>82</v>
      </c>
      <c r="D29" s="8" t="s">
        <v>27</v>
      </c>
      <c r="E29" s="6" t="s">
        <v>83</v>
      </c>
    </row>
    <row r="30" ht="15.75" customHeight="1">
      <c r="A30" s="6" t="s">
        <v>90</v>
      </c>
      <c r="B30" s="10">
        <v>1.3E7</v>
      </c>
      <c r="C30" s="8" t="s">
        <v>48</v>
      </c>
      <c r="D30" s="8" t="s">
        <v>27</v>
      </c>
      <c r="E30" s="6" t="s">
        <v>91</v>
      </c>
    </row>
    <row r="31" ht="15.75" customHeight="1">
      <c r="A31" s="6" t="s">
        <v>92</v>
      </c>
      <c r="B31" s="16">
        <v>72.0</v>
      </c>
      <c r="C31" s="8" t="s">
        <v>93</v>
      </c>
      <c r="D31" s="8" t="s">
        <v>27</v>
      </c>
      <c r="E31" s="6" t="s">
        <v>94</v>
      </c>
    </row>
    <row r="32" ht="15.75" customHeight="1">
      <c r="A32" s="6" t="s">
        <v>95</v>
      </c>
      <c r="B32" s="10">
        <v>5000000.0</v>
      </c>
      <c r="C32" s="8" t="s">
        <v>48</v>
      </c>
      <c r="D32" s="8" t="s">
        <v>27</v>
      </c>
      <c r="E32" s="6" t="s">
        <v>96</v>
      </c>
    </row>
    <row r="33" ht="15.75" customHeight="1">
      <c r="A33" s="6" t="s">
        <v>98</v>
      </c>
      <c r="B33" s="16">
        <v>10.0</v>
      </c>
      <c r="C33" s="8" t="s">
        <v>82</v>
      </c>
      <c r="D33" s="8" t="s">
        <v>27</v>
      </c>
      <c r="E33" s="6" t="s">
        <v>94</v>
      </c>
    </row>
    <row r="34" ht="15.75" customHeight="1">
      <c r="A34" s="4" t="s">
        <v>100</v>
      </c>
      <c r="B34" s="5"/>
      <c r="C34" s="5"/>
      <c r="D34" s="5"/>
      <c r="E34" s="5"/>
    </row>
    <row r="35" ht="15.75" customHeight="1">
      <c r="A35" s="6" t="s">
        <v>101</v>
      </c>
      <c r="B35" s="19">
        <v>0.3</v>
      </c>
      <c r="C35" s="8" t="s">
        <v>13</v>
      </c>
      <c r="D35" s="8" t="s">
        <v>63</v>
      </c>
      <c r="E35" s="6" t="s">
        <v>102</v>
      </c>
    </row>
    <row r="36" ht="15.75" customHeight="1">
      <c r="A36" s="6" t="s">
        <v>103</v>
      </c>
      <c r="B36" s="19">
        <v>0.35</v>
      </c>
      <c r="C36" s="8" t="s">
        <v>13</v>
      </c>
      <c r="D36" s="8" t="s">
        <v>63</v>
      </c>
      <c r="E36" s="6" t="s">
        <v>102</v>
      </c>
    </row>
    <row r="37" ht="15.75" customHeight="1">
      <c r="A37" s="6" t="s">
        <v>104</v>
      </c>
      <c r="B37" s="19">
        <v>0.25</v>
      </c>
      <c r="C37" s="8" t="s">
        <v>13</v>
      </c>
      <c r="D37" s="8" t="s">
        <v>63</v>
      </c>
      <c r="E37" s="6" t="s">
        <v>102</v>
      </c>
    </row>
    <row r="38" ht="15.75" customHeight="1">
      <c r="A38" s="6" t="s">
        <v>105</v>
      </c>
      <c r="B38" s="19">
        <v>0.1</v>
      </c>
      <c r="C38" s="8" t="s">
        <v>13</v>
      </c>
      <c r="D38" s="8" t="s">
        <v>63</v>
      </c>
      <c r="E38" s="6" t="s">
        <v>102</v>
      </c>
    </row>
    <row r="39" ht="15.75" customHeight="1">
      <c r="A39" s="6" t="s">
        <v>106</v>
      </c>
      <c r="B39" s="19">
        <v>0.7</v>
      </c>
      <c r="C39" s="8" t="s">
        <v>13</v>
      </c>
      <c r="D39" s="8" t="s">
        <v>63</v>
      </c>
      <c r="E39" s="6" t="s">
        <v>107</v>
      </c>
    </row>
    <row r="40" ht="15.75" customHeight="1">
      <c r="A40" s="4" t="s">
        <v>108</v>
      </c>
      <c r="B40" s="5"/>
      <c r="C40" s="5"/>
      <c r="D40" s="5"/>
      <c r="E40" s="5"/>
    </row>
    <row r="41" ht="15.75" customHeight="1">
      <c r="A41" s="6" t="s">
        <v>109</v>
      </c>
      <c r="B41" s="10">
        <v>179000.0</v>
      </c>
      <c r="C41" s="8" t="s">
        <v>19</v>
      </c>
      <c r="D41" s="8" t="s">
        <v>27</v>
      </c>
      <c r="E41" s="6" t="s">
        <v>110</v>
      </c>
    </row>
    <row r="42" ht="15.75" customHeight="1">
      <c r="A42" s="6" t="s">
        <v>111</v>
      </c>
      <c r="B42" s="10">
        <v>70000.0</v>
      </c>
      <c r="C42" s="8" t="s">
        <v>19</v>
      </c>
      <c r="D42" s="8" t="s">
        <v>27</v>
      </c>
      <c r="E42" s="6" t="s">
        <v>112</v>
      </c>
    </row>
    <row r="43" ht="15.75" customHeight="1">
      <c r="A43" s="6" t="s">
        <v>113</v>
      </c>
      <c r="B43" s="7">
        <v>0.05</v>
      </c>
      <c r="C43" s="8" t="s">
        <v>114</v>
      </c>
      <c r="D43" s="8" t="s">
        <v>14</v>
      </c>
      <c r="E43" s="6" t="s">
        <v>115</v>
      </c>
    </row>
    <row r="44" ht="15.75" customHeight="1">
      <c r="A44" s="6" t="s">
        <v>116</v>
      </c>
      <c r="B44" s="19">
        <v>0.1</v>
      </c>
      <c r="C44" s="8" t="s">
        <v>114</v>
      </c>
      <c r="D44" s="8" t="s">
        <v>63</v>
      </c>
      <c r="E44" s="6" t="s">
        <v>117</v>
      </c>
    </row>
    <row r="45" ht="15.75" customHeight="1">
      <c r="A45" s="6" t="s">
        <v>118</v>
      </c>
      <c r="B45" s="21">
        <v>3.0</v>
      </c>
      <c r="C45" s="8" t="s">
        <v>82</v>
      </c>
      <c r="D45" s="8" t="s">
        <v>63</v>
      </c>
      <c r="E45" s="6" t="s">
        <v>119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34.0"/>
    <col customWidth="1" min="2" max="2" width="24.0"/>
    <col customWidth="1" min="3" max="3" width="26.0"/>
    <col customWidth="1" min="4" max="4" width="16.0"/>
    <col customWidth="1" min="5" max="5" width="18.0"/>
    <col customWidth="1" min="6" max="6" width="12.0"/>
    <col customWidth="1" min="7" max="8" width="16.0"/>
    <col customWidth="1" min="9" max="9" width="12.0"/>
    <col customWidth="1" min="10" max="10" width="14.0"/>
    <col customWidth="1" min="11" max="11" width="12.0"/>
    <col customWidth="1" min="12" max="12" width="52.0"/>
    <col customWidth="1" min="13" max="13" width="24.43"/>
    <col customWidth="1" min="14" max="26" width="8.71"/>
  </cols>
  <sheetData>
    <row r="1">
      <c r="A1" s="1" t="s">
        <v>18</v>
      </c>
    </row>
    <row r="2">
      <c r="A2" s="11" t="s">
        <v>21</v>
      </c>
    </row>
    <row r="4">
      <c r="A4" s="3" t="s">
        <v>41</v>
      </c>
      <c r="B4" s="3" t="s">
        <v>44</v>
      </c>
      <c r="C4" s="3" t="s">
        <v>46</v>
      </c>
      <c r="D4" s="3" t="s">
        <v>49</v>
      </c>
      <c r="E4" s="3" t="s">
        <v>52</v>
      </c>
      <c r="F4" s="3" t="s">
        <v>55</v>
      </c>
      <c r="G4" s="3" t="s">
        <v>56</v>
      </c>
      <c r="H4" s="3" t="s">
        <v>58</v>
      </c>
      <c r="I4" s="3" t="s">
        <v>59</v>
      </c>
      <c r="J4" s="3" t="s">
        <v>61</v>
      </c>
      <c r="K4" s="3" t="s">
        <v>64</v>
      </c>
      <c r="L4" s="3" t="s">
        <v>67</v>
      </c>
      <c r="M4" s="14" t="s">
        <v>69</v>
      </c>
    </row>
    <row r="5">
      <c r="A5" s="12" t="s">
        <v>81</v>
      </c>
      <c r="B5" s="8" t="s">
        <v>85</v>
      </c>
      <c r="C5" s="8" t="s">
        <v>31</v>
      </c>
      <c r="D5" s="17">
        <v>550000.0</v>
      </c>
      <c r="E5" s="22">
        <f>IF(ISNUMBER(M5),M5,MROUND(D5*(1-Inputs!$B$6),Inputs!$B$7))</f>
        <v>500000</v>
      </c>
      <c r="F5" s="24">
        <f>Inputs!$B$11</f>
        <v>0.6</v>
      </c>
      <c r="G5" s="25">
        <f t="shared" ref="G5:G32" si="1">E5*F5</f>
        <v>300000</v>
      </c>
      <c r="H5" s="25">
        <f t="shared" ref="H5:H32" si="2">E5-G5</f>
        <v>200000</v>
      </c>
      <c r="I5" s="28">
        <f t="shared" ref="I5:I32" si="3">H5/E5</f>
        <v>0.4</v>
      </c>
      <c r="J5" s="29">
        <f t="shared" ref="J5:J32" si="4">E5/G5</f>
        <v>1.666666667</v>
      </c>
      <c r="K5" s="28">
        <f t="shared" ref="K5:K32" si="5">E5/D5-1</f>
        <v>-0.09090909091</v>
      </c>
      <c r="L5" s="30" t="s">
        <v>123</v>
      </c>
      <c r="M5" s="32">
        <v>500000.0</v>
      </c>
    </row>
    <row r="6">
      <c r="A6" s="8"/>
      <c r="B6" s="8"/>
      <c r="C6" s="8" t="s">
        <v>33</v>
      </c>
      <c r="D6" s="17">
        <v>650000.0</v>
      </c>
      <c r="E6" s="22">
        <f>IF(ISNUMBER(M6),M6,MROUND(D6*(1-Inputs!$B$6),Inputs!$B$7))</f>
        <v>500000</v>
      </c>
      <c r="F6" s="24">
        <f>Inputs!$B$12</f>
        <v>0.65</v>
      </c>
      <c r="G6" s="25">
        <f t="shared" si="1"/>
        <v>325000</v>
      </c>
      <c r="H6" s="25">
        <f t="shared" si="2"/>
        <v>175000</v>
      </c>
      <c r="I6" s="28">
        <f t="shared" si="3"/>
        <v>0.35</v>
      </c>
      <c r="J6" s="29">
        <f t="shared" si="4"/>
        <v>1.538461538</v>
      </c>
      <c r="K6" s="28">
        <f t="shared" si="5"/>
        <v>-0.2307692308</v>
      </c>
      <c r="L6" s="6"/>
      <c r="M6" s="32">
        <v>500000.0</v>
      </c>
    </row>
    <row r="7">
      <c r="A7" s="8"/>
      <c r="B7" s="8"/>
      <c r="C7" s="8" t="s">
        <v>35</v>
      </c>
      <c r="D7" s="17">
        <v>750000.0</v>
      </c>
      <c r="E7" s="22">
        <f>IF(ISNUMBER(M7),M7,MROUND(D7*(1-Inputs!$B$6),Inputs!$B$7))</f>
        <v>725000</v>
      </c>
      <c r="F7" s="24">
        <f>Inputs!$B$13</f>
        <v>0.65</v>
      </c>
      <c r="G7" s="25">
        <f t="shared" si="1"/>
        <v>471250</v>
      </c>
      <c r="H7" s="25">
        <f t="shared" si="2"/>
        <v>253750</v>
      </c>
      <c r="I7" s="28">
        <f t="shared" si="3"/>
        <v>0.35</v>
      </c>
      <c r="J7" s="29">
        <f t="shared" si="4"/>
        <v>1.538461538</v>
      </c>
      <c r="K7" s="28">
        <f t="shared" si="5"/>
        <v>-0.03333333333</v>
      </c>
      <c r="L7" s="6"/>
      <c r="M7" s="33"/>
    </row>
    <row r="8">
      <c r="A8" s="8"/>
      <c r="B8" s="8"/>
      <c r="C8" s="8" t="s">
        <v>37</v>
      </c>
      <c r="D8" s="35">
        <v>900000.0</v>
      </c>
      <c r="E8" s="22">
        <f>IF(ISNUMBER(M8),M8,MROUND(D8*(1-Inputs!$B$6),Inputs!$B$7))</f>
        <v>850000</v>
      </c>
      <c r="F8" s="24">
        <f>Inputs!$B$14</f>
        <v>0.7</v>
      </c>
      <c r="G8" s="25">
        <f t="shared" si="1"/>
        <v>595000</v>
      </c>
      <c r="H8" s="25">
        <f t="shared" si="2"/>
        <v>255000</v>
      </c>
      <c r="I8" s="28">
        <f t="shared" si="3"/>
        <v>0.3</v>
      </c>
      <c r="J8" s="29">
        <f t="shared" si="4"/>
        <v>1.428571429</v>
      </c>
      <c r="K8" s="28">
        <f t="shared" si="5"/>
        <v>-0.05555555556</v>
      </c>
      <c r="L8" s="6"/>
      <c r="M8" s="33"/>
    </row>
    <row r="9">
      <c r="A9" s="12" t="s">
        <v>81</v>
      </c>
      <c r="B9" s="8" t="s">
        <v>143</v>
      </c>
      <c r="C9" s="8" t="s">
        <v>31</v>
      </c>
      <c r="D9" s="17">
        <v>650000.0</v>
      </c>
      <c r="E9" s="22">
        <f>IF(ISNUMBER(M9),M9,MROUND(D9*(1-Inputs!$B$6),Inputs!$B$7))</f>
        <v>580000</v>
      </c>
      <c r="F9" s="24">
        <f>Inputs!$B$11</f>
        <v>0.6</v>
      </c>
      <c r="G9" s="25">
        <f t="shared" si="1"/>
        <v>348000</v>
      </c>
      <c r="H9" s="25">
        <f t="shared" si="2"/>
        <v>232000</v>
      </c>
      <c r="I9" s="28">
        <f t="shared" si="3"/>
        <v>0.4</v>
      </c>
      <c r="J9" s="29">
        <f t="shared" si="4"/>
        <v>1.666666667</v>
      </c>
      <c r="K9" s="28">
        <f t="shared" si="5"/>
        <v>-0.1076923077</v>
      </c>
      <c r="L9" s="30" t="s">
        <v>145</v>
      </c>
      <c r="M9" s="32">
        <v>580000.0</v>
      </c>
    </row>
    <row r="10">
      <c r="A10" s="8"/>
      <c r="B10" s="8"/>
      <c r="C10" s="8" t="s">
        <v>33</v>
      </c>
      <c r="D10" s="17">
        <v>750000.0</v>
      </c>
      <c r="E10" s="22">
        <f>IF(ISNUMBER(M10),M10,MROUND(D10*(1-Inputs!$B$6),Inputs!$B$7))</f>
        <v>580000</v>
      </c>
      <c r="F10" s="24">
        <f>Inputs!$B$12</f>
        <v>0.65</v>
      </c>
      <c r="G10" s="25">
        <f t="shared" si="1"/>
        <v>377000</v>
      </c>
      <c r="H10" s="25">
        <f t="shared" si="2"/>
        <v>203000</v>
      </c>
      <c r="I10" s="28">
        <f t="shared" si="3"/>
        <v>0.35</v>
      </c>
      <c r="J10" s="29">
        <f t="shared" si="4"/>
        <v>1.538461538</v>
      </c>
      <c r="K10" s="28">
        <f t="shared" si="5"/>
        <v>-0.2266666667</v>
      </c>
      <c r="L10" s="6"/>
      <c r="M10" s="32">
        <v>580000.0</v>
      </c>
    </row>
    <row r="11">
      <c r="A11" s="8"/>
      <c r="B11" s="8"/>
      <c r="C11" s="8" t="s">
        <v>35</v>
      </c>
      <c r="D11" s="17">
        <v>850000.0</v>
      </c>
      <c r="E11" s="22">
        <f>IF(ISNUMBER(M11),M11,MROUND(D11*(1-Inputs!$B$6),Inputs!$B$7))</f>
        <v>800000</v>
      </c>
      <c r="F11" s="24">
        <f>Inputs!$B$13</f>
        <v>0.65</v>
      </c>
      <c r="G11" s="25">
        <f t="shared" si="1"/>
        <v>520000</v>
      </c>
      <c r="H11" s="25">
        <f t="shared" si="2"/>
        <v>280000</v>
      </c>
      <c r="I11" s="28">
        <f t="shared" si="3"/>
        <v>0.35</v>
      </c>
      <c r="J11" s="29">
        <f t="shared" si="4"/>
        <v>1.538461538</v>
      </c>
      <c r="K11" s="28">
        <f t="shared" si="5"/>
        <v>-0.05882352941</v>
      </c>
      <c r="L11" s="6"/>
      <c r="M11" s="33"/>
    </row>
    <row r="12">
      <c r="A12" s="8"/>
      <c r="B12" s="8"/>
      <c r="C12" s="8" t="s">
        <v>37</v>
      </c>
      <c r="D12" s="35">
        <v>975000.0</v>
      </c>
      <c r="E12" s="22">
        <f>IF(ISNUMBER(M12),M12,MROUND(D12*(1-Inputs!$B$6),Inputs!$B$7))</f>
        <v>925000</v>
      </c>
      <c r="F12" s="24">
        <f>Inputs!$B$14</f>
        <v>0.7</v>
      </c>
      <c r="G12" s="25">
        <f t="shared" si="1"/>
        <v>647500</v>
      </c>
      <c r="H12" s="25">
        <f t="shared" si="2"/>
        <v>277500</v>
      </c>
      <c r="I12" s="28">
        <f t="shared" si="3"/>
        <v>0.3</v>
      </c>
      <c r="J12" s="29">
        <f t="shared" si="4"/>
        <v>1.428571429</v>
      </c>
      <c r="K12" s="28">
        <f t="shared" si="5"/>
        <v>-0.05128205128</v>
      </c>
      <c r="L12" s="6"/>
      <c r="M12" s="33"/>
    </row>
    <row r="13">
      <c r="A13" s="12" t="s">
        <v>149</v>
      </c>
      <c r="B13" s="8" t="s">
        <v>150</v>
      </c>
      <c r="C13" s="8" t="s">
        <v>31</v>
      </c>
      <c r="D13" s="10">
        <v>850000.0</v>
      </c>
      <c r="E13" s="26">
        <f>IF(ISNUMBER(M13),M13,MROUND(D13*(1-Inputs!$B$6),Inputs!$B$7))</f>
        <v>800000</v>
      </c>
      <c r="F13" s="27">
        <f>Inputs!$B$11</f>
        <v>0.6</v>
      </c>
      <c r="G13" s="25">
        <f t="shared" si="1"/>
        <v>480000</v>
      </c>
      <c r="H13" s="25">
        <f t="shared" si="2"/>
        <v>320000</v>
      </c>
      <c r="I13" s="28">
        <f t="shared" si="3"/>
        <v>0.4</v>
      </c>
      <c r="J13" s="29">
        <f t="shared" si="4"/>
        <v>1.666666667</v>
      </c>
      <c r="K13" s="28">
        <f t="shared" si="5"/>
        <v>-0.05882352941</v>
      </c>
      <c r="L13" s="6" t="s">
        <v>164</v>
      </c>
      <c r="M13" s="33"/>
    </row>
    <row r="14">
      <c r="A14" s="8"/>
      <c r="B14" s="8"/>
      <c r="C14" s="8" t="s">
        <v>33</v>
      </c>
      <c r="D14" s="10">
        <v>1000000.0</v>
      </c>
      <c r="E14" s="26">
        <f>IF(ISNUMBER(M14),M14,MROUND(D14*(1-Inputs!$B$6),Inputs!$B$7))</f>
        <v>950000</v>
      </c>
      <c r="F14" s="27">
        <f>Inputs!$B$12</f>
        <v>0.65</v>
      </c>
      <c r="G14" s="25">
        <f t="shared" si="1"/>
        <v>617500</v>
      </c>
      <c r="H14" s="25">
        <f t="shared" si="2"/>
        <v>332500</v>
      </c>
      <c r="I14" s="28">
        <f t="shared" si="3"/>
        <v>0.35</v>
      </c>
      <c r="J14" s="29">
        <f t="shared" si="4"/>
        <v>1.538461538</v>
      </c>
      <c r="K14" s="28">
        <f t="shared" si="5"/>
        <v>-0.05</v>
      </c>
      <c r="L14" s="6"/>
      <c r="M14" s="33"/>
    </row>
    <row r="15">
      <c r="A15" s="8"/>
      <c r="B15" s="8"/>
      <c r="C15" s="8" t="s">
        <v>35</v>
      </c>
      <c r="D15" s="10">
        <v>1150000.0</v>
      </c>
      <c r="E15" s="26">
        <f>IF(ISNUMBER(M15),M15,MROUND(D15*(1-Inputs!$B$6),Inputs!$B$7))</f>
        <v>1100000</v>
      </c>
      <c r="F15" s="27">
        <f>Inputs!$B$13</f>
        <v>0.65</v>
      </c>
      <c r="G15" s="25">
        <f t="shared" si="1"/>
        <v>715000</v>
      </c>
      <c r="H15" s="25">
        <f t="shared" si="2"/>
        <v>385000</v>
      </c>
      <c r="I15" s="28">
        <f t="shared" si="3"/>
        <v>0.35</v>
      </c>
      <c r="J15" s="29">
        <f t="shared" si="4"/>
        <v>1.538461538</v>
      </c>
      <c r="K15" s="28">
        <f t="shared" si="5"/>
        <v>-0.04347826087</v>
      </c>
      <c r="L15" s="6"/>
      <c r="M15" s="33"/>
    </row>
    <row r="16">
      <c r="A16" s="8"/>
      <c r="B16" s="8"/>
      <c r="C16" s="8" t="s">
        <v>37</v>
      </c>
      <c r="D16" s="10">
        <v>1500000.0</v>
      </c>
      <c r="E16" s="26">
        <f>IF(ISNUMBER(M16),M16,MROUND(D16*(1-Inputs!$B$6),Inputs!$B$7))</f>
        <v>1425000</v>
      </c>
      <c r="F16" s="27">
        <f>Inputs!$B$14</f>
        <v>0.7</v>
      </c>
      <c r="G16" s="25">
        <f t="shared" si="1"/>
        <v>997500</v>
      </c>
      <c r="H16" s="25">
        <f t="shared" si="2"/>
        <v>427500</v>
      </c>
      <c r="I16" s="28">
        <f t="shared" si="3"/>
        <v>0.3</v>
      </c>
      <c r="J16" s="29">
        <f t="shared" si="4"/>
        <v>1.428571429</v>
      </c>
      <c r="K16" s="28">
        <f t="shared" si="5"/>
        <v>-0.05</v>
      </c>
      <c r="L16" s="6"/>
      <c r="M16" s="33"/>
    </row>
    <row r="17">
      <c r="A17" s="12" t="s">
        <v>153</v>
      </c>
      <c r="B17" s="8" t="s">
        <v>154</v>
      </c>
      <c r="C17" s="8" t="s">
        <v>31</v>
      </c>
      <c r="D17" s="10">
        <v>2300000.0</v>
      </c>
      <c r="E17" s="26">
        <f>IF(ISNUMBER(M17),M17,MROUND(D17*(1-Inputs!$B$6),Inputs!$B$8))</f>
        <v>2200000</v>
      </c>
      <c r="F17" s="27">
        <f>Inputs!$B$11</f>
        <v>0.6</v>
      </c>
      <c r="G17" s="25">
        <f t="shared" si="1"/>
        <v>1320000</v>
      </c>
      <c r="H17" s="25">
        <f t="shared" si="2"/>
        <v>880000</v>
      </c>
      <c r="I17" s="28">
        <f t="shared" si="3"/>
        <v>0.4</v>
      </c>
      <c r="J17" s="29">
        <f t="shared" si="4"/>
        <v>1.666666667</v>
      </c>
      <c r="K17" s="28">
        <f t="shared" si="5"/>
        <v>-0.04347826087</v>
      </c>
      <c r="L17" s="6" t="s">
        <v>167</v>
      </c>
      <c r="M17" s="33"/>
    </row>
    <row r="18">
      <c r="A18" s="8"/>
      <c r="B18" s="8"/>
      <c r="C18" s="8" t="s">
        <v>33</v>
      </c>
      <c r="D18" s="10">
        <v>2700000.0</v>
      </c>
      <c r="E18" s="26">
        <f>IF(ISNUMBER(M18),M18,MROUND(D18*(1-Inputs!$B$6),Inputs!$B$8))</f>
        <v>2600000</v>
      </c>
      <c r="F18" s="27">
        <f>Inputs!$B$12</f>
        <v>0.65</v>
      </c>
      <c r="G18" s="25">
        <f t="shared" si="1"/>
        <v>1690000</v>
      </c>
      <c r="H18" s="25">
        <f t="shared" si="2"/>
        <v>910000</v>
      </c>
      <c r="I18" s="28">
        <f t="shared" si="3"/>
        <v>0.35</v>
      </c>
      <c r="J18" s="29">
        <f t="shared" si="4"/>
        <v>1.538461538</v>
      </c>
      <c r="K18" s="28">
        <f t="shared" si="5"/>
        <v>-0.03703703704</v>
      </c>
      <c r="L18" s="6"/>
      <c r="M18" s="33"/>
    </row>
    <row r="19">
      <c r="A19" s="8"/>
      <c r="B19" s="8"/>
      <c r="C19" s="8" t="s">
        <v>35</v>
      </c>
      <c r="D19" s="10">
        <v>3100000.0</v>
      </c>
      <c r="E19" s="26">
        <f>IF(ISNUMBER(M19),M19,MROUND(D19*(1-Inputs!$B$6),Inputs!$B$8))</f>
        <v>2900000</v>
      </c>
      <c r="F19" s="27">
        <f>Inputs!$B$13</f>
        <v>0.65</v>
      </c>
      <c r="G19" s="25">
        <f t="shared" si="1"/>
        <v>1885000</v>
      </c>
      <c r="H19" s="25">
        <f t="shared" si="2"/>
        <v>1015000</v>
      </c>
      <c r="I19" s="28">
        <f t="shared" si="3"/>
        <v>0.35</v>
      </c>
      <c r="J19" s="29">
        <f t="shared" si="4"/>
        <v>1.538461538</v>
      </c>
      <c r="K19" s="28">
        <f t="shared" si="5"/>
        <v>-0.06451612903</v>
      </c>
      <c r="L19" s="6"/>
      <c r="M19" s="33"/>
    </row>
    <row r="20">
      <c r="A20" s="8"/>
      <c r="B20" s="8"/>
      <c r="C20" s="8" t="s">
        <v>37</v>
      </c>
      <c r="D20" s="10">
        <v>4000000.0</v>
      </c>
      <c r="E20" s="26">
        <f>IF(ISNUMBER(M20),M20,MROUND(D20*(1-Inputs!$B$6),Inputs!$B$8))</f>
        <v>3800000</v>
      </c>
      <c r="F20" s="27">
        <f>Inputs!$B$14</f>
        <v>0.7</v>
      </c>
      <c r="G20" s="25">
        <f t="shared" si="1"/>
        <v>2660000</v>
      </c>
      <c r="H20" s="25">
        <f t="shared" si="2"/>
        <v>1140000</v>
      </c>
      <c r="I20" s="28">
        <f t="shared" si="3"/>
        <v>0.3</v>
      </c>
      <c r="J20" s="29">
        <f t="shared" si="4"/>
        <v>1.428571429</v>
      </c>
      <c r="K20" s="28">
        <f t="shared" si="5"/>
        <v>-0.05</v>
      </c>
      <c r="L20" s="6"/>
      <c r="M20" s="33"/>
    </row>
    <row r="21" ht="15.75" customHeight="1">
      <c r="A21" s="12" t="s">
        <v>156</v>
      </c>
      <c r="B21" s="8" t="s">
        <v>157</v>
      </c>
      <c r="C21" s="8" t="s">
        <v>31</v>
      </c>
      <c r="D21" s="41">
        <f>MROUND(2*(1-Inputs!$B$9)*D13,Inputs!$B$8)</f>
        <v>1500000</v>
      </c>
      <c r="E21" s="26">
        <f>IF(ISNUMBER(M21),M21,MROUND(D21*(1-Inputs!$B$6),Inputs!$B$8))</f>
        <v>1400000</v>
      </c>
      <c r="F21" s="27">
        <f>Inputs!$B$11</f>
        <v>0.6</v>
      </c>
      <c r="G21" s="25">
        <f t="shared" si="1"/>
        <v>840000</v>
      </c>
      <c r="H21" s="25">
        <f t="shared" si="2"/>
        <v>560000</v>
      </c>
      <c r="I21" s="28">
        <f t="shared" si="3"/>
        <v>0.4</v>
      </c>
      <c r="J21" s="29">
        <f t="shared" si="4"/>
        <v>1.666666667</v>
      </c>
      <c r="K21" s="28">
        <f t="shared" si="5"/>
        <v>-0.06666666667</v>
      </c>
      <c r="L21" s="6" t="s">
        <v>205</v>
      </c>
      <c r="M21" s="33"/>
    </row>
    <row r="22" ht="15.75" customHeight="1">
      <c r="A22" s="8"/>
      <c r="B22" s="8"/>
      <c r="C22" s="8" t="s">
        <v>33</v>
      </c>
      <c r="D22" s="41">
        <f>MROUND(2*(1-Inputs!$B$9)*D14,Inputs!$B$8)</f>
        <v>1800000</v>
      </c>
      <c r="E22" s="26">
        <f>IF(ISNUMBER(M22),M22,MROUND(D22*(1-Inputs!$B$6),Inputs!$B$8))</f>
        <v>1700000</v>
      </c>
      <c r="F22" s="27">
        <f>Inputs!$B$12</f>
        <v>0.65</v>
      </c>
      <c r="G22" s="25">
        <f t="shared" si="1"/>
        <v>1105000</v>
      </c>
      <c r="H22" s="25">
        <f t="shared" si="2"/>
        <v>595000</v>
      </c>
      <c r="I22" s="28">
        <f t="shared" si="3"/>
        <v>0.35</v>
      </c>
      <c r="J22" s="29">
        <f t="shared" si="4"/>
        <v>1.538461538</v>
      </c>
      <c r="K22" s="28">
        <f t="shared" si="5"/>
        <v>-0.05555555556</v>
      </c>
      <c r="L22" s="6"/>
      <c r="M22" s="33"/>
    </row>
    <row r="23" ht="15.75" customHeight="1">
      <c r="A23" s="8"/>
      <c r="B23" s="8"/>
      <c r="C23" s="8" t="s">
        <v>35</v>
      </c>
      <c r="D23" s="41">
        <f>MROUND(2*(1-Inputs!$B$9)*D15,Inputs!$B$8)</f>
        <v>2100000</v>
      </c>
      <c r="E23" s="26">
        <f>IF(ISNUMBER(M23),M23,MROUND(D23*(1-Inputs!$B$6),Inputs!$B$8))</f>
        <v>2000000</v>
      </c>
      <c r="F23" s="27">
        <f>Inputs!$B$13</f>
        <v>0.65</v>
      </c>
      <c r="G23" s="25">
        <f t="shared" si="1"/>
        <v>1300000</v>
      </c>
      <c r="H23" s="25">
        <f t="shared" si="2"/>
        <v>700000</v>
      </c>
      <c r="I23" s="28">
        <f t="shared" si="3"/>
        <v>0.35</v>
      </c>
      <c r="J23" s="29">
        <f t="shared" si="4"/>
        <v>1.538461538</v>
      </c>
      <c r="K23" s="28">
        <f t="shared" si="5"/>
        <v>-0.04761904762</v>
      </c>
      <c r="L23" s="6"/>
      <c r="M23" s="33"/>
    </row>
    <row r="24" ht="15.75" customHeight="1">
      <c r="A24" s="8"/>
      <c r="B24" s="8"/>
      <c r="C24" s="8" t="s">
        <v>37</v>
      </c>
      <c r="D24" s="41">
        <f>MROUND(2*(1-Inputs!$B$9)*D16,Inputs!$B$8)</f>
        <v>2700000</v>
      </c>
      <c r="E24" s="26">
        <f>IF(ISNUMBER(M24),M24,MROUND(D24*(1-Inputs!$B$6),Inputs!$B$8))</f>
        <v>2600000</v>
      </c>
      <c r="F24" s="27">
        <f>Inputs!$B$14</f>
        <v>0.7</v>
      </c>
      <c r="G24" s="25">
        <f t="shared" si="1"/>
        <v>1820000</v>
      </c>
      <c r="H24" s="25">
        <f t="shared" si="2"/>
        <v>780000</v>
      </c>
      <c r="I24" s="28">
        <f t="shared" si="3"/>
        <v>0.3</v>
      </c>
      <c r="J24" s="29">
        <f t="shared" si="4"/>
        <v>1.428571429</v>
      </c>
      <c r="K24" s="28">
        <f t="shared" si="5"/>
        <v>-0.03703703704</v>
      </c>
      <c r="L24" s="6"/>
      <c r="M24" s="33"/>
    </row>
    <row r="25" ht="15.75" customHeight="1">
      <c r="A25" s="12" t="s">
        <v>161</v>
      </c>
      <c r="B25" s="8" t="s">
        <v>162</v>
      </c>
      <c r="C25" s="8" t="s">
        <v>31</v>
      </c>
      <c r="D25" s="10">
        <v>800000.0</v>
      </c>
      <c r="E25" s="26">
        <f>IF(ISNUMBER(M25),M25,MROUND(D25*(1-Inputs!$B$6),Inputs!$B$7))</f>
        <v>750000</v>
      </c>
      <c r="F25" s="27">
        <f>Inputs!$B$11</f>
        <v>0.6</v>
      </c>
      <c r="G25" s="25">
        <f t="shared" si="1"/>
        <v>450000</v>
      </c>
      <c r="H25" s="25">
        <f t="shared" si="2"/>
        <v>300000</v>
      </c>
      <c r="I25" s="28">
        <f t="shared" si="3"/>
        <v>0.4</v>
      </c>
      <c r="J25" s="29">
        <f t="shared" si="4"/>
        <v>1.666666667</v>
      </c>
      <c r="K25" s="28">
        <f t="shared" si="5"/>
        <v>-0.0625</v>
      </c>
      <c r="L25" s="6" t="s">
        <v>241</v>
      </c>
      <c r="M25" s="33"/>
    </row>
    <row r="26" ht="15.75" customHeight="1">
      <c r="A26" s="8"/>
      <c r="B26" s="8"/>
      <c r="C26" s="8" t="s">
        <v>33</v>
      </c>
      <c r="D26" s="10">
        <v>950000.0</v>
      </c>
      <c r="E26" s="26">
        <f>IF(ISNUMBER(M26),M26,MROUND(D26*(1-Inputs!$B$6),Inputs!$B$7))</f>
        <v>900000</v>
      </c>
      <c r="F26" s="27">
        <f>Inputs!$B$12</f>
        <v>0.65</v>
      </c>
      <c r="G26" s="25">
        <f t="shared" si="1"/>
        <v>585000</v>
      </c>
      <c r="H26" s="25">
        <f t="shared" si="2"/>
        <v>315000</v>
      </c>
      <c r="I26" s="28">
        <f t="shared" si="3"/>
        <v>0.35</v>
      </c>
      <c r="J26" s="29">
        <f t="shared" si="4"/>
        <v>1.538461538</v>
      </c>
      <c r="K26" s="28">
        <f t="shared" si="5"/>
        <v>-0.05263157895</v>
      </c>
      <c r="L26" s="6"/>
      <c r="M26" s="33"/>
    </row>
    <row r="27" ht="15.75" customHeight="1">
      <c r="A27" s="8"/>
      <c r="B27" s="8"/>
      <c r="C27" s="8" t="s">
        <v>35</v>
      </c>
      <c r="D27" s="10">
        <v>1050000.0</v>
      </c>
      <c r="E27" s="26">
        <f>IF(ISNUMBER(M27),M27,MROUND(D27*(1-Inputs!$B$6),Inputs!$B$7))</f>
        <v>1000000</v>
      </c>
      <c r="F27" s="27">
        <f>Inputs!$B$13</f>
        <v>0.65</v>
      </c>
      <c r="G27" s="25">
        <f t="shared" si="1"/>
        <v>650000</v>
      </c>
      <c r="H27" s="25">
        <f t="shared" si="2"/>
        <v>350000</v>
      </c>
      <c r="I27" s="28">
        <f t="shared" si="3"/>
        <v>0.35</v>
      </c>
      <c r="J27" s="29">
        <f t="shared" si="4"/>
        <v>1.538461538</v>
      </c>
      <c r="K27" s="28">
        <f t="shared" si="5"/>
        <v>-0.04761904762</v>
      </c>
      <c r="L27" s="6"/>
      <c r="M27" s="33"/>
    </row>
    <row r="28" ht="15.75" customHeight="1">
      <c r="A28" s="8"/>
      <c r="B28" s="8"/>
      <c r="C28" s="8" t="s">
        <v>37</v>
      </c>
      <c r="D28" s="10">
        <v>1400000.0</v>
      </c>
      <c r="E28" s="26">
        <f>IF(ISNUMBER(M28),M28,MROUND(D28*(1-Inputs!$B$6),Inputs!$B$7))</f>
        <v>1325000</v>
      </c>
      <c r="F28" s="27">
        <f>Inputs!$B$14</f>
        <v>0.7</v>
      </c>
      <c r="G28" s="25">
        <f t="shared" si="1"/>
        <v>927500</v>
      </c>
      <c r="H28" s="25">
        <f t="shared" si="2"/>
        <v>397500</v>
      </c>
      <c r="I28" s="28">
        <f t="shared" si="3"/>
        <v>0.3</v>
      </c>
      <c r="J28" s="29">
        <f t="shared" si="4"/>
        <v>1.428571429</v>
      </c>
      <c r="K28" s="28">
        <f t="shared" si="5"/>
        <v>-0.05357142857</v>
      </c>
      <c r="L28" s="6"/>
      <c r="M28" s="33"/>
    </row>
    <row r="29" ht="15.75" customHeight="1">
      <c r="A29" s="12" t="s">
        <v>161</v>
      </c>
      <c r="B29" s="8" t="s">
        <v>163</v>
      </c>
      <c r="C29" s="8" t="s">
        <v>31</v>
      </c>
      <c r="D29" s="10">
        <v>700000.0</v>
      </c>
      <c r="E29" s="26">
        <f>IF(ISNUMBER(M29),M29,MROUND(D29*(1-Inputs!$B$6),Inputs!$B$7))</f>
        <v>675000</v>
      </c>
      <c r="F29" s="27">
        <f>Inputs!$B$11</f>
        <v>0.6</v>
      </c>
      <c r="G29" s="25">
        <f t="shared" si="1"/>
        <v>405000</v>
      </c>
      <c r="H29" s="25">
        <f t="shared" si="2"/>
        <v>270000</v>
      </c>
      <c r="I29" s="28">
        <f t="shared" si="3"/>
        <v>0.4</v>
      </c>
      <c r="J29" s="29">
        <f t="shared" si="4"/>
        <v>1.666666667</v>
      </c>
      <c r="K29" s="28">
        <f t="shared" si="5"/>
        <v>-0.03571428571</v>
      </c>
      <c r="L29" s="6" t="s">
        <v>279</v>
      </c>
      <c r="M29" s="33"/>
    </row>
    <row r="30" ht="15.75" customHeight="1">
      <c r="A30" s="8"/>
      <c r="B30" s="8"/>
      <c r="C30" s="8" t="s">
        <v>33</v>
      </c>
      <c r="D30" s="10">
        <v>850000.0</v>
      </c>
      <c r="E30" s="26">
        <f>IF(ISNUMBER(M30),M30,MROUND(D30*(1-Inputs!$B$6),Inputs!$B$7))</f>
        <v>800000</v>
      </c>
      <c r="F30" s="27">
        <f>Inputs!$B$12</f>
        <v>0.65</v>
      </c>
      <c r="G30" s="25">
        <f t="shared" si="1"/>
        <v>520000</v>
      </c>
      <c r="H30" s="25">
        <f t="shared" si="2"/>
        <v>280000</v>
      </c>
      <c r="I30" s="28">
        <f t="shared" si="3"/>
        <v>0.35</v>
      </c>
      <c r="J30" s="29">
        <f t="shared" si="4"/>
        <v>1.538461538</v>
      </c>
      <c r="K30" s="28">
        <f t="shared" si="5"/>
        <v>-0.05882352941</v>
      </c>
      <c r="L30" s="6"/>
      <c r="M30" s="33"/>
    </row>
    <row r="31" ht="15.75" customHeight="1">
      <c r="A31" s="8"/>
      <c r="B31" s="8"/>
      <c r="C31" s="8" t="s">
        <v>35</v>
      </c>
      <c r="D31" s="10">
        <v>950000.0</v>
      </c>
      <c r="E31" s="26">
        <f>IF(ISNUMBER(M31),M31,MROUND(D31*(1-Inputs!$B$6),Inputs!$B$7))</f>
        <v>900000</v>
      </c>
      <c r="F31" s="27">
        <f>Inputs!$B$13</f>
        <v>0.65</v>
      </c>
      <c r="G31" s="25">
        <f t="shared" si="1"/>
        <v>585000</v>
      </c>
      <c r="H31" s="25">
        <f t="shared" si="2"/>
        <v>315000</v>
      </c>
      <c r="I31" s="28">
        <f t="shared" si="3"/>
        <v>0.35</v>
      </c>
      <c r="J31" s="29">
        <f t="shared" si="4"/>
        <v>1.538461538</v>
      </c>
      <c r="K31" s="28">
        <f t="shared" si="5"/>
        <v>-0.05263157895</v>
      </c>
      <c r="L31" s="6"/>
      <c r="M31" s="33"/>
    </row>
    <row r="32" ht="15.75" customHeight="1">
      <c r="A32" s="8"/>
      <c r="B32" s="8"/>
      <c r="C32" s="8" t="s">
        <v>37</v>
      </c>
      <c r="D32" s="10">
        <v>1250000.0</v>
      </c>
      <c r="E32" s="26">
        <f>IF(ISNUMBER(M32),M32,MROUND(D32*(1-Inputs!$B$6),Inputs!$B$7))</f>
        <v>1200000</v>
      </c>
      <c r="F32" s="27">
        <f>Inputs!$B$14</f>
        <v>0.7</v>
      </c>
      <c r="G32" s="25">
        <f t="shared" si="1"/>
        <v>840000</v>
      </c>
      <c r="H32" s="25">
        <f t="shared" si="2"/>
        <v>360000</v>
      </c>
      <c r="I32" s="28">
        <f t="shared" si="3"/>
        <v>0.3</v>
      </c>
      <c r="J32" s="29">
        <f t="shared" si="4"/>
        <v>1.428571429</v>
      </c>
      <c r="K32" s="28">
        <f t="shared" si="5"/>
        <v>-0.04</v>
      </c>
      <c r="L32" s="6"/>
      <c r="M32" s="33"/>
    </row>
    <row r="33" ht="15.75" customHeight="1"/>
    <row r="34" ht="15.75" customHeight="1">
      <c r="A34" s="2" t="s">
        <v>296</v>
      </c>
      <c r="E34" s="40">
        <f>SUM(E5:E32)-SUM(G5:G32)-SUM(H5:H32)</f>
        <v>0</v>
      </c>
    </row>
    <row r="35" ht="15.75" customHeight="1">
      <c r="A35" s="2" t="s">
        <v>299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8.0"/>
    <col customWidth="1" min="2" max="2" width="20.0"/>
    <col customWidth="1" min="3" max="3" width="16.0"/>
    <col customWidth="1" hidden="1" min="4" max="4" width="18.0"/>
    <col customWidth="1" min="5" max="5" width="12.0"/>
    <col customWidth="1" min="6" max="6" width="14.0"/>
    <col customWidth="1" min="7" max="7" width="16.0"/>
    <col customWidth="1" min="8" max="8" width="14.0"/>
    <col customWidth="1" min="9" max="9" width="12.0"/>
    <col customWidth="1" min="10" max="10" width="70.0"/>
    <col customWidth="1" min="11" max="26" width="8.71"/>
  </cols>
  <sheetData>
    <row r="1">
      <c r="A1" s="1" t="s">
        <v>60</v>
      </c>
    </row>
    <row r="2">
      <c r="A2" s="2" t="s">
        <v>70</v>
      </c>
    </row>
    <row r="4">
      <c r="A4" s="3" t="s">
        <v>41</v>
      </c>
      <c r="B4" s="3" t="s">
        <v>80</v>
      </c>
      <c r="C4" s="3" t="s">
        <v>49</v>
      </c>
      <c r="D4" s="3" t="s">
        <v>52</v>
      </c>
      <c r="E4" s="3" t="s">
        <v>87</v>
      </c>
      <c r="F4" s="3" t="s">
        <v>88</v>
      </c>
      <c r="G4" s="3" t="s">
        <v>89</v>
      </c>
      <c r="H4" s="3" t="s">
        <v>58</v>
      </c>
      <c r="I4" s="3" t="s">
        <v>59</v>
      </c>
      <c r="J4" s="3" t="s">
        <v>67</v>
      </c>
    </row>
    <row r="5">
      <c r="A5" s="12" t="s">
        <v>97</v>
      </c>
      <c r="B5" s="8" t="s">
        <v>99</v>
      </c>
      <c r="C5" s="20">
        <v>650000.0</v>
      </c>
      <c r="D5" s="26">
        <f>MROUND(C5*(1-Inputs!$B$6),Inputs!$B$7)</f>
        <v>625000</v>
      </c>
      <c r="E5" s="27">
        <f>Inputs!$B$15</f>
        <v>0.5</v>
      </c>
      <c r="F5" s="25">
        <f t="shared" ref="F5:F10" si="1">D5*E5</f>
        <v>312500</v>
      </c>
      <c r="G5" s="13">
        <v>0.0</v>
      </c>
      <c r="H5" s="25">
        <f t="shared" ref="H5:H10" si="2">D5-F5-G5</f>
        <v>312500</v>
      </c>
      <c r="I5" s="28">
        <f t="shared" ref="I5:I10" si="3">H5/D5</f>
        <v>0.5</v>
      </c>
      <c r="J5" s="6" t="s">
        <v>124</v>
      </c>
    </row>
    <row r="6">
      <c r="A6" s="12" t="s">
        <v>125</v>
      </c>
      <c r="B6" s="8" t="s">
        <v>127</v>
      </c>
      <c r="C6" s="13">
        <v>750000.0</v>
      </c>
      <c r="D6" s="26">
        <f>MROUND(C6*(1-Inputs!$B$6),Inputs!$B$7)</f>
        <v>725000</v>
      </c>
      <c r="E6" s="27">
        <f>Inputs!$B$15</f>
        <v>0.5</v>
      </c>
      <c r="F6" s="25">
        <f t="shared" si="1"/>
        <v>362500</v>
      </c>
      <c r="G6" s="13">
        <v>0.0</v>
      </c>
      <c r="H6" s="25">
        <f t="shared" si="2"/>
        <v>362500</v>
      </c>
      <c r="I6" s="28">
        <f t="shared" si="3"/>
        <v>0.5</v>
      </c>
      <c r="J6" s="6" t="s">
        <v>132</v>
      </c>
    </row>
    <row r="7">
      <c r="A7" s="12" t="s">
        <v>134</v>
      </c>
      <c r="B7" s="8" t="s">
        <v>135</v>
      </c>
      <c r="C7" s="20">
        <v>850000.0</v>
      </c>
      <c r="D7" s="26">
        <f>MROUND(C7*(1-Inputs!$B$6),Inputs!$B$7)</f>
        <v>800000</v>
      </c>
      <c r="E7" s="27">
        <f>Inputs!$B$15</f>
        <v>0.5</v>
      </c>
      <c r="F7" s="25">
        <f t="shared" si="1"/>
        <v>400000</v>
      </c>
      <c r="G7" s="13">
        <v>0.0</v>
      </c>
      <c r="H7" s="25">
        <f t="shared" si="2"/>
        <v>400000</v>
      </c>
      <c r="I7" s="28">
        <f t="shared" si="3"/>
        <v>0.5</v>
      </c>
      <c r="J7" s="6" t="s">
        <v>124</v>
      </c>
    </row>
    <row r="8">
      <c r="A8" s="12" t="s">
        <v>141</v>
      </c>
      <c r="B8" s="8" t="s">
        <v>142</v>
      </c>
      <c r="C8" s="20">
        <v>1700000.0</v>
      </c>
      <c r="D8" s="26">
        <f>MROUND(C8*(1-Inputs!$B$6),Inputs!$B$7)</f>
        <v>1625000</v>
      </c>
      <c r="E8" s="27">
        <f>Inputs!$B$15</f>
        <v>0.5</v>
      </c>
      <c r="F8" s="25">
        <f t="shared" si="1"/>
        <v>812500</v>
      </c>
      <c r="G8" s="13">
        <v>0.0</v>
      </c>
      <c r="H8" s="25">
        <f t="shared" si="2"/>
        <v>812500</v>
      </c>
      <c r="I8" s="28">
        <f t="shared" si="3"/>
        <v>0.5</v>
      </c>
      <c r="J8" s="6" t="s">
        <v>124</v>
      </c>
    </row>
    <row r="9">
      <c r="A9" s="12" t="s">
        <v>146</v>
      </c>
      <c r="B9" s="8" t="s">
        <v>147</v>
      </c>
      <c r="C9" s="20">
        <v>1300000.0</v>
      </c>
      <c r="D9" s="26">
        <f>MROUND(C9*(1-Inputs!$B$6),Inputs!$B$7)</f>
        <v>1225000</v>
      </c>
      <c r="E9" s="27">
        <f>Inputs!$B$15</f>
        <v>0.5</v>
      </c>
      <c r="F9" s="25">
        <f t="shared" si="1"/>
        <v>612500</v>
      </c>
      <c r="G9" s="13">
        <v>0.0</v>
      </c>
      <c r="H9" s="25">
        <f t="shared" si="2"/>
        <v>612500</v>
      </c>
      <c r="I9" s="28">
        <f t="shared" si="3"/>
        <v>0.5</v>
      </c>
      <c r="J9" s="6" t="s">
        <v>124</v>
      </c>
    </row>
    <row r="10">
      <c r="A10" s="12" t="s">
        <v>151</v>
      </c>
      <c r="B10" s="8" t="s">
        <v>152</v>
      </c>
      <c r="C10" s="10">
        <v>400000.0</v>
      </c>
      <c r="D10" s="26">
        <f>MROUND(C10*(1-Inputs!$B$6),Inputs!$B$7)</f>
        <v>375000</v>
      </c>
      <c r="E10" s="27">
        <f>Inputs!$B$15</f>
        <v>0.5</v>
      </c>
      <c r="F10" s="25">
        <f t="shared" si="1"/>
        <v>187500</v>
      </c>
      <c r="G10" s="23">
        <f>Inputs!$B$42</f>
        <v>70000</v>
      </c>
      <c r="H10" s="25">
        <f t="shared" si="2"/>
        <v>117500</v>
      </c>
      <c r="I10" s="28">
        <f t="shared" si="3"/>
        <v>0.3133333333</v>
      </c>
      <c r="J10" s="6" t="s">
        <v>159</v>
      </c>
    </row>
    <row r="12">
      <c r="A12" s="2" t="s">
        <v>160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26.0"/>
    <col customWidth="1" min="3" max="3" width="22.0"/>
    <col customWidth="1" min="4" max="4" width="24.0"/>
    <col customWidth="1" min="5" max="5" width="26.0"/>
    <col customWidth="1" min="6" max="6" width="22.0"/>
    <col customWidth="1" min="7" max="26" width="8.71"/>
  </cols>
  <sheetData>
    <row r="1">
      <c r="A1" s="1" t="s">
        <v>137</v>
      </c>
    </row>
    <row r="2">
      <c r="A2" s="2" t="s">
        <v>138</v>
      </c>
    </row>
    <row r="4">
      <c r="A4" s="4" t="s">
        <v>139</v>
      </c>
      <c r="B4" s="5"/>
      <c r="C4" s="5"/>
      <c r="D4" s="5"/>
      <c r="E4" s="5"/>
      <c r="F4" s="5"/>
    </row>
    <row r="5">
      <c r="A5" s="3" t="s">
        <v>41</v>
      </c>
      <c r="B5" s="3" t="s">
        <v>44</v>
      </c>
      <c r="C5" s="3" t="s">
        <v>31</v>
      </c>
      <c r="D5" s="3" t="s">
        <v>33</v>
      </c>
      <c r="E5" s="3" t="s">
        <v>35</v>
      </c>
      <c r="F5" s="3" t="s">
        <v>37</v>
      </c>
    </row>
    <row r="6">
      <c r="A6" s="12" t="s">
        <v>81</v>
      </c>
      <c r="B6" s="8" t="s">
        <v>85</v>
      </c>
      <c r="C6" s="23">
        <f>Pricing_Counseling!E5</f>
        <v>500000</v>
      </c>
      <c r="D6" s="23">
        <f>Pricing_Counseling!E6</f>
        <v>500000</v>
      </c>
      <c r="E6" s="23">
        <f>Pricing_Counseling!E7</f>
        <v>725000</v>
      </c>
      <c r="F6" s="23">
        <f>Pricing_Counseling!E8</f>
        <v>850000</v>
      </c>
    </row>
    <row r="7">
      <c r="A7" s="12" t="s">
        <v>81</v>
      </c>
      <c r="B7" s="8" t="s">
        <v>143</v>
      </c>
      <c r="C7" s="23">
        <f>Pricing_Counseling!E9</f>
        <v>580000</v>
      </c>
      <c r="D7" s="23">
        <f>Pricing_Counseling!E10</f>
        <v>580000</v>
      </c>
      <c r="E7" s="23">
        <f>Pricing_Counseling!E11</f>
        <v>800000</v>
      </c>
      <c r="F7" s="23">
        <f>Pricing_Counseling!E12</f>
        <v>925000</v>
      </c>
    </row>
    <row r="8">
      <c r="A8" s="12" t="s">
        <v>149</v>
      </c>
      <c r="B8" s="8" t="s">
        <v>150</v>
      </c>
      <c r="C8" s="23">
        <f>Pricing_Counseling!E13</f>
        <v>800000</v>
      </c>
      <c r="D8" s="23">
        <f>Pricing_Counseling!E14</f>
        <v>950000</v>
      </c>
      <c r="E8" s="23">
        <f>Pricing_Counseling!E15</f>
        <v>1100000</v>
      </c>
      <c r="F8" s="23">
        <f>Pricing_Counseling!E16</f>
        <v>1425000</v>
      </c>
    </row>
    <row r="9">
      <c r="A9" s="12" t="s">
        <v>153</v>
      </c>
      <c r="B9" s="8" t="s">
        <v>154</v>
      </c>
      <c r="C9" s="23">
        <f>Pricing_Counseling!E17</f>
        <v>2200000</v>
      </c>
      <c r="D9" s="23">
        <f>Pricing_Counseling!E18</f>
        <v>2600000</v>
      </c>
      <c r="E9" s="23">
        <f>Pricing_Counseling!E19</f>
        <v>2900000</v>
      </c>
      <c r="F9" s="23">
        <f>Pricing_Counseling!E20</f>
        <v>3800000</v>
      </c>
    </row>
    <row r="10">
      <c r="A10" s="12" t="s">
        <v>156</v>
      </c>
      <c r="B10" s="8" t="s">
        <v>157</v>
      </c>
      <c r="C10" s="23">
        <f>Pricing_Counseling!E21</f>
        <v>1400000</v>
      </c>
      <c r="D10" s="23">
        <f>Pricing_Counseling!E22</f>
        <v>1700000</v>
      </c>
      <c r="E10" s="23">
        <f>Pricing_Counseling!E23</f>
        <v>2000000</v>
      </c>
      <c r="F10" s="23">
        <f>Pricing_Counseling!E24</f>
        <v>2600000</v>
      </c>
    </row>
    <row r="11">
      <c r="A11" s="12" t="s">
        <v>161</v>
      </c>
      <c r="B11" s="8" t="s">
        <v>162</v>
      </c>
      <c r="C11" s="23">
        <f>Pricing_Counseling!E25</f>
        <v>750000</v>
      </c>
      <c r="D11" s="23">
        <f>Pricing_Counseling!E26</f>
        <v>900000</v>
      </c>
      <c r="E11" s="23">
        <f>Pricing_Counseling!E27</f>
        <v>1000000</v>
      </c>
      <c r="F11" s="23">
        <f>Pricing_Counseling!E28</f>
        <v>1325000</v>
      </c>
    </row>
    <row r="12">
      <c r="A12" s="12" t="s">
        <v>161</v>
      </c>
      <c r="B12" s="8" t="s">
        <v>163</v>
      </c>
      <c r="C12" s="23">
        <f>Pricing_Counseling!E29</f>
        <v>675000</v>
      </c>
      <c r="D12" s="23">
        <f>Pricing_Counseling!E30</f>
        <v>800000</v>
      </c>
      <c r="E12" s="23">
        <f>Pricing_Counseling!E31</f>
        <v>900000</v>
      </c>
      <c r="F12" s="23">
        <f>Pricing_Counseling!E32</f>
        <v>1200000</v>
      </c>
    </row>
    <row r="14">
      <c r="A14" s="4" t="s">
        <v>165</v>
      </c>
      <c r="B14" s="5"/>
      <c r="C14" s="5"/>
      <c r="D14" s="5"/>
      <c r="E14" s="5"/>
      <c r="F14" s="5"/>
    </row>
    <row r="15">
      <c r="A15" s="3" t="s">
        <v>41</v>
      </c>
      <c r="B15" s="3" t="s">
        <v>80</v>
      </c>
      <c r="C15" s="3" t="s">
        <v>166</v>
      </c>
    </row>
    <row r="16">
      <c r="A16" s="12" t="s">
        <v>97</v>
      </c>
      <c r="B16" s="8" t="s">
        <v>99</v>
      </c>
      <c r="C16" s="23">
        <f>Pricing_Assessment!D5</f>
        <v>625000</v>
      </c>
    </row>
    <row r="17">
      <c r="A17" s="12" t="s">
        <v>125</v>
      </c>
      <c r="B17" s="8" t="s">
        <v>127</v>
      </c>
      <c r="C17" s="23">
        <f>Pricing_Assessment!D6</f>
        <v>725000</v>
      </c>
    </row>
    <row r="18">
      <c r="A18" s="12" t="s">
        <v>134</v>
      </c>
      <c r="B18" s="8" t="s">
        <v>135</v>
      </c>
      <c r="C18" s="23">
        <f>Pricing_Assessment!D7</f>
        <v>800000</v>
      </c>
    </row>
    <row r="19">
      <c r="A19" s="12" t="s">
        <v>141</v>
      </c>
      <c r="B19" s="8" t="s">
        <v>142</v>
      </c>
      <c r="C19" s="23">
        <f>Pricing_Assessment!D8</f>
        <v>1625000</v>
      </c>
    </row>
    <row r="20">
      <c r="A20" s="12" t="s">
        <v>146</v>
      </c>
      <c r="B20" s="8" t="s">
        <v>147</v>
      </c>
      <c r="C20" s="23">
        <f>Pricing_Assessment!D9</f>
        <v>1225000</v>
      </c>
    </row>
    <row r="21" ht="15.75" customHeight="1">
      <c r="A21" s="12" t="s">
        <v>151</v>
      </c>
      <c r="B21" s="8" t="s">
        <v>152</v>
      </c>
      <c r="C21" s="23">
        <f>Pricing_Assessment!D10</f>
        <v>375000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2.0"/>
    <col customWidth="1" min="2" max="4" width="26.0"/>
    <col customWidth="1" min="5" max="5" width="40.0"/>
    <col customWidth="1" min="6" max="6" width="56.0"/>
    <col customWidth="1" min="7" max="26" width="8.71"/>
  </cols>
  <sheetData>
    <row r="1">
      <c r="A1" s="1" t="s">
        <v>168</v>
      </c>
    </row>
    <row r="2">
      <c r="A2" s="2" t="s">
        <v>169</v>
      </c>
    </row>
    <row r="3">
      <c r="A3" s="4" t="s">
        <v>170</v>
      </c>
      <c r="B3" s="5"/>
      <c r="C3" s="5"/>
      <c r="D3" s="5"/>
      <c r="E3" s="5"/>
      <c r="F3" s="5"/>
      <c r="G3" s="5"/>
    </row>
    <row r="4">
      <c r="A4" s="3" t="s">
        <v>46</v>
      </c>
      <c r="B4" s="3" t="s">
        <v>171</v>
      </c>
      <c r="C4" s="3" t="s">
        <v>172</v>
      </c>
      <c r="D4" s="3" t="s">
        <v>174</v>
      </c>
      <c r="E4" s="3" t="s">
        <v>175</v>
      </c>
      <c r="F4" s="3" t="s">
        <v>67</v>
      </c>
    </row>
    <row r="5">
      <c r="A5" s="12" t="s">
        <v>176</v>
      </c>
      <c r="B5" s="8" t="s">
        <v>178</v>
      </c>
      <c r="C5" s="27">
        <f>Inputs!$B$11</f>
        <v>0.6</v>
      </c>
      <c r="D5" s="28">
        <f t="shared" ref="D5:D8" si="1">1-C5</f>
        <v>0.4</v>
      </c>
      <c r="E5" s="6" t="s">
        <v>181</v>
      </c>
      <c r="F5" s="6" t="s">
        <v>182</v>
      </c>
    </row>
    <row r="6">
      <c r="A6" s="12" t="s">
        <v>183</v>
      </c>
      <c r="B6" s="8" t="s">
        <v>184</v>
      </c>
      <c r="C6" s="27">
        <f>Inputs!$B$12</f>
        <v>0.65</v>
      </c>
      <c r="D6" s="28">
        <f t="shared" si="1"/>
        <v>0.35</v>
      </c>
      <c r="E6" s="6" t="s">
        <v>185</v>
      </c>
      <c r="F6" s="6" t="s">
        <v>186</v>
      </c>
    </row>
    <row r="7">
      <c r="A7" s="12" t="s">
        <v>188</v>
      </c>
      <c r="B7" s="8" t="s">
        <v>189</v>
      </c>
      <c r="C7" s="27">
        <f>Inputs!$B$13</f>
        <v>0.65</v>
      </c>
      <c r="D7" s="28">
        <f t="shared" si="1"/>
        <v>0.35</v>
      </c>
      <c r="E7" s="6" t="s">
        <v>190</v>
      </c>
      <c r="F7" s="6" t="s">
        <v>191</v>
      </c>
    </row>
    <row r="8">
      <c r="A8" s="12" t="s">
        <v>192</v>
      </c>
      <c r="B8" s="8" t="s">
        <v>194</v>
      </c>
      <c r="C8" s="27">
        <f>Inputs!$B$14</f>
        <v>0.7</v>
      </c>
      <c r="D8" s="28">
        <f t="shared" si="1"/>
        <v>0.3</v>
      </c>
      <c r="E8" s="6" t="s">
        <v>195</v>
      </c>
      <c r="F8" s="6" t="s">
        <v>196</v>
      </c>
    </row>
    <row r="10">
      <c r="A10" s="4" t="s">
        <v>197</v>
      </c>
      <c r="B10" s="5"/>
      <c r="C10" s="5"/>
      <c r="D10" s="5"/>
      <c r="E10" s="5"/>
      <c r="F10" s="5"/>
      <c r="G10" s="5"/>
    </row>
    <row r="11">
      <c r="A11" s="3" t="s">
        <v>199</v>
      </c>
      <c r="B11" s="3" t="s">
        <v>31</v>
      </c>
      <c r="C11" s="3" t="s">
        <v>33</v>
      </c>
      <c r="D11" s="3" t="s">
        <v>35</v>
      </c>
      <c r="E11" s="3" t="s">
        <v>37</v>
      </c>
    </row>
    <row r="12">
      <c r="A12" s="6" t="s">
        <v>200</v>
      </c>
      <c r="B12" s="23">
        <f>Pricing_Counseling!E5</f>
        <v>500000</v>
      </c>
      <c r="C12" s="23">
        <f>Pricing_Counseling!E6</f>
        <v>500000</v>
      </c>
      <c r="D12" s="23">
        <f>Pricing_Counseling!E7</f>
        <v>725000</v>
      </c>
      <c r="E12" s="23">
        <f>Pricing_Counseling!E8</f>
        <v>850000</v>
      </c>
    </row>
    <row r="13">
      <c r="A13" s="6" t="s">
        <v>203</v>
      </c>
      <c r="B13" s="23">
        <f>Pricing_Counseling!G5</f>
        <v>300000</v>
      </c>
      <c r="C13" s="23">
        <f>Pricing_Counseling!G6</f>
        <v>325000</v>
      </c>
      <c r="D13" s="23">
        <f>Pricing_Counseling!G7</f>
        <v>471250</v>
      </c>
      <c r="E13" s="23">
        <f>Pricing_Counseling!G8</f>
        <v>595000</v>
      </c>
    </row>
    <row r="14">
      <c r="A14" s="6" t="s">
        <v>207</v>
      </c>
      <c r="B14" s="23">
        <f>Pricing_Counseling!H5</f>
        <v>200000</v>
      </c>
      <c r="C14" s="23">
        <f>Pricing_Counseling!H6</f>
        <v>175000</v>
      </c>
      <c r="D14" s="23">
        <f>Pricing_Counseling!H7</f>
        <v>253750</v>
      </c>
      <c r="E14" s="23">
        <f>Pricing_Counseling!H8</f>
        <v>255000</v>
      </c>
    </row>
    <row r="15">
      <c r="A15" s="6" t="s">
        <v>211</v>
      </c>
      <c r="B15" s="25">
        <f>-Inputs!$B$20</f>
        <v>-50000</v>
      </c>
      <c r="C15" s="25">
        <f>-Inputs!$B$20</f>
        <v>-50000</v>
      </c>
      <c r="D15" s="25">
        <f>-Inputs!$B$20</f>
        <v>-50000</v>
      </c>
      <c r="E15" s="25">
        <f>-Inputs!$B$20</f>
        <v>-50000</v>
      </c>
    </row>
    <row r="16">
      <c r="A16" s="44" t="s">
        <v>212</v>
      </c>
      <c r="B16" s="25">
        <f t="shared" ref="B16:E16" si="2">B14+B15</f>
        <v>150000</v>
      </c>
      <c r="C16" s="25">
        <f t="shared" si="2"/>
        <v>125000</v>
      </c>
      <c r="D16" s="25">
        <f t="shared" si="2"/>
        <v>203750</v>
      </c>
      <c r="E16" s="25">
        <f t="shared" si="2"/>
        <v>205000</v>
      </c>
    </row>
    <row r="17">
      <c r="A17" s="6" t="s">
        <v>218</v>
      </c>
      <c r="B17" s="25">
        <f>-Inputs!$B$26/Inputs!$B$28</f>
        <v>-320000</v>
      </c>
      <c r="C17" s="25">
        <f>-Inputs!$B$26/Inputs!$B$28</f>
        <v>-320000</v>
      </c>
      <c r="D17" s="25">
        <f>-Inputs!$B$26/Inputs!$B$28</f>
        <v>-320000</v>
      </c>
      <c r="E17" s="25">
        <f>-Inputs!$B$26/Inputs!$B$28</f>
        <v>-320000</v>
      </c>
    </row>
    <row r="18">
      <c r="A18" s="44" t="s">
        <v>228</v>
      </c>
      <c r="B18" s="25">
        <f t="shared" ref="B18:E18" si="3">B16+B17</f>
        <v>-170000</v>
      </c>
      <c r="C18" s="25">
        <f t="shared" si="3"/>
        <v>-195000</v>
      </c>
      <c r="D18" s="25">
        <f t="shared" si="3"/>
        <v>-116250</v>
      </c>
      <c r="E18" s="25">
        <f t="shared" si="3"/>
        <v>-115000</v>
      </c>
    </row>
    <row r="19">
      <c r="A19" s="6" t="s">
        <v>233</v>
      </c>
      <c r="B19" s="25">
        <f>-Inputs!$B$24/Inputs!$B$28</f>
        <v>-142857.1429</v>
      </c>
      <c r="C19" s="25">
        <f>-Inputs!$B$24/Inputs!$B$28</f>
        <v>-142857.1429</v>
      </c>
      <c r="D19" s="25">
        <f>-Inputs!$B$24/Inputs!$B$28</f>
        <v>-142857.1429</v>
      </c>
      <c r="E19" s="25">
        <f>-Inputs!$B$24/Inputs!$B$28</f>
        <v>-142857.1429</v>
      </c>
    </row>
    <row r="20">
      <c r="A20" s="44" t="s">
        <v>250</v>
      </c>
      <c r="B20" s="25">
        <f t="shared" ref="B20:E20" si="4">B16+B19</f>
        <v>7142.857143</v>
      </c>
      <c r="C20" s="25">
        <f t="shared" si="4"/>
        <v>-17857.14286</v>
      </c>
      <c r="D20" s="25">
        <f t="shared" si="4"/>
        <v>60892.85714</v>
      </c>
      <c r="E20" s="25">
        <f t="shared" si="4"/>
        <v>62142.85714</v>
      </c>
    </row>
    <row r="21" ht="15.75" customHeight="1">
      <c r="A21" s="44" t="s">
        <v>264</v>
      </c>
      <c r="B21" s="25">
        <f>B18*Inputs!$B$28</f>
        <v>-238000</v>
      </c>
      <c r="C21" s="25">
        <f>C18*Inputs!$B$28</f>
        <v>-273000</v>
      </c>
      <c r="D21" s="25">
        <f>D18*Inputs!$B$28</f>
        <v>-162750</v>
      </c>
      <c r="E21" s="25">
        <f>E18*Inputs!$B$28</f>
        <v>-161000</v>
      </c>
    </row>
    <row r="22" ht="15.75" customHeight="1">
      <c r="A22" s="44" t="s">
        <v>273</v>
      </c>
      <c r="B22" s="25">
        <f>B20*Inputs!$B$28</f>
        <v>10000</v>
      </c>
      <c r="C22" s="25">
        <f>C20*Inputs!$B$28</f>
        <v>-25000</v>
      </c>
      <c r="D22" s="25">
        <f>D20*Inputs!$B$28</f>
        <v>85250</v>
      </c>
      <c r="E22" s="25">
        <f>E20*Inputs!$B$28</f>
        <v>87000</v>
      </c>
    </row>
    <row r="23" ht="15.75" customHeight="1"/>
    <row r="24" ht="15.75" customHeight="1">
      <c r="A24" s="4" t="s">
        <v>275</v>
      </c>
      <c r="B24" s="5"/>
      <c r="C24" s="5"/>
      <c r="D24" s="5"/>
      <c r="E24" s="5"/>
      <c r="F24" s="5"/>
      <c r="G24" s="5"/>
    </row>
    <row r="25" ht="15.75" customHeight="1">
      <c r="A25" s="3" t="s">
        <v>278</v>
      </c>
      <c r="B25" s="3" t="s">
        <v>31</v>
      </c>
      <c r="C25" s="3" t="s">
        <v>33</v>
      </c>
      <c r="D25" s="3" t="s">
        <v>35</v>
      </c>
      <c r="E25" s="3" t="s">
        <v>37</v>
      </c>
    </row>
    <row r="26" ht="15.75" customHeight="1">
      <c r="A26" s="51">
        <v>8.0</v>
      </c>
      <c r="B26" s="25">
        <f t="shared" ref="B26:E26" si="5">$A26*B13</f>
        <v>2400000</v>
      </c>
      <c r="C26" s="25">
        <f t="shared" si="5"/>
        <v>2600000</v>
      </c>
      <c r="D26" s="25">
        <f t="shared" si="5"/>
        <v>3770000</v>
      </c>
      <c r="E26" s="25">
        <f t="shared" si="5"/>
        <v>4760000</v>
      </c>
    </row>
    <row r="27" ht="15.75" customHeight="1">
      <c r="A27" s="51">
        <v>16.0</v>
      </c>
      <c r="B27" s="25">
        <f t="shared" ref="B27:E27" si="6">$A27*B13</f>
        <v>4800000</v>
      </c>
      <c r="C27" s="25">
        <f t="shared" si="6"/>
        <v>5200000</v>
      </c>
      <c r="D27" s="25">
        <f t="shared" si="6"/>
        <v>7540000</v>
      </c>
      <c r="E27" s="25">
        <f t="shared" si="6"/>
        <v>9520000</v>
      </c>
    </row>
    <row r="28" ht="15.75" customHeight="1">
      <c r="A28" s="51">
        <v>24.0</v>
      </c>
      <c r="B28" s="25">
        <f t="shared" ref="B28:E28" si="7">$A28*B13</f>
        <v>7200000</v>
      </c>
      <c r="C28" s="25">
        <f t="shared" si="7"/>
        <v>7800000</v>
      </c>
      <c r="D28" s="25">
        <f t="shared" si="7"/>
        <v>11310000</v>
      </c>
      <c r="E28" s="25">
        <f t="shared" si="7"/>
        <v>14280000</v>
      </c>
    </row>
    <row r="29" ht="15.75" customHeight="1">
      <c r="A29" s="51">
        <v>36.0</v>
      </c>
      <c r="B29" s="25">
        <f t="shared" ref="B29:E29" si="8">$A29*B13</f>
        <v>10800000</v>
      </c>
      <c r="C29" s="25">
        <f t="shared" si="8"/>
        <v>11700000</v>
      </c>
      <c r="D29" s="25">
        <f t="shared" si="8"/>
        <v>16965000</v>
      </c>
      <c r="E29" s="25">
        <f t="shared" si="8"/>
        <v>21420000</v>
      </c>
    </row>
    <row r="30" ht="15.75" customHeight="1">
      <c r="A30" s="2" t="s">
        <v>283</v>
      </c>
    </row>
    <row r="31" ht="15.75" customHeight="1"/>
    <row r="32" ht="15.75" customHeight="1">
      <c r="A32" s="4" t="s">
        <v>284</v>
      </c>
      <c r="B32" s="5"/>
      <c r="C32" s="5"/>
      <c r="D32" s="5"/>
      <c r="E32" s="5"/>
      <c r="F32" s="5"/>
      <c r="G32" s="5"/>
    </row>
    <row r="33" ht="15.75" customHeight="1">
      <c r="A33" s="8" t="s">
        <v>285</v>
      </c>
    </row>
    <row r="34" ht="15.75" customHeight="1">
      <c r="A34" s="8" t="s">
        <v>286</v>
      </c>
    </row>
    <row r="35" ht="15.75" customHeight="1">
      <c r="A35" s="8" t="s">
        <v>287</v>
      </c>
    </row>
    <row r="36" ht="15.75" customHeight="1">
      <c r="A36" s="8" t="s">
        <v>288</v>
      </c>
    </row>
    <row r="37" ht="15.75" customHeight="1">
      <c r="A37" s="8" t="s">
        <v>289</v>
      </c>
    </row>
    <row r="38" ht="15.75" customHeight="1">
      <c r="A38" s="8" t="s">
        <v>290</v>
      </c>
    </row>
    <row r="39" ht="15.75" customHeight="1">
      <c r="A39" s="8" t="s">
        <v>291</v>
      </c>
    </row>
    <row r="40" ht="15.75" customHeight="1">
      <c r="A40" s="8" t="s">
        <v>292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2.0"/>
    <col customWidth="1" min="2" max="2" width="22.0"/>
    <col customWidth="1" min="3" max="3" width="30.0"/>
    <col customWidth="1" min="4" max="4" width="34.0"/>
    <col customWidth="1" min="5" max="5" width="60.0"/>
    <col customWidth="1" min="6" max="26" width="8.71"/>
  </cols>
  <sheetData>
    <row r="1">
      <c r="A1" s="1" t="s">
        <v>173</v>
      </c>
    </row>
    <row r="2">
      <c r="A2" s="2" t="s">
        <v>177</v>
      </c>
    </row>
    <row r="4">
      <c r="A4" s="4" t="s">
        <v>179</v>
      </c>
      <c r="B4" s="5"/>
      <c r="C4" s="5"/>
      <c r="D4" s="5"/>
      <c r="E4" s="5"/>
    </row>
    <row r="5">
      <c r="A5" s="8" t="s">
        <v>180</v>
      </c>
      <c r="B5" s="40">
        <f>SUMPRODUCT(Inputs!$B$35:$B$38,Pricing_Counseling!E5:E8)</f>
        <v>591250</v>
      </c>
    </row>
    <row r="6">
      <c r="A6" s="8" t="s">
        <v>187</v>
      </c>
      <c r="B6" s="40">
        <f>SUMPRODUCT(Inputs!$B$35:$B$38,Pricing_Counseling!E9:E12)</f>
        <v>669500</v>
      </c>
    </row>
    <row r="7">
      <c r="A7" s="8" t="s">
        <v>193</v>
      </c>
      <c r="B7" s="40">
        <f>SUMPRODUCT(Inputs!$B$35:$B$38,Pricing_Counseling!H5:H8)</f>
        <v>210187.5</v>
      </c>
    </row>
    <row r="8">
      <c r="A8" s="8" t="s">
        <v>198</v>
      </c>
      <c r="B8" s="40">
        <f>SUMPRODUCT(Inputs!$B$35:$B$38,Pricing_Counseling!H9:H12)</f>
        <v>238400</v>
      </c>
    </row>
    <row r="9">
      <c r="A9" s="8" t="s">
        <v>201</v>
      </c>
      <c r="B9" s="42">
        <f>Inputs!$B$39*B5+(1-Inputs!$B$39)*B6</f>
        <v>614725</v>
      </c>
    </row>
    <row r="10">
      <c r="A10" s="8" t="s">
        <v>202</v>
      </c>
      <c r="B10" s="42">
        <f>Inputs!$B$39*B7+(1-Inputs!$B$39)*B8</f>
        <v>218651.25</v>
      </c>
    </row>
    <row r="11">
      <c r="A11" s="8" t="s">
        <v>204</v>
      </c>
      <c r="B11" s="43">
        <f>1-B10/B9</f>
        <v>0.644310464</v>
      </c>
    </row>
    <row r="12">
      <c r="A12" s="8" t="s">
        <v>206</v>
      </c>
      <c r="B12" s="42">
        <f>B10-Inputs!$B$20</f>
        <v>168651.25</v>
      </c>
    </row>
    <row r="14">
      <c r="A14" s="4" t="s">
        <v>208</v>
      </c>
      <c r="B14" s="5"/>
      <c r="C14" s="5"/>
      <c r="D14" s="5"/>
      <c r="E14" s="5"/>
    </row>
    <row r="15">
      <c r="A15" s="3" t="s">
        <v>209</v>
      </c>
      <c r="B15" s="3" t="s">
        <v>129</v>
      </c>
      <c r="C15" s="3" t="s">
        <v>130</v>
      </c>
      <c r="D15" s="3" t="s">
        <v>131</v>
      </c>
      <c r="E15" s="3" t="s">
        <v>210</v>
      </c>
    </row>
    <row r="16">
      <c r="A16" s="6" t="s">
        <v>133</v>
      </c>
      <c r="B16" s="25">
        <f>Inputs!$B$22</f>
        <v>1000000</v>
      </c>
      <c r="C16" s="26">
        <f>B9</f>
        <v>614725</v>
      </c>
      <c r="D16" s="28">
        <f>C16/B16-1</f>
        <v>-0.385275</v>
      </c>
      <c r="E16" s="6" t="s">
        <v>213</v>
      </c>
    </row>
    <row r="17">
      <c r="A17" s="6" t="s">
        <v>55</v>
      </c>
      <c r="B17" s="28">
        <f>Inputs!$B$23</f>
        <v>0.4</v>
      </c>
      <c r="C17" s="45">
        <f>B11</f>
        <v>0.644310464</v>
      </c>
      <c r="D17" s="28">
        <f>C17-B17</f>
        <v>0.244310464</v>
      </c>
      <c r="E17" s="6" t="s">
        <v>224</v>
      </c>
    </row>
    <row r="18">
      <c r="A18" s="6" t="s">
        <v>226</v>
      </c>
      <c r="B18" s="25">
        <f>Inputs!$B$22*(1-Inputs!$B$23)</f>
        <v>600000</v>
      </c>
      <c r="C18" s="26">
        <f>B10</f>
        <v>218651.25</v>
      </c>
      <c r="D18" s="28">
        <f t="shared" ref="D18:D19" si="1">C18/B18-1</f>
        <v>-0.63558125</v>
      </c>
      <c r="E18" s="6" t="s">
        <v>229</v>
      </c>
    </row>
    <row r="19">
      <c r="A19" s="6" t="s">
        <v>230</v>
      </c>
      <c r="B19" s="25">
        <f>B18</f>
        <v>600000</v>
      </c>
      <c r="C19" s="26">
        <f>B12</f>
        <v>168651.25</v>
      </c>
      <c r="D19" s="28">
        <f t="shared" si="1"/>
        <v>-0.7189145833</v>
      </c>
      <c r="E19" s="6" t="s">
        <v>235</v>
      </c>
    </row>
    <row r="20">
      <c r="A20" s="6" t="s">
        <v>237</v>
      </c>
      <c r="B20" s="48">
        <f>1/Inputs!$B$23</f>
        <v>2.5</v>
      </c>
      <c r="C20" s="50">
        <f>B9/(B9-B10)</f>
        <v>1.552046809</v>
      </c>
      <c r="D20" s="48">
        <f>C20-B20</f>
        <v>-0.9479531905</v>
      </c>
      <c r="E20" s="6" t="s">
        <v>256</v>
      </c>
    </row>
    <row r="21" ht="15.75" customHeight="1">
      <c r="A21" s="6" t="s">
        <v>259</v>
      </c>
      <c r="B21" s="25">
        <f>B18*Inputs!$B$28</f>
        <v>840000</v>
      </c>
      <c r="C21" s="26">
        <f>C18*Inputs!$B$28</f>
        <v>306111.75</v>
      </c>
      <c r="D21" s="28">
        <f>C21/B21-1</f>
        <v>-0.63558125</v>
      </c>
      <c r="E21" s="6" t="s">
        <v>272</v>
      </c>
    </row>
    <row r="22" ht="15.75" customHeight="1">
      <c r="A22" s="6" t="s">
        <v>140</v>
      </c>
      <c r="B22" s="48">
        <f>B21/Inputs!$B$24</f>
        <v>4.2</v>
      </c>
      <c r="C22" s="50">
        <f>C21/Inputs!$B$24</f>
        <v>1.53055875</v>
      </c>
      <c r="D22" s="48">
        <f t="shared" ref="D22:D24" si="2">C22-B22</f>
        <v>-2.66944125</v>
      </c>
      <c r="E22" s="6" t="s">
        <v>274</v>
      </c>
    </row>
    <row r="23" ht="15.75" customHeight="1">
      <c r="A23" s="6" t="s">
        <v>144</v>
      </c>
      <c r="B23" s="48">
        <f>B21/Inputs!$B$26</f>
        <v>1.875</v>
      </c>
      <c r="C23" s="50">
        <f>C21/Inputs!$B$26</f>
        <v>0.6832851563</v>
      </c>
      <c r="D23" s="48">
        <f t="shared" si="2"/>
        <v>-1.191714844</v>
      </c>
      <c r="E23" s="6" t="s">
        <v>276</v>
      </c>
    </row>
    <row r="24" ht="15.75" customHeight="1">
      <c r="A24" s="6" t="s">
        <v>277</v>
      </c>
      <c r="B24" s="48">
        <f>B18*Inputs!$B$27/Inputs!$B$25</f>
        <v>0.8960573477</v>
      </c>
      <c r="C24" s="50">
        <f>C18*Inputs!$B$27/Inputs!$B$25</f>
        <v>0.3265400986</v>
      </c>
      <c r="D24" s="48">
        <f t="shared" si="2"/>
        <v>-0.5695172491</v>
      </c>
      <c r="E24" s="6" t="s">
        <v>280</v>
      </c>
    </row>
    <row r="25" ht="15.75" customHeight="1">
      <c r="A25" s="6" t="s">
        <v>281</v>
      </c>
      <c r="B25" s="25">
        <f>Inputs!$B$29*B18</f>
        <v>14400000</v>
      </c>
      <c r="C25" s="26">
        <f>Inputs!$B$29*C18</f>
        <v>5247630</v>
      </c>
      <c r="D25" s="28">
        <f t="shared" ref="D25:D26" si="3">C25/B25-1</f>
        <v>-0.63558125</v>
      </c>
      <c r="E25" s="6" t="s">
        <v>282</v>
      </c>
    </row>
    <row r="26" ht="15.75" customHeight="1">
      <c r="A26" s="6" t="s">
        <v>148</v>
      </c>
      <c r="B26" s="52">
        <f>Inputs!$B$30/B18</f>
        <v>21.66666667</v>
      </c>
      <c r="C26" s="53">
        <f>Inputs!$B$30/C18</f>
        <v>59.4554113</v>
      </c>
      <c r="D26" s="28">
        <f t="shared" si="3"/>
        <v>1.744095906</v>
      </c>
      <c r="E26" s="6" t="s">
        <v>293</v>
      </c>
    </row>
    <row r="27" ht="15.75" customHeight="1">
      <c r="A27" s="6" t="s">
        <v>294</v>
      </c>
      <c r="B27" s="28">
        <f>B26/Inputs!$B$31</f>
        <v>0.3009259259</v>
      </c>
      <c r="C27" s="45">
        <f>C26/Inputs!$B$31</f>
        <v>0.8257696014</v>
      </c>
      <c r="D27" s="28">
        <f>C27-B27</f>
        <v>0.5248436755</v>
      </c>
      <c r="E27" s="6" t="s">
        <v>295</v>
      </c>
    </row>
    <row r="28" ht="15.75" customHeight="1">
      <c r="A28" s="6" t="s">
        <v>155</v>
      </c>
      <c r="B28" s="52">
        <f>Inputs!$B$17/B18</f>
        <v>33.33333333</v>
      </c>
      <c r="C28" s="53">
        <f>Inputs!$B$17/C18</f>
        <v>91.46986354</v>
      </c>
      <c r="D28" s="28">
        <f t="shared" ref="D28:D29" si="4">C28/B28-1</f>
        <v>1.744095906</v>
      </c>
      <c r="E28" s="6" t="s">
        <v>297</v>
      </c>
    </row>
    <row r="29" ht="15.75" customHeight="1">
      <c r="A29" s="6" t="s">
        <v>298</v>
      </c>
      <c r="B29" s="52">
        <f>Inputs!$B$18/B18</f>
        <v>53.33333333</v>
      </c>
      <c r="C29" s="53">
        <f>Inputs!$B$18/C18</f>
        <v>146.3517817</v>
      </c>
      <c r="D29" s="28">
        <f t="shared" si="4"/>
        <v>1.744095906</v>
      </c>
      <c r="E29" s="6" t="s">
        <v>300</v>
      </c>
    </row>
    <row r="30" ht="15.75" customHeight="1">
      <c r="A30" s="6" t="s">
        <v>301</v>
      </c>
      <c r="B30" s="28">
        <f>B25/Inputs!$B$17</f>
        <v>0.72</v>
      </c>
      <c r="C30" s="45">
        <f>C25/Inputs!$B$17</f>
        <v>0.2623815</v>
      </c>
      <c r="D30" s="28">
        <f>C30-B30</f>
        <v>-0.4576185</v>
      </c>
      <c r="E30" s="6"/>
    </row>
    <row r="31" ht="15.75" customHeight="1"/>
    <row r="32" ht="15.75" customHeight="1">
      <c r="A32" s="4" t="s">
        <v>302</v>
      </c>
      <c r="B32" s="5"/>
      <c r="C32" s="5"/>
      <c r="D32" s="5"/>
      <c r="E32" s="5"/>
    </row>
    <row r="33" ht="15.75" customHeight="1">
      <c r="A33" s="3" t="s">
        <v>303</v>
      </c>
      <c r="B33" s="3" t="s">
        <v>304</v>
      </c>
      <c r="C33" s="3" t="s">
        <v>305</v>
      </c>
      <c r="D33" s="3" t="s">
        <v>306</v>
      </c>
    </row>
    <row r="34" ht="15.75" customHeight="1">
      <c r="A34" s="2" t="s">
        <v>307</v>
      </c>
      <c r="B34" s="54">
        <f>Inputs!$B$24</f>
        <v>200000</v>
      </c>
      <c r="C34" s="54">
        <f>Inputs!$B$26</f>
        <v>448000</v>
      </c>
      <c r="D34" s="54">
        <f>Inputs!$B$25</f>
        <v>837000</v>
      </c>
    </row>
    <row r="35" ht="15.75" customHeight="1">
      <c r="A35" s="55">
        <v>1.4</v>
      </c>
      <c r="B35" s="48">
        <f t="shared" ref="B35:D35" si="5">$A35*$B$12/B$34</f>
        <v>1.18055875</v>
      </c>
      <c r="C35" s="48">
        <f t="shared" si="5"/>
        <v>0.5270351563</v>
      </c>
      <c r="D35" s="48">
        <f t="shared" si="5"/>
        <v>0.2820928913</v>
      </c>
    </row>
    <row r="36" ht="15.75" customHeight="1">
      <c r="A36" s="55">
        <v>2.0</v>
      </c>
      <c r="B36" s="48">
        <f t="shared" ref="B36:D36" si="6">$A36*$B$12/B$34</f>
        <v>1.6865125</v>
      </c>
      <c r="C36" s="48">
        <f t="shared" si="6"/>
        <v>0.7529073661</v>
      </c>
      <c r="D36" s="48">
        <f t="shared" si="6"/>
        <v>0.4029898447</v>
      </c>
    </row>
    <row r="37" ht="15.75" customHeight="1">
      <c r="A37" s="55">
        <v>3.0</v>
      </c>
      <c r="B37" s="48">
        <f t="shared" ref="B37:D37" si="7">$A37*$B$12/B$34</f>
        <v>2.52976875</v>
      </c>
      <c r="C37" s="48">
        <f t="shared" si="7"/>
        <v>1.129361049</v>
      </c>
      <c r="D37" s="48">
        <f t="shared" si="7"/>
        <v>0.604484767</v>
      </c>
    </row>
    <row r="38" ht="15.75" customHeight="1">
      <c r="A38" s="55">
        <v>4.0</v>
      </c>
      <c r="B38" s="48">
        <f t="shared" ref="B38:D38" si="8">$A38*$B$12/B$34</f>
        <v>3.373025</v>
      </c>
      <c r="C38" s="48">
        <f t="shared" si="8"/>
        <v>1.505814732</v>
      </c>
      <c r="D38" s="48">
        <f t="shared" si="8"/>
        <v>0.8059796894</v>
      </c>
    </row>
    <row r="39" ht="15.75" customHeight="1">
      <c r="A39" s="2" t="s">
        <v>308</v>
      </c>
    </row>
    <row r="40" ht="15.75" customHeight="1"/>
    <row r="41" ht="15.75" customHeight="1">
      <c r="A41" s="4" t="s">
        <v>309</v>
      </c>
      <c r="B41" s="5"/>
      <c r="C41" s="5"/>
      <c r="D41" s="5"/>
      <c r="E41" s="5"/>
    </row>
    <row r="42" ht="15.75" customHeight="1">
      <c r="A42" s="3" t="s">
        <v>310</v>
      </c>
      <c r="B42" s="3" t="s">
        <v>311</v>
      </c>
      <c r="C42" s="3" t="s">
        <v>7</v>
      </c>
      <c r="D42" s="3" t="s">
        <v>312</v>
      </c>
    </row>
    <row r="43" ht="15.75" customHeight="1">
      <c r="A43" s="6" t="s">
        <v>313</v>
      </c>
      <c r="B43" s="56">
        <f>Inputs!$B$45*$B$12/Inputs!$B$26</f>
        <v>1.129361049</v>
      </c>
      <c r="C43" s="8" t="s">
        <v>314</v>
      </c>
      <c r="D43" s="6" t="s">
        <v>315</v>
      </c>
    </row>
    <row r="44" ht="15.75" customHeight="1">
      <c r="A44" s="6" t="s">
        <v>316</v>
      </c>
      <c r="B44" s="56">
        <f>Inputs!$B$45*$B$12/Inputs!$B$24</f>
        <v>2.52976875</v>
      </c>
      <c r="C44" s="8" t="s">
        <v>318</v>
      </c>
    </row>
    <row r="45" ht="15.75" customHeight="1">
      <c r="A45" s="6" t="s">
        <v>319</v>
      </c>
      <c r="B45" s="40">
        <f>Inputs!$B$44*(B8-B7)</f>
        <v>2821.25</v>
      </c>
      <c r="C45" s="8" t="s">
        <v>320</v>
      </c>
      <c r="D45" s="6" t="s">
        <v>322</v>
      </c>
    </row>
    <row r="46" ht="15.75" customHeight="1">
      <c r="A46" s="6" t="s">
        <v>323</v>
      </c>
      <c r="B46" s="40">
        <f>Inputs!$B$43*B9</f>
        <v>30736.25</v>
      </c>
      <c r="C46" s="8" t="s">
        <v>325</v>
      </c>
      <c r="D46" s="6" t="s">
        <v>326</v>
      </c>
    </row>
    <row r="47" ht="15.75" customHeight="1">
      <c r="A47" s="6" t="s">
        <v>327</v>
      </c>
      <c r="B47" s="60">
        <f>C26</f>
        <v>59.4554113</v>
      </c>
      <c r="C47" s="8" t="s">
        <v>329</v>
      </c>
      <c r="D47" s="6" t="s">
        <v>330</v>
      </c>
    </row>
    <row r="48" ht="15.75" customHeight="1"/>
    <row r="49" ht="15.75" customHeight="1">
      <c r="A49" s="4" t="s">
        <v>331</v>
      </c>
      <c r="B49" s="5"/>
      <c r="C49" s="5"/>
      <c r="D49" s="5"/>
      <c r="E49" s="5"/>
    </row>
    <row r="50" ht="15.75" customHeight="1">
      <c r="A50" s="3" t="s">
        <v>46</v>
      </c>
      <c r="B50" s="3" t="s">
        <v>332</v>
      </c>
      <c r="C50" s="3" t="s">
        <v>333</v>
      </c>
      <c r="D50" s="3" t="s">
        <v>8</v>
      </c>
    </row>
    <row r="51" ht="15.75" customHeight="1">
      <c r="A51" s="8" t="s">
        <v>31</v>
      </c>
      <c r="B51" s="23">
        <f>Pricing_Counseling!G5</f>
        <v>300000</v>
      </c>
      <c r="C51" s="25">
        <f>Inputs!$B$32/Inputs!$B$33</f>
        <v>500000</v>
      </c>
      <c r="D51" s="65" t="str">
        <f t="shared" ref="D51:D54" si="9">IF(B51&lt;=C51,"Dalam anggaran","Di atas anggaran")</f>
        <v>Dalam anggaran</v>
      </c>
    </row>
    <row r="52" ht="15.75" customHeight="1">
      <c r="A52" s="8" t="s">
        <v>33</v>
      </c>
      <c r="B52" s="23">
        <f>Pricing_Counseling!G6</f>
        <v>325000</v>
      </c>
      <c r="C52" s="25">
        <f>Inputs!$B$32/Inputs!$B$33</f>
        <v>500000</v>
      </c>
      <c r="D52" s="65" t="str">
        <f t="shared" si="9"/>
        <v>Dalam anggaran</v>
      </c>
    </row>
    <row r="53" ht="15.75" customHeight="1">
      <c r="A53" s="8" t="s">
        <v>35</v>
      </c>
      <c r="B53" s="23">
        <f>Pricing_Counseling!G7</f>
        <v>471250</v>
      </c>
      <c r="C53" s="25">
        <f>Inputs!$B$32/Inputs!$B$33</f>
        <v>500000</v>
      </c>
      <c r="D53" s="65" t="str">
        <f t="shared" si="9"/>
        <v>Dalam anggaran</v>
      </c>
    </row>
    <row r="54" ht="15.75" customHeight="1">
      <c r="A54" s="8" t="s">
        <v>37</v>
      </c>
      <c r="B54" s="23">
        <f>Pricing_Counseling!G8</f>
        <v>595000</v>
      </c>
      <c r="C54" s="25">
        <f>Inputs!$B$32/Inputs!$B$33</f>
        <v>500000</v>
      </c>
      <c r="D54" s="65" t="str">
        <f t="shared" si="9"/>
        <v>Di atas anggaran</v>
      </c>
    </row>
    <row r="55" ht="15.75" customHeight="1">
      <c r="A55" s="2" t="s">
        <v>337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2.0"/>
    <col customWidth="1" min="2" max="2" width="34.0"/>
    <col customWidth="1" min="3" max="3" width="70.0"/>
    <col customWidth="1" min="4" max="4" width="28.0"/>
    <col customWidth="1" min="5" max="5" width="24.0"/>
    <col customWidth="1" min="6" max="26" width="8.71"/>
  </cols>
  <sheetData>
    <row r="1">
      <c r="A1" s="1" t="s">
        <v>214</v>
      </c>
    </row>
    <row r="2">
      <c r="A2" s="2" t="s">
        <v>215</v>
      </c>
    </row>
    <row r="4">
      <c r="A4" s="3" t="s">
        <v>4</v>
      </c>
      <c r="B4" s="3" t="s">
        <v>216</v>
      </c>
      <c r="C4" s="3" t="s">
        <v>217</v>
      </c>
      <c r="D4" s="3" t="s">
        <v>219</v>
      </c>
      <c r="E4" s="3" t="s">
        <v>220</v>
      </c>
    </row>
    <row r="5">
      <c r="A5" s="6" t="s">
        <v>221</v>
      </c>
      <c r="B5" s="6" t="s">
        <v>222</v>
      </c>
      <c r="C5" s="6" t="s">
        <v>223</v>
      </c>
      <c r="D5" s="6" t="s">
        <v>225</v>
      </c>
      <c r="E5" s="46"/>
    </row>
    <row r="6">
      <c r="A6" s="6" t="s">
        <v>227</v>
      </c>
      <c r="B6" s="47">
        <f>Inputs!B6</f>
        <v>0.05</v>
      </c>
      <c r="C6" s="6" t="s">
        <v>231</v>
      </c>
      <c r="D6" s="6" t="s">
        <v>232</v>
      </c>
      <c r="E6" s="46"/>
    </row>
    <row r="7">
      <c r="A7" s="6" t="s">
        <v>234</v>
      </c>
      <c r="B7" s="6" t="s">
        <v>236</v>
      </c>
      <c r="C7" s="6" t="s">
        <v>238</v>
      </c>
      <c r="D7" s="6" t="s">
        <v>239</v>
      </c>
      <c r="E7" s="46"/>
    </row>
    <row r="8">
      <c r="A8" s="6" t="s">
        <v>240</v>
      </c>
      <c r="B8" s="49">
        <f>Inputs!B20</f>
        <v>50000</v>
      </c>
      <c r="C8" s="6" t="s">
        <v>242</v>
      </c>
      <c r="D8" s="6" t="s">
        <v>232</v>
      </c>
      <c r="E8" s="46"/>
    </row>
    <row r="9">
      <c r="A9" s="6" t="s">
        <v>243</v>
      </c>
      <c r="B9" s="6" t="s">
        <v>244</v>
      </c>
      <c r="C9" s="6" t="s">
        <v>245</v>
      </c>
      <c r="D9" s="6" t="s">
        <v>246</v>
      </c>
      <c r="E9" s="46"/>
    </row>
    <row r="10">
      <c r="A10" s="6" t="s">
        <v>247</v>
      </c>
      <c r="B10" s="6" t="s">
        <v>248</v>
      </c>
      <c r="C10" s="6" t="s">
        <v>249</v>
      </c>
      <c r="D10" s="6" t="s">
        <v>246</v>
      </c>
      <c r="E10" s="46"/>
    </row>
    <row r="11">
      <c r="A11" s="6" t="s">
        <v>251</v>
      </c>
      <c r="B11" s="6" t="s">
        <v>252</v>
      </c>
      <c r="C11" s="6" t="s">
        <v>253</v>
      </c>
      <c r="D11" s="6" t="s">
        <v>254</v>
      </c>
      <c r="E11" s="46"/>
    </row>
    <row r="12">
      <c r="A12" s="6" t="s">
        <v>255</v>
      </c>
      <c r="B12" s="6" t="s">
        <v>257</v>
      </c>
      <c r="C12" s="6" t="s">
        <v>258</v>
      </c>
      <c r="D12" s="6" t="s">
        <v>246</v>
      </c>
      <c r="E12" s="46"/>
    </row>
    <row r="13">
      <c r="A13" s="6" t="s">
        <v>260</v>
      </c>
      <c r="B13" s="6" t="s">
        <v>261</v>
      </c>
      <c r="C13" s="6" t="s">
        <v>262</v>
      </c>
      <c r="D13" s="6" t="s">
        <v>263</v>
      </c>
      <c r="E13" s="46"/>
    </row>
    <row r="14">
      <c r="A14" s="6" t="s">
        <v>265</v>
      </c>
      <c r="B14" s="6" t="s">
        <v>266</v>
      </c>
      <c r="C14" s="6" t="s">
        <v>267</v>
      </c>
      <c r="D14" s="6" t="s">
        <v>268</v>
      </c>
      <c r="E14" s="46"/>
    </row>
    <row r="15">
      <c r="A15" s="6" t="s">
        <v>269</v>
      </c>
      <c r="B15" s="6" t="s">
        <v>270</v>
      </c>
      <c r="C15" s="6" t="s">
        <v>271</v>
      </c>
      <c r="D15" s="6" t="s">
        <v>254</v>
      </c>
      <c r="E15" s="4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3.0"/>
    <col customWidth="1" min="2" max="2" width="30.14"/>
    <col customWidth="1" min="3" max="4" width="17.29"/>
    <col customWidth="1" min="5" max="5" width="21.57"/>
    <col customWidth="1" min="6" max="7" width="15.14"/>
    <col customWidth="1" min="8" max="8" width="77.29"/>
  </cols>
  <sheetData>
    <row r="1">
      <c r="A1" s="57" t="s">
        <v>317</v>
      </c>
      <c r="B1" s="58"/>
      <c r="C1" s="58"/>
      <c r="D1" s="58"/>
      <c r="E1" s="58"/>
      <c r="F1" s="58"/>
      <c r="G1" s="58"/>
      <c r="H1" s="58"/>
    </row>
    <row r="2">
      <c r="A2" s="59" t="s">
        <v>321</v>
      </c>
      <c r="B2" s="58"/>
      <c r="C2" s="58"/>
      <c r="D2" s="58"/>
      <c r="E2" s="58"/>
      <c r="F2" s="58"/>
      <c r="G2" s="58"/>
      <c r="H2" s="58"/>
    </row>
    <row r="3">
      <c r="A3" s="59" t="s">
        <v>324</v>
      </c>
      <c r="B3" s="58"/>
      <c r="C3" s="58"/>
      <c r="D3" s="58"/>
      <c r="E3" s="58"/>
      <c r="F3" s="58"/>
      <c r="G3" s="58"/>
      <c r="H3" s="58"/>
    </row>
    <row r="4">
      <c r="A4" s="58"/>
      <c r="B4" s="58"/>
      <c r="C4" s="58"/>
      <c r="D4" s="58"/>
      <c r="E4" s="58"/>
      <c r="F4" s="58"/>
      <c r="G4" s="58"/>
      <c r="H4" s="58"/>
    </row>
    <row r="5">
      <c r="A5" s="61" t="s">
        <v>328</v>
      </c>
      <c r="B5" s="62"/>
      <c r="C5" s="62"/>
      <c r="D5" s="62"/>
      <c r="E5" s="62"/>
      <c r="F5" s="62"/>
      <c r="G5" s="62"/>
      <c r="H5" s="62"/>
    </row>
    <row r="6">
      <c r="A6" s="63" t="s">
        <v>334</v>
      </c>
      <c r="B6" s="64"/>
      <c r="C6" s="66">
        <f>AVERAGE(F15:F18)</f>
        <v>0.2946760983</v>
      </c>
      <c r="D6" s="64"/>
      <c r="E6" s="64"/>
      <c r="F6" s="64"/>
      <c r="G6" s="64"/>
      <c r="H6" s="64" t="str">
        <f t="shared" ref="H6:H11" si="1">IF(C6&gt;0,"TJ lebih mahal","TJ lebih murah")</f>
        <v>TJ lebih mahal</v>
      </c>
    </row>
    <row r="7">
      <c r="A7" s="63" t="s">
        <v>335</v>
      </c>
      <c r="B7" s="64"/>
      <c r="C7" s="66">
        <f>AVERAGE(F21:F24)</f>
        <v>-0.09515958313</v>
      </c>
      <c r="D7" s="64"/>
      <c r="E7" s="64"/>
      <c r="F7" s="64"/>
      <c r="G7" s="64"/>
      <c r="H7" s="64" t="str">
        <f t="shared" si="1"/>
        <v>TJ lebih murah</v>
      </c>
    </row>
    <row r="8">
      <c r="A8" s="63" t="s">
        <v>336</v>
      </c>
      <c r="B8" s="64"/>
      <c r="C8" s="66">
        <f>AVERAGE(G21:G24)</f>
        <v>0.2084788267</v>
      </c>
      <c r="D8" s="64"/>
      <c r="E8" s="64"/>
      <c r="F8" s="64"/>
      <c r="G8" s="64"/>
      <c r="H8" s="64" t="str">
        <f t="shared" si="1"/>
        <v>TJ lebih mahal</v>
      </c>
    </row>
    <row r="9">
      <c r="A9" s="63" t="s">
        <v>338</v>
      </c>
      <c r="B9" s="64"/>
      <c r="C9" s="66">
        <f>AVERAGE(F27:F30)</f>
        <v>-0.1994382022</v>
      </c>
      <c r="D9" s="64"/>
      <c r="E9" s="64"/>
      <c r="F9" s="64"/>
      <c r="G9" s="64"/>
      <c r="H9" s="64" t="str">
        <f t="shared" si="1"/>
        <v>TJ lebih murah</v>
      </c>
    </row>
    <row r="10">
      <c r="A10" s="63" t="s">
        <v>339</v>
      </c>
      <c r="B10" s="64"/>
      <c r="C10" s="66">
        <f>AVERAGE(F33:F36,F39:F42)</f>
        <v>-0.6321212121</v>
      </c>
      <c r="D10" s="64"/>
      <c r="E10" s="64"/>
      <c r="F10" s="64"/>
      <c r="G10" s="64"/>
      <c r="H10" s="64" t="str">
        <f t="shared" si="1"/>
        <v>TJ lebih murah</v>
      </c>
    </row>
    <row r="11">
      <c r="A11" s="63" t="s">
        <v>340</v>
      </c>
      <c r="B11" s="64"/>
      <c r="C11" s="66">
        <f>AVERAGE(F45:F48)</f>
        <v>0.4402173913</v>
      </c>
      <c r="D11" s="64"/>
      <c r="E11" s="64"/>
      <c r="F11" s="64"/>
      <c r="G11" s="64"/>
      <c r="H11" s="64" t="str">
        <f t="shared" si="1"/>
        <v>TJ lebih mahal</v>
      </c>
    </row>
    <row r="12">
      <c r="A12" s="58"/>
      <c r="B12" s="58"/>
      <c r="C12" s="58"/>
      <c r="D12" s="58"/>
      <c r="E12" s="58"/>
      <c r="F12" s="58"/>
      <c r="G12" s="58"/>
      <c r="H12" s="58"/>
    </row>
    <row r="13">
      <c r="A13" s="61" t="s">
        <v>341</v>
      </c>
      <c r="B13" s="62"/>
      <c r="C13" s="62"/>
      <c r="D13" s="62"/>
      <c r="E13" s="62"/>
      <c r="F13" s="62"/>
      <c r="G13" s="62"/>
      <c r="H13" s="62"/>
    </row>
    <row r="14">
      <c r="A14" s="67" t="s">
        <v>41</v>
      </c>
      <c r="B14" s="67" t="s">
        <v>342</v>
      </c>
      <c r="C14" s="67" t="s">
        <v>343</v>
      </c>
      <c r="D14" s="67" t="s">
        <v>344</v>
      </c>
      <c r="E14" s="67" t="s">
        <v>345</v>
      </c>
      <c r="F14" s="67" t="s">
        <v>346</v>
      </c>
      <c r="G14" s="67" t="s">
        <v>347</v>
      </c>
      <c r="H14" s="67" t="s">
        <v>348</v>
      </c>
    </row>
    <row r="15">
      <c r="A15" s="63" t="s">
        <v>349</v>
      </c>
      <c r="B15" s="63" t="s">
        <v>31</v>
      </c>
      <c r="C15" s="68">
        <f>Pricing_Counseling!E5</f>
        <v>500000</v>
      </c>
      <c r="D15" s="69">
        <v>395000.0</v>
      </c>
      <c r="E15" s="69" t="s">
        <v>270</v>
      </c>
      <c r="F15" s="70">
        <f t="shared" ref="F15:F18" si="2">IF(ISNUMBER(D15),C15/D15-1,"")</f>
        <v>0.2658227848</v>
      </c>
      <c r="G15" s="70" t="str">
        <f t="shared" ref="G15:G18" si="3">IF(ISNUMBER(E15),C15/E15-1,"")</f>
        <v/>
      </c>
      <c r="H15" s="71" t="s">
        <v>350</v>
      </c>
    </row>
    <row r="16">
      <c r="A16" s="64"/>
      <c r="B16" s="63" t="s">
        <v>33</v>
      </c>
      <c r="C16" s="68">
        <f>Pricing_Counseling!E6</f>
        <v>500000</v>
      </c>
      <c r="D16" s="69">
        <v>395000.0</v>
      </c>
      <c r="E16" s="69" t="s">
        <v>270</v>
      </c>
      <c r="F16" s="70">
        <f t="shared" si="2"/>
        <v>0.2658227848</v>
      </c>
      <c r="G16" s="70" t="str">
        <f t="shared" si="3"/>
        <v/>
      </c>
      <c r="H16" s="71" t="s">
        <v>351</v>
      </c>
    </row>
    <row r="17">
      <c r="A17" s="64"/>
      <c r="B17" s="63" t="s">
        <v>35</v>
      </c>
      <c r="C17" s="68">
        <f>Pricing_Counseling!E7</f>
        <v>725000</v>
      </c>
      <c r="D17" s="69">
        <v>595000.0</v>
      </c>
      <c r="E17" s="69" t="s">
        <v>270</v>
      </c>
      <c r="F17" s="70">
        <f t="shared" si="2"/>
        <v>0.218487395</v>
      </c>
      <c r="G17" s="70" t="str">
        <f t="shared" si="3"/>
        <v/>
      </c>
      <c r="H17" s="71" t="s">
        <v>352</v>
      </c>
    </row>
    <row r="18">
      <c r="A18" s="64"/>
      <c r="B18" s="63" t="s">
        <v>37</v>
      </c>
      <c r="C18" s="68">
        <f>Pricing_Counseling!E8</f>
        <v>850000</v>
      </c>
      <c r="D18" s="69">
        <v>595000.0</v>
      </c>
      <c r="E18" s="69" t="s">
        <v>270</v>
      </c>
      <c r="F18" s="70">
        <f t="shared" si="2"/>
        <v>0.4285714286</v>
      </c>
      <c r="G18" s="70" t="str">
        <f t="shared" si="3"/>
        <v/>
      </c>
      <c r="H18" s="71" t="s">
        <v>353</v>
      </c>
    </row>
    <row r="19">
      <c r="A19" s="72" t="s">
        <v>354</v>
      </c>
      <c r="B19" s="73"/>
      <c r="C19" s="74"/>
      <c r="D19" s="74"/>
      <c r="E19" s="74"/>
      <c r="F19" s="75"/>
      <c r="G19" s="75"/>
      <c r="H19" s="76"/>
    </row>
    <row r="20">
      <c r="A20" s="77" t="s">
        <v>41</v>
      </c>
      <c r="B20" s="77" t="s">
        <v>342</v>
      </c>
      <c r="C20" s="78" t="s">
        <v>343</v>
      </c>
      <c r="D20" s="78" t="s">
        <v>344</v>
      </c>
      <c r="E20" s="78" t="s">
        <v>345</v>
      </c>
      <c r="F20" s="79" t="s">
        <v>346</v>
      </c>
      <c r="G20" s="79" t="s">
        <v>347</v>
      </c>
      <c r="H20" s="77" t="s">
        <v>348</v>
      </c>
    </row>
    <row r="21">
      <c r="A21" s="63" t="s">
        <v>355</v>
      </c>
      <c r="B21" s="63" t="s">
        <v>31</v>
      </c>
      <c r="C21" s="68">
        <f>Pricing_Counseling!E9</f>
        <v>580000</v>
      </c>
      <c r="D21" s="69">
        <v>690000.0</v>
      </c>
      <c r="E21" s="69">
        <v>469000.0</v>
      </c>
      <c r="F21" s="70">
        <f t="shared" ref="F21:F24" si="4">IF(ISNUMBER(D21),C21/D21-1,"")</f>
        <v>-0.1594202899</v>
      </c>
      <c r="G21" s="70">
        <f t="shared" ref="G21:G24" si="5">IF(ISNUMBER(E21),C21/E21-1,"")</f>
        <v>0.236673774</v>
      </c>
      <c r="H21" s="71" t="s">
        <v>356</v>
      </c>
    </row>
    <row r="22">
      <c r="A22" s="64"/>
      <c r="B22" s="63" t="s">
        <v>33</v>
      </c>
      <c r="C22" s="68">
        <f>Pricing_Counseling!E10</f>
        <v>580000</v>
      </c>
      <c r="D22" s="69">
        <v>690000.0</v>
      </c>
      <c r="E22" s="69">
        <v>469000.0</v>
      </c>
      <c r="F22" s="70">
        <f t="shared" si="4"/>
        <v>-0.1594202899</v>
      </c>
      <c r="G22" s="70">
        <f t="shared" si="5"/>
        <v>0.236673774</v>
      </c>
      <c r="H22" s="71" t="s">
        <v>357</v>
      </c>
    </row>
    <row r="23">
      <c r="A23" s="64"/>
      <c r="B23" s="63" t="s">
        <v>35</v>
      </c>
      <c r="C23" s="68">
        <f>Pricing_Counseling!E11</f>
        <v>800000</v>
      </c>
      <c r="D23" s="80">
        <v>890000.0</v>
      </c>
      <c r="E23" s="69">
        <v>569000.0</v>
      </c>
      <c r="F23" s="70">
        <f t="shared" si="4"/>
        <v>-0.1011235955</v>
      </c>
      <c r="G23" s="70">
        <f t="shared" si="5"/>
        <v>0.4059753954</v>
      </c>
      <c r="H23" s="71" t="s">
        <v>358</v>
      </c>
    </row>
    <row r="24">
      <c r="A24" s="64"/>
      <c r="B24" s="63" t="s">
        <v>37</v>
      </c>
      <c r="C24" s="68">
        <f>Pricing_Counseling!E12</f>
        <v>925000</v>
      </c>
      <c r="D24" s="80">
        <v>890000.0</v>
      </c>
      <c r="E24" s="69">
        <v>969000.0</v>
      </c>
      <c r="F24" s="70">
        <f t="shared" si="4"/>
        <v>0.0393258427</v>
      </c>
      <c r="G24" s="70">
        <f t="shared" si="5"/>
        <v>-0.04540763674</v>
      </c>
      <c r="H24" s="71" t="s">
        <v>359</v>
      </c>
    </row>
    <row r="25">
      <c r="A25" s="72" t="s">
        <v>360</v>
      </c>
      <c r="B25" s="73"/>
      <c r="C25" s="74"/>
      <c r="D25" s="74"/>
      <c r="E25" s="74"/>
      <c r="F25" s="75"/>
      <c r="G25" s="75"/>
      <c r="H25" s="76"/>
    </row>
    <row r="26">
      <c r="A26" s="77" t="s">
        <v>41</v>
      </c>
      <c r="B26" s="77" t="s">
        <v>342</v>
      </c>
      <c r="C26" s="78" t="s">
        <v>343</v>
      </c>
      <c r="D26" s="78" t="s">
        <v>344</v>
      </c>
      <c r="E26" s="78" t="s">
        <v>345</v>
      </c>
      <c r="F26" s="79" t="s">
        <v>346</v>
      </c>
      <c r="G26" s="79" t="s">
        <v>347</v>
      </c>
      <c r="H26" s="77" t="s">
        <v>348</v>
      </c>
    </row>
    <row r="27">
      <c r="A27" s="63" t="s">
        <v>361</v>
      </c>
      <c r="B27" s="63" t="s">
        <v>31</v>
      </c>
      <c r="C27" s="68">
        <f>Pricing_Counseling!E13/(90/60)</f>
        <v>533333.3333</v>
      </c>
      <c r="D27" s="69">
        <v>890000.0</v>
      </c>
      <c r="E27" s="69" t="s">
        <v>270</v>
      </c>
      <c r="F27" s="70">
        <f t="shared" ref="F27:F30" si="6">IF(ISNUMBER(D27),C27/D27-1,"")</f>
        <v>-0.4007490637</v>
      </c>
      <c r="G27" s="70" t="str">
        <f t="shared" ref="G27:G30" si="7">IF(ISNUMBER(E27),C27/E27-1,"")</f>
        <v/>
      </c>
      <c r="H27" s="71" t="s">
        <v>362</v>
      </c>
    </row>
    <row r="28">
      <c r="A28" s="64"/>
      <c r="B28" s="63" t="s">
        <v>33</v>
      </c>
      <c r="C28" s="68">
        <f>Pricing_Counseling!E14/(90/60)</f>
        <v>633333.3333</v>
      </c>
      <c r="D28" s="69">
        <v>890000.0</v>
      </c>
      <c r="E28" s="69" t="s">
        <v>270</v>
      </c>
      <c r="F28" s="70">
        <f t="shared" si="6"/>
        <v>-0.2883895131</v>
      </c>
      <c r="G28" s="70" t="str">
        <f t="shared" si="7"/>
        <v/>
      </c>
      <c r="H28" s="81"/>
    </row>
    <row r="29">
      <c r="A29" s="64"/>
      <c r="B29" s="63" t="s">
        <v>35</v>
      </c>
      <c r="C29" s="68">
        <f>Pricing_Counseling!E15/(90/60)</f>
        <v>733333.3333</v>
      </c>
      <c r="D29" s="69">
        <v>890000.0</v>
      </c>
      <c r="E29" s="69" t="s">
        <v>270</v>
      </c>
      <c r="F29" s="70">
        <f t="shared" si="6"/>
        <v>-0.1760299625</v>
      </c>
      <c r="G29" s="70" t="str">
        <f t="shared" si="7"/>
        <v/>
      </c>
      <c r="H29" s="81"/>
    </row>
    <row r="30">
      <c r="A30" s="64"/>
      <c r="B30" s="63" t="s">
        <v>37</v>
      </c>
      <c r="C30" s="68">
        <f>Pricing_Counseling!E16/(90/60)</f>
        <v>950000</v>
      </c>
      <c r="D30" s="69">
        <v>890000.0</v>
      </c>
      <c r="E30" s="69" t="s">
        <v>270</v>
      </c>
      <c r="F30" s="70">
        <f t="shared" si="6"/>
        <v>0.06741573034</v>
      </c>
      <c r="G30" s="70" t="str">
        <f t="shared" si="7"/>
        <v/>
      </c>
      <c r="H30" s="81"/>
    </row>
    <row r="31">
      <c r="A31" s="72" t="s">
        <v>363</v>
      </c>
      <c r="B31" s="73"/>
      <c r="C31" s="74"/>
      <c r="D31" s="74"/>
      <c r="E31" s="74"/>
      <c r="F31" s="75"/>
      <c r="G31" s="75"/>
      <c r="H31" s="76"/>
    </row>
    <row r="32">
      <c r="A32" s="77" t="s">
        <v>41</v>
      </c>
      <c r="B32" s="77" t="s">
        <v>342</v>
      </c>
      <c r="C32" s="78" t="s">
        <v>343</v>
      </c>
      <c r="D32" s="78" t="s">
        <v>344</v>
      </c>
      <c r="E32" s="78" t="s">
        <v>345</v>
      </c>
      <c r="F32" s="79" t="s">
        <v>346</v>
      </c>
      <c r="G32" s="79" t="s">
        <v>347</v>
      </c>
      <c r="H32" s="77" t="s">
        <v>348</v>
      </c>
    </row>
    <row r="33">
      <c r="A33" s="63" t="s">
        <v>364</v>
      </c>
      <c r="B33" s="63" t="s">
        <v>31</v>
      </c>
      <c r="C33" s="68">
        <f>Pricing_Counseling!E17</f>
        <v>2200000</v>
      </c>
      <c r="D33" s="69">
        <v>5500000.0</v>
      </c>
      <c r="E33" s="69" t="s">
        <v>270</v>
      </c>
      <c r="F33" s="70">
        <f t="shared" ref="F33:F36" si="8">IF(ISNUMBER(D33),C33/D33-1,"")</f>
        <v>-0.6</v>
      </c>
      <c r="G33" s="70" t="str">
        <f t="shared" ref="G33:G36" si="9">IF(ISNUMBER(E33),C33/E33-1,"")</f>
        <v/>
      </c>
      <c r="H33" s="71" t="s">
        <v>365</v>
      </c>
    </row>
    <row r="34">
      <c r="A34" s="64"/>
      <c r="B34" s="63" t="s">
        <v>33</v>
      </c>
      <c r="C34" s="68">
        <f>Pricing_Counseling!E18</f>
        <v>2600000</v>
      </c>
      <c r="D34" s="69">
        <v>5500000.0</v>
      </c>
      <c r="E34" s="69" t="s">
        <v>270</v>
      </c>
      <c r="F34" s="70">
        <f t="shared" si="8"/>
        <v>-0.5272727273</v>
      </c>
      <c r="G34" s="70" t="str">
        <f t="shared" si="9"/>
        <v/>
      </c>
      <c r="H34" s="71" t="s">
        <v>366</v>
      </c>
    </row>
    <row r="35">
      <c r="A35" s="64"/>
      <c r="B35" s="63" t="s">
        <v>35</v>
      </c>
      <c r="C35" s="68">
        <f>Pricing_Counseling!E19</f>
        <v>2900000</v>
      </c>
      <c r="D35" s="69">
        <v>7500000.0</v>
      </c>
      <c r="E35" s="69" t="s">
        <v>270</v>
      </c>
      <c r="F35" s="70">
        <f t="shared" si="8"/>
        <v>-0.6133333333</v>
      </c>
      <c r="G35" s="70" t="str">
        <f t="shared" si="9"/>
        <v/>
      </c>
      <c r="H35" s="71" t="s">
        <v>367</v>
      </c>
    </row>
    <row r="36">
      <c r="A36" s="64"/>
      <c r="B36" s="63" t="s">
        <v>37</v>
      </c>
      <c r="C36" s="68">
        <f>Pricing_Counseling!E20</f>
        <v>3800000</v>
      </c>
      <c r="D36" s="69">
        <v>7500000.0</v>
      </c>
      <c r="E36" s="69" t="s">
        <v>270</v>
      </c>
      <c r="F36" s="70">
        <f t="shared" si="8"/>
        <v>-0.4933333333</v>
      </c>
      <c r="G36" s="70" t="str">
        <f t="shared" si="9"/>
        <v/>
      </c>
      <c r="H36" s="81"/>
    </row>
    <row r="37">
      <c r="A37" s="72" t="s">
        <v>368</v>
      </c>
      <c r="B37" s="73"/>
      <c r="C37" s="74"/>
      <c r="D37" s="74"/>
      <c r="E37" s="74"/>
      <c r="F37" s="75"/>
      <c r="G37" s="75"/>
      <c r="H37" s="76"/>
    </row>
    <row r="38">
      <c r="A38" s="77" t="s">
        <v>41</v>
      </c>
      <c r="B38" s="77" t="s">
        <v>342</v>
      </c>
      <c r="C38" s="78" t="s">
        <v>343</v>
      </c>
      <c r="D38" s="78" t="s">
        <v>344</v>
      </c>
      <c r="E38" s="78" t="s">
        <v>345</v>
      </c>
      <c r="F38" s="79" t="s">
        <v>346</v>
      </c>
      <c r="G38" s="79" t="s">
        <v>347</v>
      </c>
      <c r="H38" s="77" t="s">
        <v>348</v>
      </c>
    </row>
    <row r="39">
      <c r="A39" s="63" t="s">
        <v>369</v>
      </c>
      <c r="B39" s="63" t="s">
        <v>31</v>
      </c>
      <c r="C39" s="82">
        <f>Pricing_Counseling!E21</f>
        <v>1400000</v>
      </c>
      <c r="D39" s="69">
        <v>5500000.0</v>
      </c>
      <c r="E39" s="69" t="s">
        <v>270</v>
      </c>
      <c r="F39" s="70">
        <f t="shared" ref="F39:F42" si="10">IF(ISNUMBER(D39),C39/D39-1,"")</f>
        <v>-0.7454545455</v>
      </c>
      <c r="G39" s="70" t="str">
        <f t="shared" ref="G39:G42" si="11">IF(ISNUMBER(E39),C39/E39-1,"")</f>
        <v/>
      </c>
      <c r="H39" s="71" t="s">
        <v>370</v>
      </c>
    </row>
    <row r="40">
      <c r="A40" s="64"/>
      <c r="B40" s="63" t="s">
        <v>33</v>
      </c>
      <c r="C40" s="82">
        <f>Pricing_Counseling!E22</f>
        <v>1700000</v>
      </c>
      <c r="D40" s="69">
        <v>5500000.0</v>
      </c>
      <c r="E40" s="69" t="s">
        <v>270</v>
      </c>
      <c r="F40" s="70">
        <f t="shared" si="10"/>
        <v>-0.6909090909</v>
      </c>
      <c r="G40" s="70" t="str">
        <f t="shared" si="11"/>
        <v/>
      </c>
      <c r="H40" s="81"/>
    </row>
    <row r="41">
      <c r="A41" s="64"/>
      <c r="B41" s="63" t="s">
        <v>35</v>
      </c>
      <c r="C41" s="82">
        <f>Pricing_Counseling!E23</f>
        <v>2000000</v>
      </c>
      <c r="D41" s="69">
        <v>7500000.0</v>
      </c>
      <c r="E41" s="69" t="s">
        <v>270</v>
      </c>
      <c r="F41" s="70">
        <f t="shared" si="10"/>
        <v>-0.7333333333</v>
      </c>
      <c r="G41" s="70" t="str">
        <f t="shared" si="11"/>
        <v/>
      </c>
      <c r="H41" s="81"/>
    </row>
    <row r="42">
      <c r="A42" s="64"/>
      <c r="B42" s="63" t="s">
        <v>37</v>
      </c>
      <c r="C42" s="82">
        <f>Pricing_Counseling!E24</f>
        <v>2600000</v>
      </c>
      <c r="D42" s="69">
        <v>7500000.0</v>
      </c>
      <c r="E42" s="69" t="s">
        <v>270</v>
      </c>
      <c r="F42" s="70">
        <f t="shared" si="10"/>
        <v>-0.6533333333</v>
      </c>
      <c r="G42" s="70" t="str">
        <f t="shared" si="11"/>
        <v/>
      </c>
      <c r="H42" s="81"/>
    </row>
    <row r="43">
      <c r="A43" s="72" t="s">
        <v>371</v>
      </c>
      <c r="B43" s="73"/>
      <c r="C43" s="74"/>
      <c r="D43" s="74"/>
      <c r="E43" s="74"/>
      <c r="F43" s="75"/>
      <c r="G43" s="75"/>
      <c r="H43" s="76"/>
    </row>
    <row r="44">
      <c r="A44" s="77" t="s">
        <v>41</v>
      </c>
      <c r="B44" s="77" t="s">
        <v>342</v>
      </c>
      <c r="C44" s="78" t="s">
        <v>343</v>
      </c>
      <c r="D44" s="78" t="s">
        <v>344</v>
      </c>
      <c r="E44" s="78" t="s">
        <v>345</v>
      </c>
      <c r="F44" s="79" t="s">
        <v>346</v>
      </c>
      <c r="G44" s="79" t="s">
        <v>347</v>
      </c>
      <c r="H44" s="77" t="s">
        <v>348</v>
      </c>
    </row>
    <row r="45">
      <c r="A45" s="63" t="s">
        <v>372</v>
      </c>
      <c r="B45" s="63" t="s">
        <v>31</v>
      </c>
      <c r="C45" s="68">
        <f>Pricing_Counseling!E25</f>
        <v>750000</v>
      </c>
      <c r="D45" s="69">
        <v>690000.0</v>
      </c>
      <c r="E45" s="69" t="s">
        <v>270</v>
      </c>
      <c r="F45" s="70">
        <f t="shared" ref="F45:F48" si="12">IF(ISNUMBER(D45),C45/D45-1,"")</f>
        <v>0.08695652174</v>
      </c>
      <c r="G45" s="70" t="str">
        <f t="shared" ref="G45:G48" si="13">IF(ISNUMBER(E45),C45/E45-1,"")</f>
        <v/>
      </c>
      <c r="H45" s="71" t="s">
        <v>373</v>
      </c>
    </row>
    <row r="46">
      <c r="A46" s="64"/>
      <c r="B46" s="63" t="s">
        <v>33</v>
      </c>
      <c r="C46" s="68">
        <f>Pricing_Counseling!E26</f>
        <v>900000</v>
      </c>
      <c r="D46" s="69">
        <v>690000.0</v>
      </c>
      <c r="E46" s="69" t="s">
        <v>270</v>
      </c>
      <c r="F46" s="70">
        <f t="shared" si="12"/>
        <v>0.3043478261</v>
      </c>
      <c r="G46" s="70" t="str">
        <f t="shared" si="13"/>
        <v/>
      </c>
      <c r="H46" s="81"/>
    </row>
    <row r="47">
      <c r="A47" s="64"/>
      <c r="B47" s="63" t="s">
        <v>35</v>
      </c>
      <c r="C47" s="68">
        <f>Pricing_Counseling!E27</f>
        <v>1000000</v>
      </c>
      <c r="D47" s="69">
        <v>690000.0</v>
      </c>
      <c r="E47" s="69" t="s">
        <v>270</v>
      </c>
      <c r="F47" s="70">
        <f t="shared" si="12"/>
        <v>0.4492753623</v>
      </c>
      <c r="G47" s="70" t="str">
        <f t="shared" si="13"/>
        <v/>
      </c>
      <c r="H47" s="81"/>
    </row>
    <row r="48">
      <c r="A48" s="64"/>
      <c r="B48" s="63" t="s">
        <v>37</v>
      </c>
      <c r="C48" s="68">
        <f>Pricing_Counseling!E28</f>
        <v>1325000</v>
      </c>
      <c r="D48" s="69">
        <v>690000.0</v>
      </c>
      <c r="E48" s="69">
        <v>1500000.0</v>
      </c>
      <c r="F48" s="70">
        <f t="shared" si="12"/>
        <v>0.9202898551</v>
      </c>
      <c r="G48" s="70">
        <f t="shared" si="13"/>
        <v>-0.1166666667</v>
      </c>
      <c r="H48" s="71" t="s">
        <v>374</v>
      </c>
    </row>
    <row r="49">
      <c r="A49" s="72" t="s">
        <v>375</v>
      </c>
      <c r="B49" s="73"/>
      <c r="C49" s="74"/>
      <c r="D49" s="74"/>
      <c r="E49" s="74"/>
      <c r="F49" s="75"/>
      <c r="G49" s="75"/>
      <c r="H49" s="76"/>
    </row>
    <row r="50">
      <c r="A50" s="77" t="s">
        <v>41</v>
      </c>
      <c r="B50" s="77" t="s">
        <v>342</v>
      </c>
      <c r="C50" s="78" t="s">
        <v>343</v>
      </c>
      <c r="D50" s="78" t="s">
        <v>344</v>
      </c>
      <c r="E50" s="78" t="s">
        <v>345</v>
      </c>
      <c r="F50" s="79" t="s">
        <v>346</v>
      </c>
      <c r="G50" s="79" t="s">
        <v>347</v>
      </c>
      <c r="H50" s="77" t="s">
        <v>348</v>
      </c>
    </row>
    <row r="51">
      <c r="A51" s="63" t="s">
        <v>376</v>
      </c>
      <c r="B51" s="63" t="s">
        <v>31</v>
      </c>
      <c r="C51" s="68">
        <f>Pricing_Counseling!E29</f>
        <v>675000</v>
      </c>
      <c r="D51" s="69">
        <v>450000.0</v>
      </c>
      <c r="E51" s="69" t="s">
        <v>270</v>
      </c>
      <c r="F51" s="70">
        <f t="shared" ref="F51:F54" si="14">IF(ISNUMBER(D51),C51/D51-1,"")</f>
        <v>0.5</v>
      </c>
      <c r="G51" s="70" t="str">
        <f t="shared" ref="G51:G54" si="15">IF(ISNUMBER(E51),C51/E51-1,"")</f>
        <v/>
      </c>
      <c r="H51" s="71" t="s">
        <v>377</v>
      </c>
    </row>
    <row r="52">
      <c r="A52" s="64"/>
      <c r="B52" s="63" t="s">
        <v>33</v>
      </c>
      <c r="C52" s="68">
        <f>Pricing_Counseling!E30</f>
        <v>800000</v>
      </c>
      <c r="D52" s="69">
        <v>450000.0</v>
      </c>
      <c r="E52" s="69" t="s">
        <v>270</v>
      </c>
      <c r="F52" s="70">
        <f t="shared" si="14"/>
        <v>0.7777777778</v>
      </c>
      <c r="G52" s="70" t="str">
        <f t="shared" si="15"/>
        <v/>
      </c>
      <c r="H52" s="81"/>
    </row>
    <row r="53">
      <c r="A53" s="64"/>
      <c r="B53" s="63" t="s">
        <v>35</v>
      </c>
      <c r="C53" s="68">
        <f>Pricing_Counseling!E31</f>
        <v>900000</v>
      </c>
      <c r="D53" s="69">
        <v>450000.0</v>
      </c>
      <c r="E53" s="69" t="s">
        <v>270</v>
      </c>
      <c r="F53" s="70">
        <f t="shared" si="14"/>
        <v>1</v>
      </c>
      <c r="G53" s="70" t="str">
        <f t="shared" si="15"/>
        <v/>
      </c>
      <c r="H53" s="81"/>
    </row>
    <row r="54">
      <c r="A54" s="64"/>
      <c r="B54" s="63" t="s">
        <v>37</v>
      </c>
      <c r="C54" s="68">
        <f>Pricing_Counseling!E32</f>
        <v>1200000</v>
      </c>
      <c r="D54" s="69">
        <v>450000.0</v>
      </c>
      <c r="E54" s="69" t="s">
        <v>270</v>
      </c>
      <c r="F54" s="70">
        <f t="shared" si="14"/>
        <v>1.666666667</v>
      </c>
      <c r="G54" s="70" t="str">
        <f t="shared" si="15"/>
        <v/>
      </c>
      <c r="H54" s="81"/>
    </row>
    <row r="55">
      <c r="A55" s="72" t="s">
        <v>378</v>
      </c>
      <c r="B55" s="73"/>
      <c r="C55" s="74"/>
      <c r="D55" s="74"/>
      <c r="E55" s="74"/>
      <c r="F55" s="75"/>
      <c r="G55" s="75"/>
      <c r="H55" s="76"/>
    </row>
    <row r="56">
      <c r="A56" s="77" t="s">
        <v>41</v>
      </c>
      <c r="B56" s="77" t="s">
        <v>342</v>
      </c>
      <c r="C56" s="78" t="s">
        <v>343</v>
      </c>
      <c r="D56" s="78" t="s">
        <v>344</v>
      </c>
      <c r="E56" s="78" t="s">
        <v>345</v>
      </c>
      <c r="F56" s="79" t="s">
        <v>346</v>
      </c>
      <c r="G56" s="79" t="s">
        <v>347</v>
      </c>
      <c r="H56" s="77" t="s">
        <v>348</v>
      </c>
    </row>
    <row r="57">
      <c r="A57" s="63" t="s">
        <v>97</v>
      </c>
      <c r="B57" s="63" t="s">
        <v>379</v>
      </c>
      <c r="C57" s="68">
        <f>Pricing_Assessment!D5</f>
        <v>625000</v>
      </c>
      <c r="D57" s="69" t="s">
        <v>270</v>
      </c>
      <c r="E57" s="69" t="s">
        <v>270</v>
      </c>
      <c r="F57" s="70" t="str">
        <f t="shared" ref="F57:F63" si="16">IF(ISNUMBER(D57),C57/D57-1,"")</f>
        <v/>
      </c>
      <c r="G57" s="70" t="str">
        <f t="shared" ref="G57:G63" si="17">IF(ISNUMBER(E57),C57/E57-1,"")</f>
        <v/>
      </c>
      <c r="H57" s="71" t="s">
        <v>380</v>
      </c>
    </row>
    <row r="58">
      <c r="A58" s="63" t="s">
        <v>125</v>
      </c>
      <c r="B58" s="63" t="s">
        <v>379</v>
      </c>
      <c r="C58" s="82">
        <f>Pricing_Assessment!D6</f>
        <v>725000</v>
      </c>
      <c r="D58" s="69" t="s">
        <v>270</v>
      </c>
      <c r="E58" s="69" t="s">
        <v>270</v>
      </c>
      <c r="F58" s="70" t="str">
        <f t="shared" si="16"/>
        <v/>
      </c>
      <c r="G58" s="70" t="str">
        <f t="shared" si="17"/>
        <v/>
      </c>
      <c r="H58" s="71" t="s">
        <v>381</v>
      </c>
    </row>
    <row r="59">
      <c r="A59" s="63" t="s">
        <v>134</v>
      </c>
      <c r="B59" s="63" t="s">
        <v>379</v>
      </c>
      <c r="C59" s="68">
        <f>Pricing_Assessment!D7</f>
        <v>800000</v>
      </c>
      <c r="D59" s="69">
        <v>950000.0</v>
      </c>
      <c r="E59" s="69" t="s">
        <v>270</v>
      </c>
      <c r="F59" s="70">
        <f t="shared" si="16"/>
        <v>-0.1578947368</v>
      </c>
      <c r="G59" s="70" t="str">
        <f t="shared" si="17"/>
        <v/>
      </c>
      <c r="H59" s="71" t="s">
        <v>382</v>
      </c>
    </row>
    <row r="60">
      <c r="A60" s="63" t="s">
        <v>383</v>
      </c>
      <c r="B60" s="63" t="s">
        <v>379</v>
      </c>
      <c r="C60" s="68">
        <f>Pricing_Assessment!D8</f>
        <v>1625000</v>
      </c>
      <c r="D60" s="69" t="s">
        <v>270</v>
      </c>
      <c r="E60" s="69" t="s">
        <v>270</v>
      </c>
      <c r="F60" s="70" t="str">
        <f t="shared" si="16"/>
        <v/>
      </c>
      <c r="G60" s="70" t="str">
        <f t="shared" si="17"/>
        <v/>
      </c>
      <c r="H60" s="71" t="s">
        <v>384</v>
      </c>
    </row>
    <row r="61">
      <c r="A61" s="63" t="s">
        <v>146</v>
      </c>
      <c r="B61" s="63" t="s">
        <v>379</v>
      </c>
      <c r="C61" s="68">
        <f>Pricing_Assessment!D9</f>
        <v>1225000</v>
      </c>
      <c r="D61" s="69" t="s">
        <v>270</v>
      </c>
      <c r="E61" s="69" t="s">
        <v>270</v>
      </c>
      <c r="F61" s="70" t="str">
        <f t="shared" si="16"/>
        <v/>
      </c>
      <c r="G61" s="70" t="str">
        <f t="shared" si="17"/>
        <v/>
      </c>
      <c r="H61" s="71" t="s">
        <v>385</v>
      </c>
    </row>
    <row r="62">
      <c r="A62" s="63" t="s">
        <v>386</v>
      </c>
      <c r="B62" s="63" t="s">
        <v>379</v>
      </c>
      <c r="C62" s="82" t="str">
        <f>#REF!</f>
        <v>#REF!</v>
      </c>
      <c r="D62" s="69" t="s">
        <v>270</v>
      </c>
      <c r="E62" s="69" t="s">
        <v>270</v>
      </c>
      <c r="F62" s="70" t="str">
        <f t="shared" si="16"/>
        <v/>
      </c>
      <c r="G62" s="70" t="str">
        <f t="shared" si="17"/>
        <v/>
      </c>
      <c r="H62" s="71" t="s">
        <v>387</v>
      </c>
    </row>
    <row r="63">
      <c r="A63" s="63" t="s">
        <v>388</v>
      </c>
      <c r="B63" s="63" t="s">
        <v>379</v>
      </c>
      <c r="C63" s="68">
        <f>Pricing_Assessment!D10</f>
        <v>375000</v>
      </c>
      <c r="D63" s="69">
        <v>219000.0</v>
      </c>
      <c r="E63" s="69" t="s">
        <v>270</v>
      </c>
      <c r="F63" s="70">
        <f t="shared" si="16"/>
        <v>0.7123287671</v>
      </c>
      <c r="G63" s="70" t="str">
        <f t="shared" si="17"/>
        <v/>
      </c>
      <c r="H63" s="71" t="s">
        <v>389</v>
      </c>
    </row>
    <row r="64">
      <c r="A64" s="61" t="s">
        <v>390</v>
      </c>
      <c r="B64" s="62"/>
      <c r="C64" s="62"/>
      <c r="D64" s="62"/>
      <c r="E64" s="62"/>
      <c r="F64" s="62"/>
      <c r="G64" s="62"/>
      <c r="H64" s="62"/>
    </row>
    <row r="65">
      <c r="A65" s="67" t="s">
        <v>41</v>
      </c>
      <c r="B65" s="67" t="s">
        <v>44</v>
      </c>
      <c r="C65" s="83"/>
      <c r="D65" s="67" t="s">
        <v>344</v>
      </c>
      <c r="E65" s="83"/>
      <c r="F65" s="83"/>
      <c r="G65" s="83"/>
      <c r="H65" s="67" t="s">
        <v>67</v>
      </c>
    </row>
    <row r="66">
      <c r="A66" s="63" t="s">
        <v>391</v>
      </c>
      <c r="B66" s="71" t="s">
        <v>392</v>
      </c>
      <c r="C66" s="64"/>
      <c r="D66" s="69">
        <v>1350000.0</v>
      </c>
      <c r="E66" s="64"/>
      <c r="F66" s="64"/>
      <c r="G66" s="64"/>
      <c r="H66" s="71" t="s">
        <v>393</v>
      </c>
    </row>
    <row r="67">
      <c r="A67" s="63" t="s">
        <v>391</v>
      </c>
      <c r="B67" s="71" t="s">
        <v>394</v>
      </c>
      <c r="C67" s="64"/>
      <c r="D67" s="69">
        <v>3500000.0</v>
      </c>
      <c r="E67" s="64"/>
      <c r="F67" s="64"/>
      <c r="G67" s="64"/>
      <c r="H67" s="81"/>
    </row>
    <row r="68">
      <c r="A68" s="63" t="s">
        <v>395</v>
      </c>
      <c r="B68" s="71" t="s">
        <v>396</v>
      </c>
      <c r="C68" s="64"/>
      <c r="D68" s="69">
        <v>1380000.0</v>
      </c>
      <c r="E68" s="64"/>
      <c r="F68" s="64"/>
      <c r="G68" s="64"/>
      <c r="H68" s="71" t="s">
        <v>397</v>
      </c>
    </row>
    <row r="69">
      <c r="A69" s="63" t="s">
        <v>398</v>
      </c>
      <c r="B69" s="71" t="s">
        <v>399</v>
      </c>
      <c r="C69" s="64"/>
      <c r="D69" s="69">
        <v>1375000.0</v>
      </c>
      <c r="E69" s="64"/>
      <c r="F69" s="64"/>
      <c r="G69" s="64"/>
      <c r="H69" s="81"/>
    </row>
    <row r="70">
      <c r="A70" s="63" t="s">
        <v>398</v>
      </c>
      <c r="B70" s="71" t="s">
        <v>400</v>
      </c>
      <c r="C70" s="64"/>
      <c r="D70" s="69">
        <v>2250000.0</v>
      </c>
      <c r="E70" s="64"/>
      <c r="F70" s="64"/>
      <c r="G70" s="64"/>
      <c r="H70" s="81"/>
    </row>
    <row r="71">
      <c r="A71" s="63" t="s">
        <v>401</v>
      </c>
      <c r="B71" s="71" t="s">
        <v>399</v>
      </c>
      <c r="C71" s="64"/>
      <c r="D71" s="69">
        <v>1180000.0</v>
      </c>
      <c r="E71" s="64"/>
      <c r="F71" s="64"/>
      <c r="G71" s="64"/>
      <c r="H71" s="81"/>
    </row>
    <row r="72">
      <c r="A72" s="63" t="s">
        <v>401</v>
      </c>
      <c r="B72" s="71" t="s">
        <v>400</v>
      </c>
      <c r="C72" s="64"/>
      <c r="D72" s="69">
        <v>1675000.0</v>
      </c>
      <c r="E72" s="64"/>
      <c r="F72" s="64"/>
      <c r="G72" s="64"/>
      <c r="H72" s="81"/>
    </row>
    <row r="73">
      <c r="A73" s="63" t="s">
        <v>402</v>
      </c>
      <c r="B73" s="71" t="s">
        <v>403</v>
      </c>
      <c r="C73" s="64"/>
      <c r="D73" s="69">
        <v>690000.0</v>
      </c>
      <c r="E73" s="64"/>
      <c r="F73" s="64"/>
      <c r="G73" s="64"/>
      <c r="H73" s="71" t="s">
        <v>404</v>
      </c>
    </row>
    <row r="74">
      <c r="A74" s="63" t="s">
        <v>405</v>
      </c>
      <c r="B74" s="71" t="s">
        <v>406</v>
      </c>
      <c r="C74" s="64"/>
      <c r="D74" s="69">
        <v>315000.0</v>
      </c>
      <c r="E74" s="64"/>
      <c r="F74" s="64"/>
      <c r="G74" s="64"/>
      <c r="H74" s="71" t="s">
        <v>407</v>
      </c>
    </row>
    <row r="75">
      <c r="A75" s="63" t="s">
        <v>408</v>
      </c>
      <c r="B75" s="71" t="s">
        <v>409</v>
      </c>
      <c r="C75" s="64"/>
      <c r="D75" s="69">
        <v>219000.0</v>
      </c>
      <c r="E75" s="64"/>
      <c r="F75" s="64"/>
      <c r="G75" s="64"/>
      <c r="H75" s="81"/>
    </row>
    <row r="76">
      <c r="A76" s="63" t="s">
        <v>410</v>
      </c>
      <c r="B76" s="71" t="s">
        <v>411</v>
      </c>
      <c r="C76" s="64"/>
      <c r="D76" s="69">
        <v>169000.0</v>
      </c>
      <c r="E76" s="64"/>
      <c r="F76" s="64"/>
      <c r="G76" s="64"/>
      <c r="H76" s="81"/>
    </row>
    <row r="77">
      <c r="A77" s="63" t="s">
        <v>412</v>
      </c>
      <c r="B77" s="71" t="s">
        <v>409</v>
      </c>
      <c r="C77" s="64"/>
      <c r="D77" s="69">
        <v>219000.0</v>
      </c>
      <c r="E77" s="64"/>
      <c r="F77" s="64"/>
      <c r="G77" s="64"/>
      <c r="H77" s="81"/>
    </row>
    <row r="78">
      <c r="A78" s="63" t="s">
        <v>413</v>
      </c>
      <c r="B78" s="71" t="s">
        <v>414</v>
      </c>
      <c r="C78" s="64"/>
      <c r="D78" s="69">
        <v>495000.0</v>
      </c>
      <c r="E78" s="64"/>
      <c r="F78" s="64"/>
      <c r="G78" s="64"/>
      <c r="H78" s="81"/>
    </row>
    <row r="79">
      <c r="A79" s="63" t="s">
        <v>415</v>
      </c>
      <c r="B79" s="71" t="s">
        <v>416</v>
      </c>
      <c r="C79" s="64"/>
      <c r="D79" s="69">
        <v>1085000.0</v>
      </c>
      <c r="E79" s="64"/>
      <c r="F79" s="64"/>
      <c r="G79" s="64"/>
      <c r="H79" s="71" t="s">
        <v>417</v>
      </c>
    </row>
    <row r="80">
      <c r="A80" s="63" t="s">
        <v>418</v>
      </c>
      <c r="B80" s="71" t="s">
        <v>419</v>
      </c>
      <c r="C80" s="64"/>
      <c r="D80" s="69">
        <v>979000.0</v>
      </c>
      <c r="E80" s="64"/>
      <c r="F80" s="64"/>
      <c r="G80" s="64"/>
      <c r="H80" s="81"/>
    </row>
    <row r="81">
      <c r="A81" s="63" t="s">
        <v>420</v>
      </c>
      <c r="B81" s="71" t="s">
        <v>421</v>
      </c>
      <c r="C81" s="64"/>
      <c r="D81" s="69">
        <v>885000.0</v>
      </c>
      <c r="E81" s="64"/>
      <c r="F81" s="64"/>
      <c r="G81" s="64"/>
      <c r="H81" s="81"/>
    </row>
    <row r="82">
      <c r="A82" s="63" t="s">
        <v>422</v>
      </c>
      <c r="B82" s="71" t="s">
        <v>419</v>
      </c>
      <c r="C82" s="64"/>
      <c r="D82" s="69">
        <v>975000.0</v>
      </c>
      <c r="E82" s="64"/>
      <c r="F82" s="64"/>
      <c r="G82" s="64"/>
      <c r="H82" s="81"/>
    </row>
    <row r="83">
      <c r="A83" s="63" t="s">
        <v>423</v>
      </c>
      <c r="B83" s="71" t="s">
        <v>424</v>
      </c>
      <c r="C83" s="64"/>
      <c r="D83" s="69">
        <v>1875000.0</v>
      </c>
      <c r="E83" s="64"/>
      <c r="F83" s="64"/>
      <c r="G83" s="64"/>
      <c r="H83" s="71" t="s">
        <v>425</v>
      </c>
    </row>
    <row r="84">
      <c r="A84" s="63" t="s">
        <v>426</v>
      </c>
      <c r="B84" s="71" t="s">
        <v>427</v>
      </c>
      <c r="C84" s="64"/>
      <c r="D84" s="69">
        <v>1050000.0</v>
      </c>
      <c r="E84" s="64"/>
      <c r="F84" s="64"/>
      <c r="G84" s="64"/>
      <c r="H84" s="81"/>
    </row>
    <row r="85">
      <c r="A85" s="63" t="s">
        <v>428</v>
      </c>
      <c r="B85" s="71" t="s">
        <v>427</v>
      </c>
      <c r="C85" s="64"/>
      <c r="D85" s="69">
        <v>850000.0</v>
      </c>
      <c r="E85" s="64"/>
      <c r="F85" s="64"/>
      <c r="G85" s="64"/>
      <c r="H85" s="81"/>
    </row>
    <row r="86">
      <c r="A86" s="63" t="s">
        <v>429</v>
      </c>
      <c r="B86" s="71" t="s">
        <v>430</v>
      </c>
      <c r="C86" s="64"/>
      <c r="D86" s="69">
        <v>675000.0</v>
      </c>
      <c r="E86" s="64"/>
      <c r="F86" s="64"/>
      <c r="G86" s="64"/>
      <c r="H86" s="81"/>
    </row>
    <row r="87">
      <c r="A87" s="63" t="s">
        <v>431</v>
      </c>
      <c r="B87" s="71" t="s">
        <v>430</v>
      </c>
      <c r="C87" s="64"/>
      <c r="D87" s="69">
        <v>800000.0</v>
      </c>
      <c r="E87" s="64"/>
      <c r="F87" s="64"/>
      <c r="G87" s="64"/>
      <c r="H87" s="81"/>
    </row>
    <row r="88">
      <c r="A88" s="63" t="s">
        <v>432</v>
      </c>
      <c r="B88" s="71" t="s">
        <v>416</v>
      </c>
      <c r="C88" s="64"/>
      <c r="D88" s="69">
        <v>1200000.0</v>
      </c>
      <c r="E88" s="64"/>
      <c r="F88" s="64"/>
      <c r="G88" s="64"/>
      <c r="H88" s="71" t="s">
        <v>433</v>
      </c>
    </row>
    <row r="89">
      <c r="A89" s="58"/>
      <c r="B89" s="58"/>
      <c r="C89" s="58"/>
      <c r="D89" s="58"/>
      <c r="E89" s="58"/>
      <c r="F89" s="58"/>
      <c r="G89" s="58"/>
      <c r="H89" s="58"/>
    </row>
    <row r="90">
      <c r="A90" s="61" t="s">
        <v>434</v>
      </c>
      <c r="B90" s="62"/>
      <c r="C90" s="62"/>
      <c r="D90" s="62"/>
      <c r="E90" s="62"/>
      <c r="F90" s="62"/>
      <c r="G90" s="62"/>
      <c r="H90" s="62"/>
    </row>
    <row r="91">
      <c r="A91" s="84" t="s">
        <v>435</v>
      </c>
      <c r="B91" s="58"/>
      <c r="C91" s="58"/>
      <c r="D91" s="58"/>
      <c r="E91" s="58"/>
      <c r="F91" s="58"/>
      <c r="G91" s="58"/>
      <c r="H91" s="58"/>
    </row>
    <row r="92">
      <c r="A92" s="84" t="s">
        <v>436</v>
      </c>
      <c r="B92" s="58"/>
      <c r="C92" s="58"/>
      <c r="D92" s="58"/>
      <c r="E92" s="58"/>
      <c r="F92" s="58"/>
      <c r="G92" s="58"/>
      <c r="H92" s="58"/>
    </row>
    <row r="93">
      <c r="A93" s="84" t="s">
        <v>437</v>
      </c>
      <c r="B93" s="58"/>
      <c r="C93" s="58"/>
      <c r="D93" s="58"/>
      <c r="E93" s="58"/>
      <c r="F93" s="58"/>
      <c r="G93" s="58"/>
      <c r="H93" s="58"/>
    </row>
    <row r="94">
      <c r="A94" s="84" t="s">
        <v>438</v>
      </c>
      <c r="B94" s="58"/>
      <c r="C94" s="58"/>
      <c r="D94" s="58"/>
      <c r="E94" s="58"/>
      <c r="F94" s="58"/>
      <c r="G94" s="58"/>
      <c r="H94" s="58"/>
    </row>
  </sheetData>
  <drawing r:id="rId1"/>
</worksheet>
</file>